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правочник" sheetId="2" state="visible" r:id="rId2"/>
    <sheet name="План" sheetId="3" state="visible" r:id="rId3"/>
  </sheets>
  <definedNames>
    <definedName name="_xlnm._FilterDatabase" localSheetId="2" hidden="1">'План'!$A$1:$AM$281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"/>
    <numFmt numFmtId="166" formatCode="DD.MM.YYYY"/>
  </numFmts>
  <fonts count="11">
    <font>
      <name val="Calibri"/>
      <family val="2"/>
      <color theme="1"/>
      <sz val="11"/>
      <scheme val="minor"/>
    </font>
    <font>
      <name val="Calibri"/>
      <b val="1"/>
      <color rgb="001C2531"/>
      <sz val="18"/>
    </font>
    <font>
      <name val="Calibri"/>
      <color rgb="001C2531"/>
      <sz val="11"/>
    </font>
    <font>
      <name val="Calibri"/>
      <b val="1"/>
      <color rgb="001C2531"/>
      <sz val="13"/>
    </font>
    <font>
      <name val="Calibri"/>
      <b val="1"/>
      <color rgb="00FFFFFF"/>
      <sz val="11"/>
    </font>
    <font>
      <b val="1"/>
      <color rgb="002E75B6"/>
    </font>
    <font>
      <b val="1"/>
      <color rgb="00C65911"/>
    </font>
    <font>
      <b val="1"/>
      <color rgb="00BF9000"/>
    </font>
    <font>
      <b val="1"/>
      <color rgb="00548235"/>
    </font>
    <font>
      <b val="1"/>
      <color rgb="00C00000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C253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166" fontId="10" fillId="0" borderId="1" pivotButton="0" quotePrefix="0" xfId="0"/>
    <xf numFmtId="1" fontId="10" fillId="0" borderId="1" pivotButton="0" quotePrefix="0" xfId="0"/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Calibri"/>
        <b val="1"/>
        <color rgb="002E75B6"/>
      </font>
      <fill>
        <patternFill patternType="solid">
          <fgColor rgb="00DDEBF7"/>
        </patternFill>
      </fill>
    </dxf>
    <dxf>
      <font>
        <name val="Calibri"/>
        <b val="1"/>
        <color rgb="00C65911"/>
      </font>
      <fill>
        <patternFill patternType="solid">
          <fgColor rgb="00FCE4D6"/>
        </patternFill>
      </fill>
    </dxf>
    <dxf>
      <font>
        <name val="Calibri"/>
        <b val="1"/>
        <color rgb="00BF9000"/>
      </font>
      <fill>
        <patternFill patternType="solid">
          <fgColor rgb="00FFF2CC"/>
        </patternFill>
      </fill>
    </dxf>
    <dxf>
      <font>
        <name val="Calibri"/>
        <b val="1"/>
        <color rgb="00548235"/>
      </font>
      <fill>
        <patternFill patternType="solid">
          <fgColor rgb="00E2EFDA"/>
        </patternFill>
      </fill>
    </dxf>
    <dxf>
      <font>
        <name val="Calibri"/>
        <b val="1"/>
        <color rgb="00C000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D6C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Единый формат календаризации 3–4Q 2026</t>
        </is>
      </c>
    </row>
    <row r="2" ht="20" customHeight="1">
      <c r="A2" s="2" t="inlineStr"/>
    </row>
    <row r="3" ht="20" customHeight="1">
      <c r="A3" s="3" t="inlineStr">
        <is>
          <t>Зачем этот файл</t>
        </is>
      </c>
    </row>
    <row r="4" ht="36" customHeight="1">
      <c r="A4" s="2" t="inlineStr">
        <is>
          <t>Все команды заполняют один и тот же Excel. Цвета ячеек больше не означают занятость. Занятость — это даты и числа дней. Отпуск отмечается отдельно.</t>
        </is>
      </c>
    </row>
    <row r="5" ht="20" customHeight="1">
      <c r="A5" s="2" t="inlineStr"/>
    </row>
    <row r="6" ht="20" customHeight="1">
      <c r="A6" s="3" t="inlineStr">
        <is>
          <t>Что заполнять</t>
        </is>
      </c>
    </row>
    <row r="7" ht="36" customHeight="1">
      <c r="A7" s="2" t="inlineStr">
        <is>
          <t>Только лист «План». Жёлтые строки — полный пример из таймплана МегаИнтернета. Удалите их перед отправкой, в таймплан они не попадут.</t>
        </is>
      </c>
    </row>
    <row r="8" ht="20" customHeight="1">
      <c r="A8" s="2" t="inlineStr"/>
    </row>
    <row r="9" ht="20" customHeight="1">
      <c r="A9" s="3" t="inlineStr">
        <is>
          <t>Колонки</t>
        </is>
      </c>
    </row>
    <row r="10" ht="36" customHeight="1">
      <c r="A10" s="2" t="inlineStr">
        <is>
          <t>Команда — только из списка: Монетизация, Домашний интернет, ДГП, МегаИнтернет, Тарифы. Фикса = Домашний интернет, Репрайсы = Монетизация.</t>
        </is>
      </c>
    </row>
    <row r="11" ht="36" customHeight="1">
      <c r="A11" s="2" t="inlineStr">
        <is>
          <t>Задача — одно название на одну строку исполнителя. Несколько людей на задачу = несколько строк.</t>
        </is>
      </c>
    </row>
    <row r="12" ht="20" customHeight="1">
      <c r="A12" s="2" t="inlineStr">
        <is>
          <t>Тикет — B2CPROD-… / CKO-…, если есть.</t>
        </is>
      </c>
    </row>
    <row r="13" ht="20" customHeight="1">
      <c r="A13" s="2" t="inlineStr">
        <is>
          <t>Тип — только деливери или дискавери, либо пусто. ЦКО не пишите.</t>
        </is>
      </c>
    </row>
    <row r="14" ht="20" customHeight="1">
      <c r="A14" s="2" t="inlineStr">
        <is>
          <t>Исполнитель — только из списка. Не пишите FE, бэк, DUX, Касенко, Шлогауэр.</t>
        </is>
      </c>
    </row>
    <row r="15" ht="36" customHeight="1">
      <c r="A15" s="2" t="inlineStr">
        <is>
          <t>Роль — Дизайн / SA / PO / BE / FE / QA / Контент. Если не указать, подставится роль из штата. Отпуск ролью не является.</t>
        </is>
      </c>
    </row>
    <row r="16" ht="36" customHeight="1">
      <c r="A16" s="2" t="inlineStr">
        <is>
          <t>Отпуск — поставьте «да», если эта строка про нерабочие дни человека. Роль оставьте настоящей (QA, SA, …). В неделях справа поставьте 1–5 — сколько дней этой недели человек не работает. Начало, окончание и «К работе» заполнятся сами: к работе = следующий рабочий день после окончания отпуска.</t>
        </is>
      </c>
    </row>
    <row r="17" ht="36" customHeight="1">
      <c r="A17" s="2" t="inlineStr">
        <is>
          <t>Начало, Окончание и К работе — считаются сами по первой и последней заполненной неделе. Если недели пустые, можно вписать даты вручную.</t>
        </is>
      </c>
    </row>
    <row r="18" ht="36" customHeight="1">
      <c r="A18" s="2" t="inlineStr">
        <is>
          <t>Чел-дни считаются сами: сумма чисел в неделях или число будней между началом и окончанием, если недели пустые.</t>
        </is>
      </c>
    </row>
    <row r="19" ht="36" customHeight="1">
      <c r="A19" s="2" t="inlineStr">
        <is>
          <t>Недели справа — занятость работой: 1–5. Если отпуск = да, те же числа — нерабочие дни роли. После последней заполненной недели человек возвращается к работе в дату из колонки «К работе».</t>
        </is>
      </c>
    </row>
    <row r="20" ht="20" customHeight="1">
      <c r="A20" s="2" t="inlineStr"/>
    </row>
    <row r="21" ht="20" customHeight="1">
      <c r="A21" s="3" t="inlineStr">
        <is>
          <t>Чего нельзя делать</t>
        </is>
      </c>
    </row>
    <row r="22" ht="36" customHeight="1">
      <c r="A22" s="2" t="inlineStr">
        <is>
          <t>Не закрашивайте недели цветом вместо числа. Цвет команды в колонке «Команда» ставится сам и в расчёт не идёт.</t>
        </is>
      </c>
    </row>
    <row r="23" ht="36" customHeight="1">
      <c r="A23" s="2" t="inlineStr">
        <is>
          <t>Не пишите свободным текстом роли (аналитика, фронт, тесты) и не сокращайте имена.</t>
        </is>
      </c>
    </row>
    <row r="24" ht="36" customHeight="1">
      <c r="A24" s="2" t="inlineStr">
        <is>
          <t>Не ставьте одну строку на всю команду. Одна строка = один исполнитель × одна задача.</t>
        </is>
      </c>
    </row>
    <row r="25" ht="36" customHeight="1">
      <c r="A25" s="2" t="inlineStr">
        <is>
          <t>Потребность без человека — выберите «Потребность SA/FE/BE/QA/дизайн/контент». Это спрос без FTE.</t>
        </is>
      </c>
    </row>
    <row r="26" ht="20" customHeight="1">
      <c r="A26" s="2" t="inlineStr"/>
    </row>
    <row r="27" ht="20" customHeight="1">
      <c r="A27" s="3" t="inlineStr">
        <is>
          <t>Отпуска</t>
        </is>
      </c>
    </row>
    <row r="28" ht="36" customHeight="1">
      <c r="A28" s="2" t="inlineStr">
        <is>
          <t>Отдельная строка: роль из списка, Отпуск = да, в неделях 1–5. Период виден в Начале и Окончании, дата возврата — в «К работе». Эти дни в спрос не идут.</t>
        </is>
      </c>
    </row>
    <row r="29" ht="20" customHeight="1">
      <c r="A29" s="2" t="inlineStr"/>
    </row>
    <row r="30" ht="20" customHeight="1">
      <c r="A30" s="3" t="inlineStr">
        <is>
          <t>Как отдать файл</t>
        </is>
      </c>
    </row>
    <row r="31" ht="36" customHeight="1">
      <c r="A31" s="2" t="inlineStr">
        <is>
          <t>Сохраните как .xlsx и пришлите целиком. Можно один общий файл на все команды или по файлу на команду — структура листа «План» должна совпадать.</t>
        </is>
      </c>
    </row>
  </sheetData>
  <mergeCells count="31">
    <mergeCell ref="A14:G14"/>
    <mergeCell ref="A17:G17"/>
    <mergeCell ref="A8:G8"/>
    <mergeCell ref="A22:G22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24:G24"/>
    <mergeCell ref="A30:G30"/>
    <mergeCell ref="A15:G15"/>
    <mergeCell ref="A11:G11"/>
    <mergeCell ref="A1:G1"/>
    <mergeCell ref="A6:G6"/>
    <mergeCell ref="A16:G16"/>
    <mergeCell ref="A7:G7"/>
    <mergeCell ref="A25:G25"/>
    <mergeCell ref="A18:G18"/>
    <mergeCell ref="A27:G27"/>
    <mergeCell ref="A3:G3"/>
    <mergeCell ref="A21:G21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36" customWidth="1" min="5" max="5"/>
    <col width="14" customWidth="1" min="6" max="6"/>
    <col width="14" customWidth="1" min="7" max="7"/>
    <col width="28" customWidth="1" min="8" max="8"/>
    <col width="12" customWidth="1" min="9" max="9"/>
  </cols>
  <sheetData>
    <row r="1">
      <c r="A1" s="4" t="inlineStr">
        <is>
          <t>Команда</t>
        </is>
      </c>
      <c r="C1" s="4" t="inlineStr">
        <is>
          <t>Тип</t>
        </is>
      </c>
      <c r="E1" s="4" t="inlineStr">
        <is>
          <t>Исполнитель</t>
        </is>
      </c>
      <c r="F1" s="4" t="inlineStr">
        <is>
          <t>Роль штата</t>
        </is>
      </c>
      <c r="G1" s="4" t="inlineStr">
        <is>
          <t>Роль</t>
        </is>
      </c>
      <c r="H1" s="4" t="inlineStr">
        <is>
          <t>Команды исполнителя</t>
        </is>
      </c>
      <c r="I1" s="4" t="inlineStr">
        <is>
          <t>Отпуск</t>
        </is>
      </c>
    </row>
    <row r="2">
      <c r="A2" s="5" t="inlineStr">
        <is>
          <t>Монетизация</t>
        </is>
      </c>
      <c r="C2" t="inlineStr">
        <is>
          <t>деливери</t>
        </is>
      </c>
      <c r="E2" t="inlineStr">
        <is>
          <t>Антон</t>
        </is>
      </c>
      <c r="F2" t="inlineStr">
        <is>
          <t>Дизайн</t>
        </is>
      </c>
      <c r="G2" t="inlineStr">
        <is>
          <t>Дизайн</t>
        </is>
      </c>
      <c r="H2" t="inlineStr">
        <is>
          <t>Тарифы</t>
        </is>
      </c>
      <c r="I2" t="inlineStr">
        <is>
          <t>да</t>
        </is>
      </c>
    </row>
    <row r="3">
      <c r="A3" s="6" t="inlineStr">
        <is>
          <t>Домашний интернет</t>
        </is>
      </c>
      <c r="C3" t="inlineStr">
        <is>
          <t>дискавери</t>
        </is>
      </c>
      <c r="E3" t="inlineStr">
        <is>
          <t>Егор</t>
        </is>
      </c>
      <c r="F3" t="inlineStr">
        <is>
          <t>Дизайн</t>
        </is>
      </c>
      <c r="G3" t="inlineStr">
        <is>
          <t>SA</t>
        </is>
      </c>
      <c r="H3" t="inlineStr">
        <is>
          <t>Домашний интернет</t>
        </is>
      </c>
    </row>
    <row r="4">
      <c r="A4" s="7" t="inlineStr">
        <is>
          <t>ДГП</t>
        </is>
      </c>
      <c r="E4" t="inlineStr">
        <is>
          <t>Настя</t>
        </is>
      </c>
      <c r="F4" t="inlineStr">
        <is>
          <t>Дизайн</t>
        </is>
      </c>
      <c r="G4" t="inlineStr">
        <is>
          <t>PO</t>
        </is>
      </c>
      <c r="H4" t="inlineStr">
        <is>
          <t>ДГП</t>
        </is>
      </c>
    </row>
    <row r="5">
      <c r="A5" s="8" t="inlineStr">
        <is>
          <t>МегаИнтернет</t>
        </is>
      </c>
      <c r="E5" t="inlineStr">
        <is>
          <t>Лера</t>
        </is>
      </c>
      <c r="F5" t="inlineStr">
        <is>
          <t>Дизайн</t>
        </is>
      </c>
      <c r="G5" t="inlineStr">
        <is>
          <t>BE</t>
        </is>
      </c>
      <c r="H5" t="inlineStr">
        <is>
          <t>МегаИнтернет</t>
        </is>
      </c>
    </row>
    <row r="6">
      <c r="A6" s="9" t="inlineStr">
        <is>
          <t>Тарифы</t>
        </is>
      </c>
      <c r="E6" t="inlineStr">
        <is>
          <t>Стас</t>
        </is>
      </c>
      <c r="F6" t="inlineStr">
        <is>
          <t>Дизайн</t>
        </is>
      </c>
      <c r="G6" t="inlineStr">
        <is>
          <t>FE</t>
        </is>
      </c>
      <c r="H6" t="inlineStr">
        <is>
          <t>МегаИнтернет</t>
        </is>
      </c>
    </row>
    <row r="7">
      <c r="E7" t="inlineStr">
        <is>
          <t>Папенко Руслан</t>
        </is>
      </c>
      <c r="F7" t="inlineStr">
        <is>
          <t>SA</t>
        </is>
      </c>
      <c r="G7" t="inlineStr">
        <is>
          <t>QA</t>
        </is>
      </c>
      <c r="H7" t="inlineStr">
        <is>
          <t>Тарифы</t>
        </is>
      </c>
    </row>
    <row r="8">
      <c r="E8" t="inlineStr">
        <is>
          <t>Косенко Данил</t>
        </is>
      </c>
      <c r="F8" t="inlineStr">
        <is>
          <t>FE</t>
        </is>
      </c>
      <c r="G8" t="inlineStr">
        <is>
          <t>Контент</t>
        </is>
      </c>
      <c r="H8" t="inlineStr">
        <is>
          <t>Тарифы</t>
        </is>
      </c>
    </row>
    <row r="9">
      <c r="E9" t="inlineStr">
        <is>
          <t>Успенский Павел</t>
        </is>
      </c>
      <c r="F9" t="inlineStr">
        <is>
          <t>BE</t>
        </is>
      </c>
      <c r="H9" t="inlineStr">
        <is>
          <t>Тарифы</t>
        </is>
      </c>
    </row>
    <row r="10">
      <c r="E10" t="inlineStr">
        <is>
          <t>Шлотгауэр Иван</t>
        </is>
      </c>
      <c r="F10" t="inlineStr">
        <is>
          <t>QA</t>
        </is>
      </c>
      <c r="H10" t="inlineStr">
        <is>
          <t>Тарифы</t>
        </is>
      </c>
    </row>
    <row r="11">
      <c r="E11" t="inlineStr">
        <is>
          <t>Жогина Екатерина</t>
        </is>
      </c>
      <c r="F11" t="inlineStr">
        <is>
          <t>PO</t>
        </is>
      </c>
      <c r="H11" t="inlineStr">
        <is>
          <t>Тарифы</t>
        </is>
      </c>
    </row>
    <row r="12">
      <c r="E12" t="inlineStr">
        <is>
          <t>Роган Татьяна</t>
        </is>
      </c>
      <c r="F12" t="inlineStr">
        <is>
          <t>SA</t>
        </is>
      </c>
      <c r="H12" t="inlineStr">
        <is>
          <t>Монетизация</t>
        </is>
      </c>
    </row>
    <row r="13">
      <c r="E13" t="inlineStr">
        <is>
          <t>Савлук Богдан</t>
        </is>
      </c>
      <c r="F13" t="inlineStr">
        <is>
          <t>FE</t>
        </is>
      </c>
      <c r="H13" t="inlineStr">
        <is>
          <t>Монетизация</t>
        </is>
      </c>
    </row>
    <row r="14">
      <c r="E14" t="inlineStr">
        <is>
          <t>Судариков Алексей</t>
        </is>
      </c>
      <c r="F14" t="inlineStr">
        <is>
          <t>BE</t>
        </is>
      </c>
      <c r="H14" t="inlineStr">
        <is>
          <t>Монетизация, Домашний интернет</t>
        </is>
      </c>
    </row>
    <row r="15">
      <c r="E15" t="inlineStr">
        <is>
          <t>Колотыгин Никита</t>
        </is>
      </c>
      <c r="F15" t="inlineStr">
        <is>
          <t>QA</t>
        </is>
      </c>
      <c r="H15" t="inlineStr">
        <is>
          <t>Монетизация</t>
        </is>
      </c>
    </row>
    <row r="16">
      <c r="E16" t="inlineStr">
        <is>
          <t>Мерзликин Антон</t>
        </is>
      </c>
      <c r="F16" t="inlineStr">
        <is>
          <t>SA</t>
        </is>
      </c>
      <c r="H16" t="inlineStr">
        <is>
          <t>Домашний интернет</t>
        </is>
      </c>
    </row>
    <row r="17">
      <c r="E17" t="inlineStr">
        <is>
          <t>Фомин Антон</t>
        </is>
      </c>
      <c r="F17" t="inlineStr">
        <is>
          <t>FE</t>
        </is>
      </c>
      <c r="H17" t="inlineStr">
        <is>
          <t>Домашний интернет</t>
        </is>
      </c>
    </row>
    <row r="18">
      <c r="E18" t="inlineStr">
        <is>
          <t>Комаров Илья</t>
        </is>
      </c>
      <c r="F18" t="inlineStr">
        <is>
          <t>QA</t>
        </is>
      </c>
      <c r="H18" t="inlineStr">
        <is>
          <t>Домашний интернет</t>
        </is>
      </c>
    </row>
    <row r="19">
      <c r="E19" t="inlineStr">
        <is>
          <t>Гоголюк Георгий</t>
        </is>
      </c>
      <c r="F19" t="inlineStr">
        <is>
          <t>SA</t>
        </is>
      </c>
      <c r="H19" t="inlineStr">
        <is>
          <t>ДГП</t>
        </is>
      </c>
    </row>
    <row r="20">
      <c r="E20" t="inlineStr">
        <is>
          <t>Титов Иван</t>
        </is>
      </c>
      <c r="F20" t="inlineStr">
        <is>
          <t>FE</t>
        </is>
      </c>
      <c r="H20" t="inlineStr">
        <is>
          <t>ДГП</t>
        </is>
      </c>
    </row>
    <row r="21">
      <c r="E21" t="inlineStr">
        <is>
          <t>Полубояринов Владимир</t>
        </is>
      </c>
      <c r="F21" t="inlineStr">
        <is>
          <t>BE</t>
        </is>
      </c>
      <c r="H21" t="inlineStr">
        <is>
          <t>ДГП</t>
        </is>
      </c>
    </row>
    <row r="22">
      <c r="E22" t="inlineStr">
        <is>
          <t>Кувшинов Михаил</t>
        </is>
      </c>
      <c r="F22" t="inlineStr">
        <is>
          <t>QA</t>
        </is>
      </c>
      <c r="H22" t="inlineStr">
        <is>
          <t>ДГП</t>
        </is>
      </c>
    </row>
    <row r="23">
      <c r="E23" t="inlineStr">
        <is>
          <t>Крюков Андрей</t>
        </is>
      </c>
      <c r="F23" t="inlineStr">
        <is>
          <t>SA</t>
        </is>
      </c>
      <c r="H23" t="inlineStr">
        <is>
          <t>ДГП</t>
        </is>
      </c>
    </row>
    <row r="24">
      <c r="E24" t="inlineStr">
        <is>
          <t>Ворфоломеев Кирилл</t>
        </is>
      </c>
      <c r="F24" t="inlineStr">
        <is>
          <t>FE</t>
        </is>
      </c>
      <c r="H24" t="inlineStr">
        <is>
          <t>ДГП</t>
        </is>
      </c>
    </row>
    <row r="25">
      <c r="E25" t="inlineStr">
        <is>
          <t>Фёдорова Ольга</t>
        </is>
      </c>
      <c r="F25" t="inlineStr">
        <is>
          <t>BE</t>
        </is>
      </c>
      <c r="H25" t="inlineStr">
        <is>
          <t>ДГП, МегаИнтернет</t>
        </is>
      </c>
    </row>
    <row r="26">
      <c r="E26" t="inlineStr">
        <is>
          <t>Бодров Михаил</t>
        </is>
      </c>
      <c r="F26" t="inlineStr">
        <is>
          <t>QA</t>
        </is>
      </c>
      <c r="H26" t="inlineStr">
        <is>
          <t>ДГП</t>
        </is>
      </c>
    </row>
    <row r="27">
      <c r="E27" t="inlineStr">
        <is>
          <t>Аксенов Владимир</t>
        </is>
      </c>
      <c r="F27" t="inlineStr">
        <is>
          <t>SA</t>
        </is>
      </c>
      <c r="H27" t="inlineStr">
        <is>
          <t>МегаИнтернет</t>
        </is>
      </c>
    </row>
    <row r="28">
      <c r="E28" t="inlineStr">
        <is>
          <t>Викулин Виталий</t>
        </is>
      </c>
      <c r="F28" t="inlineStr">
        <is>
          <t>FE</t>
        </is>
      </c>
      <c r="H28" t="inlineStr">
        <is>
          <t>МегаИнтернет</t>
        </is>
      </c>
    </row>
    <row r="29">
      <c r="E29" t="inlineStr">
        <is>
          <t>Дмитриева Мария</t>
        </is>
      </c>
      <c r="F29" t="inlineStr">
        <is>
          <t>QA</t>
        </is>
      </c>
      <c r="H29" t="inlineStr">
        <is>
          <t>МегаИнтернет</t>
        </is>
      </c>
    </row>
    <row r="30">
      <c r="E30" t="inlineStr">
        <is>
          <t>Калинкин</t>
        </is>
      </c>
      <c r="F30" t="inlineStr">
        <is>
          <t>Дизайн</t>
        </is>
      </c>
      <c r="H30" t="inlineStr"/>
    </row>
    <row r="31">
      <c r="E31" t="inlineStr">
        <is>
          <t>Юрасов</t>
        </is>
      </c>
      <c r="F31" t="inlineStr">
        <is>
          <t>Дизайн</t>
        </is>
      </c>
      <c r="H31" t="inlineStr"/>
    </row>
    <row r="32">
      <c r="E32" t="inlineStr">
        <is>
          <t>Крымов</t>
        </is>
      </c>
      <c r="F32" t="inlineStr">
        <is>
          <t>Контент</t>
        </is>
      </c>
      <c r="H32" t="inlineStr"/>
    </row>
    <row r="33">
      <c r="E33" t="inlineStr">
        <is>
          <t>Потребность дизайн</t>
        </is>
      </c>
      <c r="F33" t="inlineStr">
        <is>
          <t>Дизайн</t>
        </is>
      </c>
      <c r="H33" t="inlineStr">
        <is>
          <t>потребность</t>
        </is>
      </c>
    </row>
    <row r="34">
      <c r="E34" t="inlineStr">
        <is>
          <t>Потребность SA</t>
        </is>
      </c>
      <c r="F34" t="inlineStr">
        <is>
          <t>SA</t>
        </is>
      </c>
      <c r="H34" t="inlineStr">
        <is>
          <t>потребность</t>
        </is>
      </c>
    </row>
    <row r="35">
      <c r="E35" t="inlineStr">
        <is>
          <t>Потребность BE</t>
        </is>
      </c>
      <c r="F35" t="inlineStr">
        <is>
          <t>BE</t>
        </is>
      </c>
      <c r="H35" t="inlineStr">
        <is>
          <t>потребность</t>
        </is>
      </c>
    </row>
    <row r="36">
      <c r="E36" t="inlineStr">
        <is>
          <t>Потребность FE</t>
        </is>
      </c>
      <c r="F36" t="inlineStr">
        <is>
          <t>FE</t>
        </is>
      </c>
      <c r="H36" t="inlineStr">
        <is>
          <t>потребность</t>
        </is>
      </c>
    </row>
    <row r="37">
      <c r="E37" t="inlineStr">
        <is>
          <t>Потребность QA</t>
        </is>
      </c>
      <c r="F37" t="inlineStr">
        <is>
          <t>QA</t>
        </is>
      </c>
      <c r="H37" t="inlineStr">
        <is>
          <t>потребность</t>
        </is>
      </c>
    </row>
    <row r="38">
      <c r="E38" t="inlineStr">
        <is>
          <t>Потребность контент</t>
        </is>
      </c>
      <c r="F38" t="inlineStr">
        <is>
          <t>Контент</t>
        </is>
      </c>
      <c r="H38" t="inlineStr">
        <is>
          <t>потребность</t>
        </is>
      </c>
    </row>
    <row r="41">
      <c r="A41" s="10" t="inlineStr">
        <is>
          <t>Цвета команд совпадают с дашбордом. Они справочные: занятость цветом не кодируется.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M2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4" customWidth="1" min="4" max="4"/>
    <col width="24" customWidth="1" min="5" max="5"/>
    <col width="12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8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 ht="32" customHeight="1">
      <c r="A1" s="11" t="inlineStr">
        <is>
          <t>Команда</t>
        </is>
      </c>
      <c r="B1" s="11" t="inlineStr">
        <is>
          <t>Задача</t>
        </is>
      </c>
      <c r="C1" s="11" t="inlineStr">
        <is>
          <t>Тикет</t>
        </is>
      </c>
      <c r="D1" s="11" t="inlineStr">
        <is>
          <t>Тип</t>
        </is>
      </c>
      <c r="E1" s="11" t="inlineStr">
        <is>
          <t>Исполнитель</t>
        </is>
      </c>
      <c r="F1" s="11" t="inlineStr">
        <is>
          <t>Роль</t>
        </is>
      </c>
      <c r="G1" s="11" t="inlineStr">
        <is>
          <t>Отпуск</t>
        </is>
      </c>
      <c r="H1" s="11" t="inlineStr">
        <is>
          <t>Начало</t>
        </is>
      </c>
      <c r="I1" s="11" t="inlineStr">
        <is>
          <t>Окончание</t>
        </is>
      </c>
      <c r="J1" s="11" t="inlineStr">
        <is>
          <t>К работе</t>
        </is>
      </c>
      <c r="K1" s="11" t="inlineStr">
        <is>
          <t>Чел-дни</t>
        </is>
      </c>
      <c r="L1" s="11" t="inlineStr">
        <is>
          <t>Примечание</t>
        </is>
      </c>
      <c r="M1" s="12" t="n">
        <v>46202</v>
      </c>
      <c r="N1" s="12" t="n">
        <v>46209</v>
      </c>
      <c r="O1" s="12" t="n">
        <v>46216</v>
      </c>
      <c r="P1" s="12" t="n">
        <v>46223</v>
      </c>
      <c r="Q1" s="12" t="n">
        <v>46230</v>
      </c>
      <c r="R1" s="12" t="n">
        <v>46237</v>
      </c>
      <c r="S1" s="12" t="n">
        <v>46244</v>
      </c>
      <c r="T1" s="12" t="n">
        <v>46251</v>
      </c>
      <c r="U1" s="12" t="n">
        <v>46258</v>
      </c>
      <c r="V1" s="12" t="n">
        <v>46265</v>
      </c>
      <c r="W1" s="12" t="n">
        <v>46272</v>
      </c>
      <c r="X1" s="12" t="n">
        <v>46279</v>
      </c>
      <c r="Y1" s="12" t="n">
        <v>46286</v>
      </c>
      <c r="Z1" s="12" t="n">
        <v>46293</v>
      </c>
      <c r="AA1" s="12" t="n">
        <v>46300</v>
      </c>
      <c r="AB1" s="12" t="n">
        <v>46307</v>
      </c>
      <c r="AC1" s="12" t="n">
        <v>46314</v>
      </c>
      <c r="AD1" s="12" t="n">
        <v>46321</v>
      </c>
      <c r="AE1" s="12" t="n">
        <v>46328</v>
      </c>
      <c r="AF1" s="12" t="n">
        <v>46335</v>
      </c>
      <c r="AG1" s="12" t="n">
        <v>46342</v>
      </c>
      <c r="AH1" s="12" t="n">
        <v>46349</v>
      </c>
      <c r="AI1" s="12" t="n">
        <v>46356</v>
      </c>
      <c r="AJ1" s="12" t="n">
        <v>46363</v>
      </c>
      <c r="AK1" s="12" t="n">
        <v>46370</v>
      </c>
      <c r="AL1" s="12" t="n">
        <v>46377</v>
      </c>
      <c r="AM1" s="12" t="n">
        <v>46384</v>
      </c>
    </row>
    <row r="2">
      <c r="A2" s="13" t="inlineStr">
        <is>
          <t>Монетизация</t>
        </is>
      </c>
      <c r="B2" s="13" t="inlineStr">
        <is>
          <t>Отпуск</t>
        </is>
      </c>
      <c r="C2" s="13" t="inlineStr"/>
      <c r="D2" s="13" t="inlineStr"/>
      <c r="E2" s="13" t="inlineStr">
        <is>
          <t>Вероника</t>
        </is>
      </c>
      <c r="F2" s="13" t="inlineStr">
        <is>
          <t>Другое</t>
        </is>
      </c>
      <c r="G2" s="13" t="inlineStr">
        <is>
          <t>да</t>
        </is>
      </c>
      <c r="H2" s="14">
        <f>IF(COUNTA(M2:AM2)=0,"",INDEX($M$1:$AM$1,AGGREGATE(15,6,(COLUMN($M$1:$AM$1)-COLUMN($M$1)+1)/(M2:AM2&lt;&gt;""),1)))</f>
        <v/>
      </c>
      <c r="I2" s="14">
        <f>IF(COUNTA(M2:AM2)=0,"",INDEX($M$1:$AM$1,AGGREGATE(14,6,(COLUMN($M$1:$AM$1)-COLUMN($M$1)+1)/(M2:AM2&lt;&gt;""),1))+MAX(0,IFERROR(LOOKUP(2,1/(M2:AM2&lt;&gt;""),M2:AM2),1)-1))</f>
        <v/>
      </c>
      <c r="J2" s="14">
        <f>IF(I2="","",WORKDAY(I2,1))</f>
        <v/>
      </c>
      <c r="K2" s="15">
        <f>IF(COUNTA(M2:AM2),SUM(M2:AM2),IF(AND(H2&lt;&gt;"",I2&lt;&gt;""),NETWORKDAYS(H2,I2),""))</f>
        <v/>
      </c>
      <c r="L2" s="13" t="inlineStr"/>
      <c r="M2" s="16" t="inlineStr"/>
      <c r="N2" s="16" t="inlineStr"/>
      <c r="O2" s="16" t="inlineStr"/>
      <c r="P2" s="16" t="inlineStr"/>
      <c r="Q2" s="16" t="inlineStr"/>
      <c r="R2" s="16" t="inlineStr"/>
      <c r="S2" s="16" t="n">
        <v>5</v>
      </c>
      <c r="T2" s="16" t="n">
        <v>5</v>
      </c>
      <c r="U2" s="16" t="n">
        <v>5</v>
      </c>
      <c r="V2" s="16" t="inlineStr"/>
      <c r="W2" s="16" t="inlineStr"/>
      <c r="X2" s="16" t="inlineStr"/>
      <c r="Y2" s="16" t="inlineStr"/>
      <c r="Z2" s="16" t="inlineStr"/>
      <c r="AA2" s="16" t="inlineStr"/>
      <c r="AB2" s="16" t="n">
        <v>5</v>
      </c>
      <c r="AC2" s="16" t="inlineStr"/>
      <c r="AD2" s="16" t="inlineStr"/>
      <c r="AE2" s="16" t="inlineStr"/>
      <c r="AF2" s="16" t="inlineStr"/>
      <c r="AG2" s="16" t="inlineStr"/>
      <c r="AH2" s="16" t="inlineStr"/>
      <c r="AI2" s="16" t="inlineStr"/>
      <c r="AJ2" s="16" t="inlineStr"/>
      <c r="AK2" s="16" t="inlineStr"/>
      <c r="AL2" s="16" t="inlineStr"/>
      <c r="AM2" s="16" t="inlineStr"/>
    </row>
    <row r="3">
      <c r="A3" s="13" t="inlineStr">
        <is>
          <t>Монетизация</t>
        </is>
      </c>
      <c r="B3" s="13" t="inlineStr">
        <is>
          <t>Отпуск</t>
        </is>
      </c>
      <c r="C3" s="13" t="inlineStr"/>
      <c r="D3" s="13" t="inlineStr"/>
      <c r="E3" s="13" t="inlineStr">
        <is>
          <t>Роган Татьяна</t>
        </is>
      </c>
      <c r="F3" s="13" t="inlineStr">
        <is>
          <t>SA</t>
        </is>
      </c>
      <c r="G3" s="13" t="inlineStr">
        <is>
          <t>да</t>
        </is>
      </c>
      <c r="H3" s="14">
        <f>IF(COUNTA(M3:AM3)=0,"",INDEX($M$1:$AM$1,AGGREGATE(15,6,(COLUMN($M$1:$AM$1)-COLUMN($M$1)+1)/(M3:AM3&lt;&gt;""),1)))</f>
        <v/>
      </c>
      <c r="I3" s="14">
        <f>IF(COUNTA(M3:AM3)=0,"",INDEX($M$1:$AM$1,AGGREGATE(14,6,(COLUMN($M$1:$AM$1)-COLUMN($M$1)+1)/(M3:AM3&lt;&gt;""),1))+MAX(0,IFERROR(LOOKUP(2,1/(M3:AM3&lt;&gt;""),M3:AM3),1)-1))</f>
        <v/>
      </c>
      <c r="J3" s="14">
        <f>IF(I3="","",WORKDAY(I3,1))</f>
        <v/>
      </c>
      <c r="K3" s="15">
        <f>IF(COUNTA(M3:AM3),SUM(M3:AM3),IF(AND(H3&lt;&gt;"",I3&lt;&gt;""),NETWORKDAYS(H3,I3),""))</f>
        <v/>
      </c>
      <c r="L3" s="13" t="inlineStr"/>
      <c r="M3" s="16" t="inlineStr"/>
      <c r="N3" s="16" t="inlineStr"/>
      <c r="O3" s="16" t="inlineStr"/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n">
        <v>5</v>
      </c>
      <c r="X3" s="16" t="n">
        <v>5</v>
      </c>
      <c r="Y3" s="16" t="inlineStr"/>
      <c r="Z3" s="16" t="inlineStr"/>
      <c r="AA3" s="16" t="inlineStr"/>
      <c r="AB3" s="16" t="inlineStr"/>
      <c r="AC3" s="16" t="inlineStr"/>
      <c r="AD3" s="16" t="inlineStr"/>
      <c r="AE3" s="16" t="n">
        <v>5</v>
      </c>
      <c r="AF3" s="16" t="inlineStr"/>
      <c r="AG3" s="16" t="inlineStr"/>
      <c r="AH3" s="16" t="inlineStr"/>
      <c r="AI3" s="16" t="inlineStr"/>
      <c r="AJ3" s="16" t="inlineStr"/>
      <c r="AK3" s="16" t="inlineStr"/>
      <c r="AL3" s="16" t="inlineStr"/>
      <c r="AM3" s="16" t="inlineStr"/>
    </row>
    <row r="4">
      <c r="A4" s="13" t="inlineStr">
        <is>
          <t>Монетизация</t>
        </is>
      </c>
      <c r="B4" s="13" t="inlineStr">
        <is>
          <t>Орига - МегаСилы в ЛК (триал, предактивация)</t>
        </is>
      </c>
      <c r="C4" s="13" t="inlineStr"/>
      <c r="D4" s="13" t="inlineStr">
        <is>
          <t>деливери</t>
        </is>
      </c>
      <c r="E4" s="13" t="inlineStr">
        <is>
          <t>дизайн</t>
        </is>
      </c>
      <c r="F4" s="13" t="inlineStr">
        <is>
          <t>Дизайн</t>
        </is>
      </c>
      <c r="G4" s="13" t="inlineStr"/>
      <c r="H4" s="14">
        <f>IF(COUNTA(M4:AM4)=0,"",INDEX($M$1:$AM$1,AGGREGATE(15,6,(COLUMN($M$1:$AM$1)-COLUMN($M$1)+1)/(M4:AM4&lt;&gt;""),1)))</f>
        <v/>
      </c>
      <c r="I4" s="14">
        <f>IF(COUNTA(M4:AM4)=0,"",INDEX($M$1:$AM$1,AGGREGATE(14,6,(COLUMN($M$1:$AM$1)-COLUMN($M$1)+1)/(M4:AM4&lt;&gt;""),1))+MAX(0,IFERROR(LOOKUP(2,1/(M4:AM4&lt;&gt;""),M4:AM4),1)-1))</f>
        <v/>
      </c>
      <c r="J4" s="14">
        <f>IF(I4="","",WORKDAY(I4,1))</f>
        <v/>
      </c>
      <c r="K4" s="15">
        <f>IF(COUNTA(M4:AM4),SUM(M4:AM4),IF(AND(H4&lt;&gt;"",I4&lt;&gt;""),NETWORKDAYS(H4,I4),""))</f>
        <v/>
      </c>
      <c r="L4" s="13" t="inlineStr"/>
      <c r="M4" s="16" t="inlineStr"/>
      <c r="N4" s="16" t="inlineStr"/>
      <c r="O4" s="16" t="inlineStr"/>
      <c r="P4" s="16" t="inlineStr"/>
      <c r="Q4" s="16" t="inlineStr"/>
      <c r="R4" s="16" t="n">
        <v>1</v>
      </c>
      <c r="S4" s="16" t="n">
        <v>5</v>
      </c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6" t="inlineStr"/>
      <c r="AF4" s="16" t="inlineStr"/>
      <c r="AG4" s="16" t="inlineStr"/>
      <c r="AH4" s="16" t="inlineStr"/>
      <c r="AI4" s="16" t="inlineStr"/>
      <c r="AJ4" s="16" t="inlineStr"/>
      <c r="AK4" s="16" t="inlineStr"/>
      <c r="AL4" s="16" t="inlineStr"/>
      <c r="AM4" s="16" t="inlineStr"/>
    </row>
    <row r="5">
      <c r="A5" s="13" t="inlineStr">
        <is>
          <t>Монетизация</t>
        </is>
      </c>
      <c r="B5" s="13" t="inlineStr">
        <is>
          <t>Орига - МегаСилы в ЛК (триал, предактивация)</t>
        </is>
      </c>
      <c r="C5" s="13" t="inlineStr"/>
      <c r="D5" s="13" t="inlineStr">
        <is>
          <t>деливери</t>
        </is>
      </c>
      <c r="E5" s="13" t="inlineStr">
        <is>
          <t>аналитика</t>
        </is>
      </c>
      <c r="F5" s="13" t="inlineStr">
        <is>
          <t>SA</t>
        </is>
      </c>
      <c r="G5" s="13" t="inlineStr"/>
      <c r="H5" s="14">
        <f>IF(COUNTA(M5:AM5)=0,"",INDEX($M$1:$AM$1,AGGREGATE(15,6,(COLUMN($M$1:$AM$1)-COLUMN($M$1)+1)/(M5:AM5&lt;&gt;""),1)))</f>
        <v/>
      </c>
      <c r="I5" s="14">
        <f>IF(COUNTA(M5:AM5)=0,"",INDEX($M$1:$AM$1,AGGREGATE(14,6,(COLUMN($M$1:$AM$1)-COLUMN($M$1)+1)/(M5:AM5&lt;&gt;""),1))+MAX(0,IFERROR(LOOKUP(2,1/(M5:AM5&lt;&gt;""),M5:AM5),1)-1))</f>
        <v/>
      </c>
      <c r="J5" s="14">
        <f>IF(I5="","",WORKDAY(I5,1))</f>
        <v/>
      </c>
      <c r="K5" s="15">
        <f>IF(COUNTA(M5:AM5),SUM(M5:AM5),IF(AND(H5&lt;&gt;"",I5&lt;&gt;""),NETWORKDAYS(H5,I5),""))</f>
        <v/>
      </c>
      <c r="L5" s="13" t="inlineStr"/>
      <c r="M5" s="16" t="inlineStr"/>
      <c r="N5" s="16" t="inlineStr"/>
      <c r="O5" s="16" t="inlineStr"/>
      <c r="P5" s="16" t="n">
        <v>1</v>
      </c>
      <c r="Q5" s="16" t="n">
        <v>2</v>
      </c>
      <c r="R5" s="16" t="n">
        <v>5</v>
      </c>
      <c r="S5" s="16" t="n">
        <v>5</v>
      </c>
      <c r="T5" s="16" t="n">
        <v>5</v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6" t="inlineStr"/>
      <c r="AF5" s="16" t="inlineStr"/>
      <c r="AG5" s="16" t="inlineStr"/>
      <c r="AH5" s="16" t="inlineStr"/>
      <c r="AI5" s="16" t="inlineStr"/>
      <c r="AJ5" s="16" t="inlineStr"/>
      <c r="AK5" s="16" t="inlineStr"/>
      <c r="AL5" s="16" t="inlineStr"/>
      <c r="AM5" s="16" t="inlineStr"/>
    </row>
    <row r="6">
      <c r="A6" s="13" t="inlineStr">
        <is>
          <t>Монетизация</t>
        </is>
      </c>
      <c r="B6" s="13" t="inlineStr">
        <is>
          <t>Орига - МегаСилы в ЛК (триал, предактивация)</t>
        </is>
      </c>
      <c r="C6" s="13" t="inlineStr"/>
      <c r="D6" s="13" t="inlineStr">
        <is>
          <t>деливери</t>
        </is>
      </c>
      <c r="E6" s="13" t="inlineStr">
        <is>
          <t>бэк</t>
        </is>
      </c>
      <c r="F6" s="13" t="inlineStr">
        <is>
          <t>BE</t>
        </is>
      </c>
      <c r="G6" s="13" t="inlineStr"/>
      <c r="H6" s="14">
        <f>IF(COUNTA(M6:AM6)=0,"",INDEX($M$1:$AM$1,AGGREGATE(15,6,(COLUMN($M$1:$AM$1)-COLUMN($M$1)+1)/(M6:AM6&lt;&gt;""),1)))</f>
        <v/>
      </c>
      <c r="I6" s="14">
        <f>IF(COUNTA(M6:AM6)=0,"",INDEX($M$1:$AM$1,AGGREGATE(14,6,(COLUMN($M$1:$AM$1)-COLUMN($M$1)+1)/(M6:AM6&lt;&gt;""),1))+MAX(0,IFERROR(LOOKUP(2,1/(M6:AM6&lt;&gt;""),M6:AM6),1)-1))</f>
        <v/>
      </c>
      <c r="J6" s="14">
        <f>IF(I6="","",WORKDAY(I6,1))</f>
        <v/>
      </c>
      <c r="K6" s="15">
        <f>IF(COUNTA(M6:AM6),SUM(M6:AM6),IF(AND(H6&lt;&gt;"",I6&lt;&gt;""),NETWORKDAYS(H6,I6),""))</f>
        <v/>
      </c>
      <c r="L6" s="13" t="inlineStr"/>
      <c r="M6" s="16" t="inlineStr"/>
      <c r="N6" s="16" t="inlineStr"/>
      <c r="O6" s="16" t="inlineStr"/>
      <c r="P6" s="16" t="inlineStr"/>
      <c r="Q6" s="16" t="inlineStr"/>
      <c r="R6" s="16" t="inlineStr"/>
      <c r="S6" s="16" t="n">
        <v>4</v>
      </c>
      <c r="T6" s="16" t="n">
        <v>5</v>
      </c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</row>
    <row r="7">
      <c r="A7" s="13" t="inlineStr">
        <is>
          <t>Монетизация</t>
        </is>
      </c>
      <c r="B7" s="13" t="inlineStr">
        <is>
          <t>Орига - МегаСилы в ЛК (триал, предактивация)</t>
        </is>
      </c>
      <c r="C7" s="13" t="inlineStr"/>
      <c r="D7" s="13" t="inlineStr">
        <is>
          <t>деливери</t>
        </is>
      </c>
      <c r="E7" s="13" t="inlineStr">
        <is>
          <t>фронт</t>
        </is>
      </c>
      <c r="F7" s="13" t="inlineStr">
        <is>
          <t>FE</t>
        </is>
      </c>
      <c r="G7" s="13" t="inlineStr"/>
      <c r="H7" s="14">
        <f>IF(COUNTA(M7:AM7)=0,"",INDEX($M$1:$AM$1,AGGREGATE(15,6,(COLUMN($M$1:$AM$1)-COLUMN($M$1)+1)/(M7:AM7&lt;&gt;""),1)))</f>
        <v/>
      </c>
      <c r="I7" s="14">
        <f>IF(COUNTA(M7:AM7)=0,"",INDEX($M$1:$AM$1,AGGREGATE(14,6,(COLUMN($M$1:$AM$1)-COLUMN($M$1)+1)/(M7:AM7&lt;&gt;""),1))+MAX(0,IFERROR(LOOKUP(2,1/(M7:AM7&lt;&gt;""),M7:AM7),1)-1))</f>
        <v/>
      </c>
      <c r="J7" s="14">
        <f>IF(I7="","",WORKDAY(I7,1))</f>
        <v/>
      </c>
      <c r="K7" s="15">
        <f>IF(COUNTA(M7:AM7),SUM(M7:AM7),IF(AND(H7&lt;&gt;"",I7&lt;&gt;""),NETWORKDAYS(H7,I7),""))</f>
        <v/>
      </c>
      <c r="L7" s="13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n">
        <v>5</v>
      </c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6" t="inlineStr"/>
      <c r="AF7" s="16" t="inlineStr"/>
      <c r="AG7" s="16" t="inlineStr"/>
      <c r="AH7" s="16" t="inlineStr"/>
      <c r="AI7" s="16" t="inlineStr"/>
      <c r="AJ7" s="16" t="inlineStr"/>
      <c r="AK7" s="16" t="inlineStr"/>
      <c r="AL7" s="16" t="inlineStr"/>
      <c r="AM7" s="16" t="inlineStr"/>
    </row>
    <row r="8">
      <c r="A8" s="13" t="inlineStr">
        <is>
          <t>Монетизация</t>
        </is>
      </c>
      <c r="B8" s="13" t="inlineStr">
        <is>
          <t>Орига - МегаСилы в ЛК (триал, предактивация)</t>
        </is>
      </c>
      <c r="C8" s="13" t="inlineStr"/>
      <c r="D8" s="13" t="inlineStr">
        <is>
          <t>деливери</t>
        </is>
      </c>
      <c r="E8" s="13" t="inlineStr">
        <is>
          <t>тесты</t>
        </is>
      </c>
      <c r="F8" s="13" t="inlineStr">
        <is>
          <t>QA</t>
        </is>
      </c>
      <c r="G8" s="13" t="inlineStr"/>
      <c r="H8" s="14">
        <f>IF(COUNTA(M8:AM8)=0,"",INDEX($M$1:$AM$1,AGGREGATE(15,6,(COLUMN($M$1:$AM$1)-COLUMN($M$1)+1)/(M8:AM8&lt;&gt;""),1)))</f>
        <v/>
      </c>
      <c r="I8" s="14">
        <f>IF(COUNTA(M8:AM8)=0,"",INDEX($M$1:$AM$1,AGGREGATE(14,6,(COLUMN($M$1:$AM$1)-COLUMN($M$1)+1)/(M8:AM8&lt;&gt;""),1))+MAX(0,IFERROR(LOOKUP(2,1/(M8:AM8&lt;&gt;""),M8:AM8),1)-1))</f>
        <v/>
      </c>
      <c r="J8" s="14">
        <f>IF(I8="","",WORKDAY(I8,1))</f>
        <v/>
      </c>
      <c r="K8" s="15">
        <f>IF(COUNTA(M8:AM8),SUM(M8:AM8),IF(AND(H8&lt;&gt;"",I8&lt;&gt;""),NETWORKDAYS(H8,I8),""))</f>
        <v/>
      </c>
      <c r="L8" s="13" t="inlineStr"/>
      <c r="M8" s="16" t="inlineStr"/>
      <c r="N8" s="16" t="inlineStr"/>
      <c r="O8" s="16" t="inlineStr"/>
      <c r="P8" s="16" t="inlineStr"/>
      <c r="Q8" s="16" t="inlineStr"/>
      <c r="R8" s="16" t="inlineStr"/>
      <c r="S8" s="16" t="n">
        <v>1</v>
      </c>
      <c r="T8" s="16" t="n">
        <v>1</v>
      </c>
      <c r="U8" s="16" t="n">
        <v>5</v>
      </c>
      <c r="V8" s="16" t="n">
        <v>5</v>
      </c>
      <c r="W8" s="16" t="n">
        <v>1</v>
      </c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</row>
    <row r="9">
      <c r="A9" s="13" t="inlineStr">
        <is>
          <t>Монетизация</t>
        </is>
      </c>
      <c r="B9" s="13" t="inlineStr">
        <is>
          <t>Новые автопроды</t>
        </is>
      </c>
      <c r="C9" s="13" t="inlineStr">
        <is>
          <t>B2CPROD-1406</t>
        </is>
      </c>
      <c r="D9" s="13" t="inlineStr">
        <is>
          <t>дискавери</t>
        </is>
      </c>
      <c r="E9" s="13" t="inlineStr">
        <is>
          <t>дизайн</t>
        </is>
      </c>
      <c r="F9" s="13" t="inlineStr">
        <is>
          <t>Дизайн</t>
        </is>
      </c>
      <c r="G9" s="13" t="inlineStr"/>
      <c r="H9" s="14">
        <f>IF(COUNTA(M9:AM9)=0,"",INDEX($M$1:$AM$1,AGGREGATE(15,6,(COLUMN($M$1:$AM$1)-COLUMN($M$1)+1)/(M9:AM9&lt;&gt;""),1)))</f>
        <v/>
      </c>
      <c r="I9" s="14">
        <f>IF(COUNTA(M9:AM9)=0,"",INDEX($M$1:$AM$1,AGGREGATE(14,6,(COLUMN($M$1:$AM$1)-COLUMN($M$1)+1)/(M9:AM9&lt;&gt;""),1))+MAX(0,IFERROR(LOOKUP(2,1/(M9:AM9&lt;&gt;""),M9:AM9),1)-1))</f>
        <v/>
      </c>
      <c r="J9" s="14">
        <f>IF(I9="","",WORKDAY(I9,1))</f>
        <v/>
      </c>
      <c r="K9" s="15">
        <f>IF(COUNTA(M9:AM9),SUM(M9:AM9),IF(AND(H9&lt;&gt;"",I9&lt;&gt;""),NETWORKDAYS(H9,I9),""))</f>
        <v/>
      </c>
      <c r="L9" s="13" t="inlineStr"/>
      <c r="M9" s="16" t="inlineStr"/>
      <c r="N9" s="16" t="inlineStr"/>
      <c r="O9" s="16" t="inlineStr"/>
      <c r="P9" s="16" t="inlineStr"/>
      <c r="Q9" s="16" t="inlineStr"/>
      <c r="R9" s="16" t="n">
        <v>2</v>
      </c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  <c r="AB9" s="16" t="inlineStr"/>
      <c r="AC9" s="16" t="inlineStr"/>
      <c r="AD9" s="16" t="inlineStr"/>
      <c r="AE9" s="16" t="inlineStr"/>
      <c r="AF9" s="16" t="inlineStr"/>
      <c r="AG9" s="16" t="inlineStr"/>
      <c r="AH9" s="16" t="inlineStr"/>
      <c r="AI9" s="16" t="inlineStr"/>
      <c r="AJ9" s="16" t="inlineStr"/>
      <c r="AK9" s="16" t="inlineStr"/>
      <c r="AL9" s="16" t="inlineStr"/>
      <c r="AM9" s="16" t="inlineStr"/>
    </row>
    <row r="10">
      <c r="A10" s="13" t="inlineStr">
        <is>
          <t>Монетизация</t>
        </is>
      </c>
      <c r="B10" s="13" t="inlineStr">
        <is>
          <t>Новые автопроды</t>
        </is>
      </c>
      <c r="C10" s="13" t="inlineStr">
        <is>
          <t>B2CPROD-1406</t>
        </is>
      </c>
      <c r="D10" s="13" t="inlineStr">
        <is>
          <t>дискавери</t>
        </is>
      </c>
      <c r="E10" s="13" t="inlineStr">
        <is>
          <t>аналитика</t>
        </is>
      </c>
      <c r="F10" s="13" t="inlineStr">
        <is>
          <t>SA</t>
        </is>
      </c>
      <c r="G10" s="13" t="inlineStr"/>
      <c r="H10" s="14">
        <f>IF(COUNTA(M10:AM10)=0,"",INDEX($M$1:$AM$1,AGGREGATE(15,6,(COLUMN($M$1:$AM$1)-COLUMN($M$1)+1)/(M10:AM10&lt;&gt;""),1)))</f>
        <v/>
      </c>
      <c r="I10" s="14">
        <f>IF(COUNTA(M10:AM10)=0,"",INDEX($M$1:$AM$1,AGGREGATE(14,6,(COLUMN($M$1:$AM$1)-COLUMN($M$1)+1)/(M10:AM10&lt;&gt;""),1))+MAX(0,IFERROR(LOOKUP(2,1/(M10:AM10&lt;&gt;""),M10:AM10),1)-1))</f>
        <v/>
      </c>
      <c r="J10" s="14">
        <f>IF(I10="","",WORKDAY(I10,1))</f>
        <v/>
      </c>
      <c r="K10" s="15">
        <f>IF(COUNTA(M10:AM10),SUM(M10:AM10),IF(AND(H10&lt;&gt;"",I10&lt;&gt;""),NETWORKDAYS(H10,I10),""))</f>
        <v/>
      </c>
      <c r="L10" s="13" t="inlineStr"/>
      <c r="M10" s="16" t="inlineStr"/>
      <c r="N10" s="16" t="inlineStr"/>
      <c r="O10" s="16" t="inlineStr"/>
      <c r="P10" s="16" t="n">
        <v>2</v>
      </c>
      <c r="Q10" s="16" t="n">
        <v>1</v>
      </c>
      <c r="R10" s="16" t="n">
        <v>5</v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</row>
    <row r="11">
      <c r="A11" s="13" t="inlineStr">
        <is>
          <t>Монетизация</t>
        </is>
      </c>
      <c r="B11" s="13" t="inlineStr">
        <is>
          <t>Целевая схема скидок и их взаимодействия</t>
        </is>
      </c>
      <c r="C11" s="13" t="inlineStr">
        <is>
          <t>B2CPROD-996</t>
        </is>
      </c>
      <c r="D11" s="13" t="inlineStr">
        <is>
          <t>дискавери</t>
        </is>
      </c>
      <c r="E11" s="13" t="inlineStr">
        <is>
          <t>дизайн</t>
        </is>
      </c>
      <c r="F11" s="13" t="inlineStr">
        <is>
          <t>Дизайн</t>
        </is>
      </c>
      <c r="G11" s="13" t="inlineStr"/>
      <c r="H11" s="14">
        <f>IF(COUNTA(M11:AM11)=0,"",INDEX($M$1:$AM$1,AGGREGATE(15,6,(COLUMN($M$1:$AM$1)-COLUMN($M$1)+1)/(M11:AM11&lt;&gt;""),1)))</f>
        <v/>
      </c>
      <c r="I11" s="14">
        <f>IF(COUNTA(M11:AM11)=0,"",INDEX($M$1:$AM$1,AGGREGATE(14,6,(COLUMN($M$1:$AM$1)-COLUMN($M$1)+1)/(M11:AM11&lt;&gt;""),1))+MAX(0,IFERROR(LOOKUP(2,1/(M11:AM11&lt;&gt;""),M11:AM11),1)-1))</f>
        <v/>
      </c>
      <c r="J11" s="14">
        <f>IF(I11="","",WORKDAY(I11,1))</f>
        <v/>
      </c>
      <c r="K11" s="15">
        <f>IF(COUNTA(M11:AM11),SUM(M11:AM11),IF(AND(H11&lt;&gt;"",I11&lt;&gt;""),NETWORKDAYS(H11,I11),""))</f>
        <v/>
      </c>
      <c r="L11" s="13" t="inlineStr"/>
      <c r="M11" s="16" t="inlineStr"/>
      <c r="N11" s="16" t="n">
        <v>5</v>
      </c>
      <c r="O11" s="16" t="inlineStr"/>
      <c r="P11" s="16" t="inlineStr"/>
      <c r="Q11" s="16" t="inlineStr"/>
      <c r="R11" s="16" t="inlineStr"/>
      <c r="S11" s="16" t="inlineStr"/>
      <c r="T11" s="16" t="n">
        <v>5</v>
      </c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</row>
    <row r="12">
      <c r="A12" s="13" t="inlineStr">
        <is>
          <t>Монетизация</t>
        </is>
      </c>
      <c r="B12" s="13" t="inlineStr">
        <is>
          <t>Целевая схема скидок и их взаимодействия</t>
        </is>
      </c>
      <c r="C12" s="13" t="inlineStr">
        <is>
          <t>B2CPROD-996</t>
        </is>
      </c>
      <c r="D12" s="13" t="inlineStr">
        <is>
          <t>дискавери</t>
        </is>
      </c>
      <c r="E12" s="13" t="inlineStr">
        <is>
          <t>аналитика</t>
        </is>
      </c>
      <c r="F12" s="13" t="inlineStr">
        <is>
          <t>SA</t>
        </is>
      </c>
      <c r="G12" s="13" t="inlineStr"/>
      <c r="H12" s="14">
        <f>IF(COUNTA(M12:AM12)=0,"",INDEX($M$1:$AM$1,AGGREGATE(15,6,(COLUMN($M$1:$AM$1)-COLUMN($M$1)+1)/(M12:AM12&lt;&gt;""),1)))</f>
        <v/>
      </c>
      <c r="I12" s="14">
        <f>IF(COUNTA(M12:AM12)=0,"",INDEX($M$1:$AM$1,AGGREGATE(14,6,(COLUMN($M$1:$AM$1)-COLUMN($M$1)+1)/(M12:AM12&lt;&gt;""),1))+MAX(0,IFERROR(LOOKUP(2,1/(M12:AM12&lt;&gt;""),M12:AM12),1)-1))</f>
        <v/>
      </c>
      <c r="J12" s="14">
        <f>IF(I12="","",WORKDAY(I12,1))</f>
        <v/>
      </c>
      <c r="K12" s="15">
        <f>IF(COUNTA(M12:AM12),SUM(M12:AM12),IF(AND(H12&lt;&gt;"",I12&lt;&gt;""),NETWORKDAYS(H12,I12),""))</f>
        <v/>
      </c>
      <c r="L12" s="13" t="inlineStr"/>
      <c r="M12" s="16" t="inlineStr"/>
      <c r="N12" s="16" t="inlineStr"/>
      <c r="O12" s="16" t="n">
        <v>5</v>
      </c>
      <c r="P12" s="16" t="inlineStr"/>
      <c r="Q12" s="16" t="inlineStr"/>
      <c r="R12" s="16" t="inlineStr"/>
      <c r="S12" s="16" t="inlineStr"/>
      <c r="T12" s="16" t="inlineStr"/>
      <c r="U12" s="16" t="n">
        <v>5</v>
      </c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</row>
    <row r="13">
      <c r="A13" s="13" t="inlineStr">
        <is>
          <t>Монетизация</t>
        </is>
      </c>
      <c r="B13" s="13" t="inlineStr">
        <is>
          <t>Новая механика списания АП при смене тарифа</t>
        </is>
      </c>
      <c r="C13" s="13" t="inlineStr">
        <is>
          <t>B2CPROD-1409</t>
        </is>
      </c>
      <c r="D13" s="13" t="inlineStr">
        <is>
          <t>дискавери</t>
        </is>
      </c>
      <c r="E13" s="13" t="inlineStr">
        <is>
          <t>дизайн</t>
        </is>
      </c>
      <c r="F13" s="13" t="inlineStr">
        <is>
          <t>Дизайн</t>
        </is>
      </c>
      <c r="G13" s="13" t="inlineStr"/>
      <c r="H13" s="14">
        <f>IF(COUNTA(M13:AM13)=0,"",INDEX($M$1:$AM$1,AGGREGATE(15,6,(COLUMN($M$1:$AM$1)-COLUMN($M$1)+1)/(M13:AM13&lt;&gt;""),1)))</f>
        <v/>
      </c>
      <c r="I13" s="14">
        <f>IF(COUNTA(M13:AM13)=0,"",INDEX($M$1:$AM$1,AGGREGATE(14,6,(COLUMN($M$1:$AM$1)-COLUMN($M$1)+1)/(M13:AM13&lt;&gt;""),1))+MAX(0,IFERROR(LOOKUP(2,1/(M13:AM13&lt;&gt;""),M13:AM13),1)-1))</f>
        <v/>
      </c>
      <c r="J13" s="14">
        <f>IF(I13="","",WORKDAY(I13,1))</f>
        <v/>
      </c>
      <c r="K13" s="15">
        <f>IF(COUNTA(M13:AM13),SUM(M13:AM13),IF(AND(H13&lt;&gt;"",I13&lt;&gt;""),NETWORKDAYS(H13,I13),""))</f>
        <v/>
      </c>
      <c r="L13" s="13" t="inlineStr"/>
      <c r="M13" s="16" t="inlineStr"/>
      <c r="N13" s="16" t="inlineStr"/>
      <c r="O13" s="16" t="inlineStr"/>
      <c r="P13" s="16" t="inlineStr"/>
      <c r="Q13" s="16" t="inlineStr"/>
      <c r="R13" s="16" t="n">
        <v>5</v>
      </c>
      <c r="S13" s="16" t="inlineStr"/>
      <c r="T13" s="16" t="inlineStr"/>
      <c r="U13" s="16" t="n">
        <v>5</v>
      </c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  <c r="AJ13" s="16" t="inlineStr"/>
      <c r="AK13" s="16" t="inlineStr"/>
      <c r="AL13" s="16" t="inlineStr"/>
      <c r="AM13" s="16" t="inlineStr"/>
    </row>
    <row r="14">
      <c r="A14" s="13" t="inlineStr">
        <is>
          <t>Монетизация</t>
        </is>
      </c>
      <c r="B14" s="13" t="inlineStr">
        <is>
          <t>Новая механика списания АП при смене тарифа</t>
        </is>
      </c>
      <c r="C14" s="13" t="inlineStr">
        <is>
          <t>B2CPROD-1409</t>
        </is>
      </c>
      <c r="D14" s="13" t="inlineStr">
        <is>
          <t>дискавери</t>
        </is>
      </c>
      <c r="E14" s="13" t="inlineStr">
        <is>
          <t>аналитика</t>
        </is>
      </c>
      <c r="F14" s="13" t="inlineStr">
        <is>
          <t>SA</t>
        </is>
      </c>
      <c r="G14" s="13" t="inlineStr"/>
      <c r="H14" s="14">
        <f>IF(COUNTA(M14:AM14)=0,"",INDEX($M$1:$AM$1,AGGREGATE(15,6,(COLUMN($M$1:$AM$1)-COLUMN($M$1)+1)/(M14:AM14&lt;&gt;""),1)))</f>
        <v/>
      </c>
      <c r="I14" s="14">
        <f>IF(COUNTA(M14:AM14)=0,"",INDEX($M$1:$AM$1,AGGREGATE(14,6,(COLUMN($M$1:$AM$1)-COLUMN($M$1)+1)/(M14:AM14&lt;&gt;""),1))+MAX(0,IFERROR(LOOKUP(2,1/(M14:AM14&lt;&gt;""),M14:AM14),1)-1))</f>
        <v/>
      </c>
      <c r="J14" s="14">
        <f>IF(I14="","",WORKDAY(I14,1))</f>
        <v/>
      </c>
      <c r="K14" s="15">
        <f>IF(COUNTA(M14:AM14),SUM(M14:AM14),IF(AND(H14&lt;&gt;"",I14&lt;&gt;""),NETWORKDAYS(H14,I14),""))</f>
        <v/>
      </c>
      <c r="L14" s="13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n">
        <v>5</v>
      </c>
      <c r="T14" s="16" t="inlineStr"/>
      <c r="U14" s="16" t="inlineStr"/>
      <c r="V14" s="16" t="n">
        <v>5</v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6" t="inlineStr"/>
    </row>
    <row r="15">
      <c r="A15" s="13" t="inlineStr">
        <is>
          <t>Монетизация</t>
        </is>
      </c>
      <c r="B15" s="13" t="inlineStr">
        <is>
          <t>Склеивание АП при подкл-и услуг</t>
        </is>
      </c>
      <c r="C15" s="13" t="inlineStr">
        <is>
          <t>B2CPROD-1500</t>
        </is>
      </c>
      <c r="D15" s="13" t="inlineStr">
        <is>
          <t>дискавери</t>
        </is>
      </c>
      <c r="E15" s="13" t="inlineStr">
        <is>
          <t>дизайн</t>
        </is>
      </c>
      <c r="F15" s="13" t="inlineStr">
        <is>
          <t>Дизайн</t>
        </is>
      </c>
      <c r="G15" s="13" t="inlineStr"/>
      <c r="H15" s="14">
        <f>IF(COUNTA(M15:AM15)=0,"",INDEX($M$1:$AM$1,AGGREGATE(15,6,(COLUMN($M$1:$AM$1)-COLUMN($M$1)+1)/(M15:AM15&lt;&gt;""),1)))</f>
        <v/>
      </c>
      <c r="I15" s="14">
        <f>IF(COUNTA(M15:AM15)=0,"",INDEX($M$1:$AM$1,AGGREGATE(14,6,(COLUMN($M$1:$AM$1)-COLUMN($M$1)+1)/(M15:AM15&lt;&gt;""),1))+MAX(0,IFERROR(LOOKUP(2,1/(M15:AM15&lt;&gt;""),M15:AM15),1)-1))</f>
        <v/>
      </c>
      <c r="J15" s="14">
        <f>IF(I15="","",WORKDAY(I15,1))</f>
        <v/>
      </c>
      <c r="K15" s="15">
        <f>IF(COUNTA(M15:AM15),SUM(M15:AM15),IF(AND(H15&lt;&gt;"",I15&lt;&gt;""),NETWORKDAYS(H15,I15),""))</f>
        <v/>
      </c>
      <c r="L15" s="13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n">
        <v>5</v>
      </c>
      <c r="V15" s="16" t="n">
        <v>5</v>
      </c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16" t="inlineStr"/>
      <c r="AF15" s="16" t="inlineStr"/>
      <c r="AG15" s="16" t="inlineStr"/>
      <c r="AH15" s="16" t="inlineStr"/>
      <c r="AI15" s="16" t="inlineStr"/>
      <c r="AJ15" s="16" t="inlineStr"/>
      <c r="AK15" s="16" t="inlineStr"/>
      <c r="AL15" s="16" t="inlineStr"/>
      <c r="AM15" s="16" t="inlineStr"/>
    </row>
    <row r="16">
      <c r="A16" s="13" t="inlineStr">
        <is>
          <t>Монетизация</t>
        </is>
      </c>
      <c r="B16" s="13" t="inlineStr">
        <is>
          <t>Склеивание АП при подкл-и услуг</t>
        </is>
      </c>
      <c r="C16" s="13" t="inlineStr">
        <is>
          <t>B2CPROD-1500</t>
        </is>
      </c>
      <c r="D16" s="13" t="inlineStr">
        <is>
          <t>дискавери</t>
        </is>
      </c>
      <c r="E16" s="13" t="inlineStr">
        <is>
          <t>аналитика</t>
        </is>
      </c>
      <c r="F16" s="13" t="inlineStr">
        <is>
          <t>SA</t>
        </is>
      </c>
      <c r="G16" s="13" t="inlineStr"/>
      <c r="H16" s="14">
        <f>IF(COUNTA(M16:AM16)=0,"",INDEX($M$1:$AM$1,AGGREGATE(15,6,(COLUMN($M$1:$AM$1)-COLUMN($M$1)+1)/(M16:AM16&lt;&gt;""),1)))</f>
        <v/>
      </c>
      <c r="I16" s="14">
        <f>IF(COUNTA(M16:AM16)=0,"",INDEX($M$1:$AM$1,AGGREGATE(14,6,(COLUMN($M$1:$AM$1)-COLUMN($M$1)+1)/(M16:AM16&lt;&gt;""),1))+MAX(0,IFERROR(LOOKUP(2,1/(M16:AM16&lt;&gt;""),M16:AM16),1)-1))</f>
        <v/>
      </c>
      <c r="J16" s="14">
        <f>IF(I16="","",WORKDAY(I16,1))</f>
        <v/>
      </c>
      <c r="K16" s="15">
        <f>IF(COUNTA(M16:AM16),SUM(M16:AM16),IF(AND(H16&lt;&gt;"",I16&lt;&gt;""),NETWORKDAYS(H16,I16),""))</f>
        <v/>
      </c>
      <c r="L16" s="13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n">
        <v>5</v>
      </c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6" t="inlineStr"/>
    </row>
    <row r="17">
      <c r="A17" s="13" t="inlineStr">
        <is>
          <t>МегаИнтернет</t>
        </is>
      </c>
      <c r="B17" s="13" t="inlineStr">
        <is>
          <t>5G турбо</t>
        </is>
      </c>
      <c r="C17" s="13" t="inlineStr"/>
      <c r="D17" s="13" t="inlineStr"/>
      <c r="E17" s="13" t="inlineStr">
        <is>
          <t>Настя (диз)</t>
        </is>
      </c>
      <c r="F17" s="13" t="inlineStr">
        <is>
          <t>Дизайн</t>
        </is>
      </c>
      <c r="G17" s="13" t="inlineStr"/>
      <c r="H17" s="14">
        <f>IF(COUNTA(M17:AM17)=0,"",INDEX($M$1:$AM$1,AGGREGATE(15,6,(COLUMN($M$1:$AM$1)-COLUMN($M$1)+1)/(M17:AM17&lt;&gt;""),1)))</f>
        <v/>
      </c>
      <c r="I17" s="14">
        <f>IF(COUNTA(M17:AM17)=0,"",INDEX($M$1:$AM$1,AGGREGATE(14,6,(COLUMN($M$1:$AM$1)-COLUMN($M$1)+1)/(M17:AM17&lt;&gt;""),1))+MAX(0,IFERROR(LOOKUP(2,1/(M17:AM17&lt;&gt;""),M17:AM17),1)-1))</f>
        <v/>
      </c>
      <c r="J17" s="14">
        <f>IF(I17="","",WORKDAY(I17,1))</f>
        <v/>
      </c>
      <c r="K17" s="15">
        <f>IF(COUNTA(M17:AM17),SUM(M17:AM17),IF(AND(H17&lt;&gt;"",I17&lt;&gt;""),NETWORKDAYS(H17,I17),""))</f>
        <v/>
      </c>
      <c r="L17" s="13" t="inlineStr"/>
      <c r="M17" s="16" t="n">
        <v>2</v>
      </c>
      <c r="N17" s="16" t="n">
        <v>5</v>
      </c>
      <c r="O17" s="16" t="n">
        <v>3</v>
      </c>
      <c r="P17" s="16" t="n">
        <v>5</v>
      </c>
      <c r="Q17" s="16" t="inlineStr"/>
      <c r="R17" s="16" t="inlineStr"/>
      <c r="S17" s="16" t="inlineStr"/>
      <c r="T17" s="16" t="inlineStr"/>
      <c r="U17" s="16" t="inlineStr"/>
      <c r="V17" s="16" t="inlineStr"/>
      <c r="W17" s="16" t="inlineStr"/>
      <c r="X17" s="16" t="inlineStr"/>
      <c r="Y17" s="16" t="inlineStr"/>
      <c r="Z17" s="16" t="inlineStr"/>
      <c r="AA17" s="16" t="inlineStr"/>
      <c r="AB17" s="16" t="inlineStr"/>
      <c r="AC17" s="16" t="inlineStr"/>
      <c r="AD17" s="16" t="inlineStr"/>
      <c r="AE17" s="16" t="inlineStr"/>
      <c r="AF17" s="16" t="inlineStr"/>
      <c r="AG17" s="16" t="inlineStr"/>
      <c r="AH17" s="16" t="inlineStr"/>
      <c r="AI17" s="16" t="inlineStr"/>
      <c r="AJ17" s="16" t="inlineStr"/>
      <c r="AK17" s="16" t="inlineStr"/>
      <c r="AL17" s="16" t="inlineStr"/>
      <c r="AM17" s="16" t="inlineStr"/>
    </row>
    <row r="18">
      <c r="A18" s="13" t="inlineStr">
        <is>
          <t>МегаИнтернет</t>
        </is>
      </c>
      <c r="B18" s="13" t="inlineStr">
        <is>
          <t>5G турбо</t>
        </is>
      </c>
      <c r="C18" s="13" t="inlineStr"/>
      <c r="D18" s="13" t="inlineStr"/>
      <c r="E18" s="13" t="inlineStr">
        <is>
          <t>Володя (SA)</t>
        </is>
      </c>
      <c r="F18" s="13" t="inlineStr">
        <is>
          <t>SA</t>
        </is>
      </c>
      <c r="G18" s="13" t="inlineStr"/>
      <c r="H18" s="14">
        <f>IF(COUNTA(M18:AM18)=0,"",INDEX($M$1:$AM$1,AGGREGATE(15,6,(COLUMN($M$1:$AM$1)-COLUMN($M$1)+1)/(M18:AM18&lt;&gt;""),1)))</f>
        <v/>
      </c>
      <c r="I18" s="14">
        <f>IF(COUNTA(M18:AM18)=0,"",INDEX($M$1:$AM$1,AGGREGATE(14,6,(COLUMN($M$1:$AM$1)-COLUMN($M$1)+1)/(M18:AM18&lt;&gt;""),1))+MAX(0,IFERROR(LOOKUP(2,1/(M18:AM18&lt;&gt;""),M18:AM18),1)-1))</f>
        <v/>
      </c>
      <c r="J18" s="14">
        <f>IF(I18="","",WORKDAY(I18,1))</f>
        <v/>
      </c>
      <c r="K18" s="15">
        <f>IF(COUNTA(M18:AM18),SUM(M18:AM18),IF(AND(H18&lt;&gt;"",I18&lt;&gt;""),NETWORKDAYS(H18,I18),""))</f>
        <v/>
      </c>
      <c r="L18" s="13" t="inlineStr"/>
      <c r="M18" s="16" t="n">
        <v>1</v>
      </c>
      <c r="N18" s="16" t="n">
        <v>3</v>
      </c>
      <c r="O18" s="16" t="n">
        <v>5</v>
      </c>
      <c r="P18" s="16" t="n">
        <v>5</v>
      </c>
      <c r="Q18" s="16" t="n">
        <v>5</v>
      </c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  <c r="AJ18" s="16" t="inlineStr"/>
      <c r="AK18" s="16" t="inlineStr"/>
      <c r="AL18" s="16" t="inlineStr"/>
      <c r="AM18" s="16" t="inlineStr"/>
    </row>
    <row r="19">
      <c r="A19" s="13" t="inlineStr">
        <is>
          <t>МегаИнтернет</t>
        </is>
      </c>
      <c r="B19" s="13" t="inlineStr">
        <is>
          <t>5G турбо</t>
        </is>
      </c>
      <c r="C19" s="13" t="inlineStr"/>
      <c r="D19" s="13" t="inlineStr"/>
      <c r="E19" s="13" t="inlineStr">
        <is>
          <t>ВЕ</t>
        </is>
      </c>
      <c r="F19" s="13" t="inlineStr">
        <is>
          <t>BE</t>
        </is>
      </c>
      <c r="G19" s="13" t="inlineStr"/>
      <c r="H19" s="14">
        <f>IF(COUNTA(M19:AM19)=0,"",INDEX($M$1:$AM$1,AGGREGATE(15,6,(COLUMN($M$1:$AM$1)-COLUMN($M$1)+1)/(M19:AM19&lt;&gt;""),1)))</f>
        <v/>
      </c>
      <c r="I19" s="14">
        <f>IF(COUNTA(M19:AM19)=0,"",INDEX($M$1:$AM$1,AGGREGATE(14,6,(COLUMN($M$1:$AM$1)-COLUMN($M$1)+1)/(M19:AM19&lt;&gt;""),1))+MAX(0,IFERROR(LOOKUP(2,1/(M19:AM19&lt;&gt;""),M19:AM19),1)-1))</f>
        <v/>
      </c>
      <c r="J19" s="14">
        <f>IF(I19="","",WORKDAY(I19,1))</f>
        <v/>
      </c>
      <c r="K19" s="15">
        <f>IF(COUNTA(M19:AM19),SUM(M19:AM19),IF(AND(H19&lt;&gt;"",I19&lt;&gt;""),NETWORKDAYS(H19,I19),""))</f>
        <v/>
      </c>
      <c r="L19" s="13" t="inlineStr"/>
      <c r="M19" s="16" t="inlineStr"/>
      <c r="N19" s="16" t="inlineStr"/>
      <c r="O19" s="16" t="inlineStr"/>
      <c r="P19" s="16" t="inlineStr"/>
      <c r="Q19" s="16" t="n">
        <v>5</v>
      </c>
      <c r="R19" s="16" t="n">
        <v>5</v>
      </c>
      <c r="S19" s="16" t="inlineStr"/>
      <c r="T19" s="16" t="inlineStr"/>
      <c r="U19" s="16" t="inlineStr"/>
      <c r="V19" s="16" t="inlineStr"/>
      <c r="W19" s="16" t="inlineStr"/>
      <c r="X19" s="16" t="inlineStr"/>
      <c r="Y19" s="16" t="inlineStr"/>
      <c r="Z19" s="16" t="inlineStr"/>
      <c r="AA19" s="16" t="inlineStr"/>
      <c r="AB19" s="16" t="inlineStr"/>
      <c r="AC19" s="16" t="inlineStr"/>
      <c r="AD19" s="16" t="inlineStr"/>
      <c r="AE19" s="16" t="inlineStr"/>
      <c r="AF19" s="16" t="inlineStr"/>
      <c r="AG19" s="16" t="inlineStr"/>
      <c r="AH19" s="16" t="inlineStr"/>
      <c r="AI19" s="16" t="inlineStr"/>
      <c r="AJ19" s="16" t="inlineStr"/>
      <c r="AK19" s="16" t="inlineStr"/>
      <c r="AL19" s="16" t="inlineStr"/>
      <c r="AM19" s="16" t="inlineStr"/>
    </row>
    <row r="20">
      <c r="A20" s="13" t="inlineStr">
        <is>
          <t>МегаИнтернет</t>
        </is>
      </c>
      <c r="B20" s="13" t="inlineStr">
        <is>
          <t>5G турбо</t>
        </is>
      </c>
      <c r="C20" s="13" t="inlineStr"/>
      <c r="D20" s="13" t="inlineStr"/>
      <c r="E20" s="13" t="inlineStr">
        <is>
          <t>FE</t>
        </is>
      </c>
      <c r="F20" s="13" t="inlineStr">
        <is>
          <t>FE</t>
        </is>
      </c>
      <c r="G20" s="13" t="inlineStr"/>
      <c r="H20" s="14">
        <f>IF(COUNTA(M20:AM20)=0,"",INDEX($M$1:$AM$1,AGGREGATE(15,6,(COLUMN($M$1:$AM$1)-COLUMN($M$1)+1)/(M20:AM20&lt;&gt;""),1)))</f>
        <v/>
      </c>
      <c r="I20" s="14">
        <f>IF(COUNTA(M20:AM20)=0,"",INDEX($M$1:$AM$1,AGGREGATE(14,6,(COLUMN($M$1:$AM$1)-COLUMN($M$1)+1)/(M20:AM20&lt;&gt;""),1))+MAX(0,IFERROR(LOOKUP(2,1/(M20:AM20&lt;&gt;""),M20:AM20),1)-1))</f>
        <v/>
      </c>
      <c r="J20" s="14">
        <f>IF(I20="","",WORKDAY(I20,1))</f>
        <v/>
      </c>
      <c r="K20" s="15">
        <f>IF(COUNTA(M20:AM20),SUM(M20:AM20),IF(AND(H20&lt;&gt;"",I20&lt;&gt;""),NETWORKDAYS(H20,I20),""))</f>
        <v/>
      </c>
      <c r="L20" s="13" t="inlineStr"/>
      <c r="M20" s="16" t="inlineStr"/>
      <c r="N20" s="16" t="inlineStr"/>
      <c r="O20" s="16" t="inlineStr"/>
      <c r="P20" s="16" t="inlineStr"/>
      <c r="Q20" s="16" t="inlineStr"/>
      <c r="R20" s="16" t="n">
        <v>5</v>
      </c>
      <c r="S20" s="16" t="n">
        <v>5</v>
      </c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</row>
    <row r="21">
      <c r="A21" s="13" t="inlineStr">
        <is>
          <t>МегаИнтернет</t>
        </is>
      </c>
      <c r="B21" s="13" t="inlineStr">
        <is>
          <t>5G турбо</t>
        </is>
      </c>
      <c r="C21" s="13" t="inlineStr"/>
      <c r="D21" s="13" t="inlineStr"/>
      <c r="E21" s="13" t="inlineStr">
        <is>
          <t>Дмитриева Мария</t>
        </is>
      </c>
      <c r="F21" s="13" t="inlineStr">
        <is>
          <t>QA</t>
        </is>
      </c>
      <c r="G21" s="13" t="inlineStr"/>
      <c r="H21" s="14">
        <f>IF(COUNTA(M21:AM21)=0,"",INDEX($M$1:$AM$1,AGGREGATE(15,6,(COLUMN($M$1:$AM$1)-COLUMN($M$1)+1)/(M21:AM21&lt;&gt;""),1)))</f>
        <v/>
      </c>
      <c r="I21" s="14">
        <f>IF(COUNTA(M21:AM21)=0,"",INDEX($M$1:$AM$1,AGGREGATE(14,6,(COLUMN($M$1:$AM$1)-COLUMN($M$1)+1)/(M21:AM21&lt;&gt;""),1))+MAX(0,IFERROR(LOOKUP(2,1/(M21:AM21&lt;&gt;""),M21:AM21),1)-1))</f>
        <v/>
      </c>
      <c r="J21" s="14">
        <f>IF(I21="","",WORKDAY(I21,1))</f>
        <v/>
      </c>
      <c r="K21" s="15">
        <f>IF(COUNTA(M21:AM21),SUM(M21:AM21),IF(AND(H21&lt;&gt;"",I21&lt;&gt;""),NETWORKDAYS(H21,I21),""))</f>
        <v/>
      </c>
      <c r="L21" s="13" t="inlineStr"/>
      <c r="M21" s="16" t="inlineStr"/>
      <c r="N21" s="16" t="inlineStr"/>
      <c r="O21" s="16" t="inlineStr"/>
      <c r="P21" s="16" t="inlineStr"/>
      <c r="Q21" s="16" t="inlineStr"/>
      <c r="R21" s="16" t="n">
        <v>5</v>
      </c>
      <c r="S21" s="16" t="n">
        <v>5</v>
      </c>
      <c r="T21" s="16" t="n">
        <v>3</v>
      </c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16" t="inlineStr"/>
      <c r="AF21" s="16" t="inlineStr"/>
      <c r="AG21" s="16" t="inlineStr"/>
      <c r="AH21" s="16" t="inlineStr"/>
      <c r="AI21" s="16" t="inlineStr"/>
      <c r="AJ21" s="16" t="inlineStr"/>
      <c r="AK21" s="16" t="inlineStr"/>
      <c r="AL21" s="16" t="inlineStr"/>
      <c r="AM21" s="16" t="inlineStr"/>
    </row>
    <row r="22">
      <c r="A22" s="13" t="inlineStr">
        <is>
          <t>МегаИнтернет</t>
        </is>
      </c>
      <c r="B22" s="13" t="inlineStr">
        <is>
          <t>Витрина Мега5G - что сможем</t>
        </is>
      </c>
      <c r="C22" s="13" t="inlineStr"/>
      <c r="D22" s="13" t="inlineStr"/>
      <c r="E22" s="13" t="inlineStr">
        <is>
          <t>Стас (диз)</t>
        </is>
      </c>
      <c r="F22" s="13" t="inlineStr">
        <is>
          <t>Дизайн</t>
        </is>
      </c>
      <c r="G22" s="13" t="inlineStr"/>
      <c r="H22" s="14">
        <f>IF(COUNTA(M22:AM22)=0,"",INDEX($M$1:$AM$1,AGGREGATE(15,6,(COLUMN($M$1:$AM$1)-COLUMN($M$1)+1)/(M22:AM22&lt;&gt;""),1)))</f>
        <v/>
      </c>
      <c r="I22" s="14">
        <f>IF(COUNTA(M22:AM22)=0,"",INDEX($M$1:$AM$1,AGGREGATE(14,6,(COLUMN($M$1:$AM$1)-COLUMN($M$1)+1)/(M22:AM22&lt;&gt;""),1))+MAX(0,IFERROR(LOOKUP(2,1/(M22:AM22&lt;&gt;""),M22:AM22),1)-1))</f>
        <v/>
      </c>
      <c r="J22" s="14">
        <f>IF(I22="","",WORKDAY(I22,1))</f>
        <v/>
      </c>
      <c r="K22" s="15">
        <f>IF(COUNTA(M22:AM22),SUM(M22:AM22),IF(AND(H22&lt;&gt;"",I22&lt;&gt;""),NETWORKDAYS(H22,I22),""))</f>
        <v/>
      </c>
      <c r="L22" s="13" t="inlineStr"/>
      <c r="M22" s="16" t="inlineStr"/>
      <c r="N22" s="16" t="inlineStr"/>
      <c r="O22" s="16" t="inlineStr"/>
      <c r="P22" s="16" t="inlineStr"/>
      <c r="Q22" s="16" t="inlineStr"/>
      <c r="R22" s="16" t="n">
        <v>5</v>
      </c>
      <c r="S22" s="16" t="n">
        <v>5</v>
      </c>
      <c r="T22" s="16" t="n">
        <v>3</v>
      </c>
      <c r="U22" s="16" t="inlineStr"/>
      <c r="V22" s="16" t="inlineStr"/>
      <c r="W22" s="16" t="inlineStr"/>
      <c r="X22" s="16" t="inlineStr"/>
      <c r="Y22" s="16" t="n">
        <v>1</v>
      </c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</row>
    <row r="23">
      <c r="A23" s="13" t="inlineStr">
        <is>
          <t>МегаИнтернет</t>
        </is>
      </c>
      <c r="B23" s="13" t="inlineStr">
        <is>
          <t>Витрина Мега5G - что сможем</t>
        </is>
      </c>
      <c r="C23" s="13" t="inlineStr"/>
      <c r="D23" s="13" t="inlineStr"/>
      <c r="E23" s="13" t="inlineStr">
        <is>
          <t>Стас (диз)</t>
        </is>
      </c>
      <c r="F23" s="13" t="inlineStr">
        <is>
          <t>Дизайн</t>
        </is>
      </c>
      <c r="G23" s="13" t="inlineStr">
        <is>
          <t>да</t>
        </is>
      </c>
      <c r="H23" s="14">
        <f>IF(COUNTA(M23:AM23)=0,"",INDEX($M$1:$AM$1,AGGREGATE(15,6,(COLUMN($M$1:$AM$1)-COLUMN($M$1)+1)/(M23:AM23&lt;&gt;""),1)))</f>
        <v/>
      </c>
      <c r="I23" s="14">
        <f>IF(COUNTA(M23:AM23)=0,"",INDEX($M$1:$AM$1,AGGREGATE(14,6,(COLUMN($M$1:$AM$1)-COLUMN($M$1)+1)/(M23:AM23&lt;&gt;""),1))+MAX(0,IFERROR(LOOKUP(2,1/(M23:AM23&lt;&gt;""),M23:AM23),1)-1))</f>
        <v/>
      </c>
      <c r="J23" s="14">
        <f>IF(I23="","",WORKDAY(I23,1))</f>
        <v/>
      </c>
      <c r="K23" s="15">
        <f>IF(COUNTA(M23:AM23),SUM(M23:AM23),IF(AND(H23&lt;&gt;"",I23&lt;&gt;""),NETWORKDAYS(H23,I23),""))</f>
        <v/>
      </c>
      <c r="L23" s="13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  <c r="T23" s="16" t="inlineStr"/>
      <c r="U23" s="16" t="inlineStr"/>
      <c r="V23" s="16" t="inlineStr"/>
      <c r="W23" s="16" t="n">
        <v>5</v>
      </c>
      <c r="X23" s="16" t="inlineStr"/>
      <c r="Y23" s="16" t="inlineStr"/>
      <c r="Z23" s="16" t="inlineStr"/>
      <c r="AA23" s="16" t="inlineStr"/>
      <c r="AB23" s="16" t="inlineStr"/>
      <c r="AC23" s="16" t="inlineStr"/>
      <c r="AD23" s="16" t="inlineStr"/>
      <c r="AE23" s="16" t="inlineStr"/>
      <c r="AF23" s="16" t="inlineStr"/>
      <c r="AG23" s="16" t="inlineStr"/>
      <c r="AH23" s="16" t="inlineStr"/>
      <c r="AI23" s="16" t="inlineStr"/>
      <c r="AJ23" s="16" t="inlineStr"/>
      <c r="AK23" s="16" t="inlineStr"/>
      <c r="AL23" s="16" t="inlineStr"/>
      <c r="AM23" s="16" t="inlineStr"/>
    </row>
    <row r="24">
      <c r="A24" s="13" t="inlineStr">
        <is>
          <t>МегаИнтернет</t>
        </is>
      </c>
      <c r="B24" s="13" t="inlineStr">
        <is>
          <t>Витрина Мега5G - что сможем</t>
        </is>
      </c>
      <c r="C24" s="13" t="inlineStr"/>
      <c r="D24" s="13" t="inlineStr"/>
      <c r="E24" s="13" t="inlineStr">
        <is>
          <t>Володя (SA) нужен еще один</t>
        </is>
      </c>
      <c r="F24" s="13" t="inlineStr">
        <is>
          <t>SA</t>
        </is>
      </c>
      <c r="G24" s="13" t="inlineStr"/>
      <c r="H24" s="14">
        <f>IF(COUNTA(M24:AM24)=0,"",INDEX($M$1:$AM$1,AGGREGATE(15,6,(COLUMN($M$1:$AM$1)-COLUMN($M$1)+1)/(M24:AM24&lt;&gt;""),1)))</f>
        <v/>
      </c>
      <c r="I24" s="14">
        <f>IF(COUNTA(M24:AM24)=0,"",INDEX($M$1:$AM$1,AGGREGATE(14,6,(COLUMN($M$1:$AM$1)-COLUMN($M$1)+1)/(M24:AM24&lt;&gt;""),1))+MAX(0,IFERROR(LOOKUP(2,1/(M24:AM24&lt;&gt;""),M24:AM24),1)-1))</f>
        <v/>
      </c>
      <c r="J24" s="14">
        <f>IF(I24="","",WORKDAY(I24,1))</f>
        <v/>
      </c>
      <c r="K24" s="15">
        <f>IF(COUNTA(M24:AM24),SUM(M24:AM24),IF(AND(H24&lt;&gt;"",I24&lt;&gt;""),NETWORKDAYS(H24,I24),""))</f>
        <v/>
      </c>
      <c r="L24" s="13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n">
        <v>1</v>
      </c>
      <c r="T24" s="16" t="n">
        <v>4</v>
      </c>
      <c r="U24" s="16" t="inlineStr"/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s="16" t="inlineStr"/>
      <c r="AE24" s="16" t="inlineStr"/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</row>
    <row r="25">
      <c r="A25" s="13" t="inlineStr">
        <is>
          <t>МегаИнтернет</t>
        </is>
      </c>
      <c r="B25" s="13" t="inlineStr">
        <is>
          <t>Витрина Мега5G - что сможем</t>
        </is>
      </c>
      <c r="C25" s="13" t="inlineStr"/>
      <c r="D25" s="13" t="inlineStr"/>
      <c r="E25" s="13" t="inlineStr">
        <is>
          <t>Володя (SA) нужен еще один</t>
        </is>
      </c>
      <c r="F25" s="13" t="inlineStr">
        <is>
          <t>SA</t>
        </is>
      </c>
      <c r="G25" s="13" t="inlineStr">
        <is>
          <t>да</t>
        </is>
      </c>
      <c r="H25" s="14">
        <f>IF(COUNTA(M25:AM25)=0,"",INDEX($M$1:$AM$1,AGGREGATE(15,6,(COLUMN($M$1:$AM$1)-COLUMN($M$1)+1)/(M25:AM25&lt;&gt;""),1)))</f>
        <v/>
      </c>
      <c r="I25" s="14">
        <f>IF(COUNTA(M25:AM25)=0,"",INDEX($M$1:$AM$1,AGGREGATE(14,6,(COLUMN($M$1:$AM$1)-COLUMN($M$1)+1)/(M25:AM25&lt;&gt;""),1))+MAX(0,IFERROR(LOOKUP(2,1/(M25:AM25&lt;&gt;""),M25:AM25),1)-1))</f>
        <v/>
      </c>
      <c r="J25" s="14">
        <f>IF(I25="","",WORKDAY(I25,1))</f>
        <v/>
      </c>
      <c r="K25" s="15">
        <f>IF(COUNTA(M25:AM25),SUM(M25:AM25),IF(AND(H25&lt;&gt;"",I25&lt;&gt;""),NETWORKDAYS(H25,I25),""))</f>
        <v/>
      </c>
      <c r="L25" s="13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s="16" t="inlineStr"/>
      <c r="U25" s="16" t="n">
        <v>5</v>
      </c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s="16" t="inlineStr"/>
      <c r="AE25" s="16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</row>
    <row r="26">
      <c r="A26" s="13" t="inlineStr">
        <is>
          <t>МегаИнтернет</t>
        </is>
      </c>
      <c r="B26" s="13" t="inlineStr">
        <is>
          <t>Витрина Мега5G - что сможем</t>
        </is>
      </c>
      <c r="C26" s="13" t="inlineStr"/>
      <c r="D26" s="13" t="inlineStr"/>
      <c r="E26" s="13" t="inlineStr">
        <is>
          <t>в помощь Володе</t>
        </is>
      </c>
      <c r="F26" s="13" t="inlineStr">
        <is>
          <t>SA</t>
        </is>
      </c>
      <c r="G26" s="13" t="inlineStr"/>
      <c r="H26" s="14">
        <f>IF(COUNTA(M26:AM26)=0,"",INDEX($M$1:$AM$1,AGGREGATE(15,6,(COLUMN($M$1:$AM$1)-COLUMN($M$1)+1)/(M26:AM26&lt;&gt;""),1)))</f>
        <v/>
      </c>
      <c r="I26" s="14">
        <f>IF(COUNTA(M26:AM26)=0,"",INDEX($M$1:$AM$1,AGGREGATE(14,6,(COLUMN($M$1:$AM$1)-COLUMN($M$1)+1)/(M26:AM26&lt;&gt;""),1))+MAX(0,IFERROR(LOOKUP(2,1/(M26:AM26&lt;&gt;""),M26:AM26),1)-1))</f>
        <v/>
      </c>
      <c r="J26" s="14">
        <f>IF(I26="","",WORKDAY(I26,1))</f>
        <v/>
      </c>
      <c r="K26" s="15">
        <f>IF(COUNTA(M26:AM26),SUM(M26:AM26),IF(AND(H26&lt;&gt;"",I26&lt;&gt;""),NETWORKDAYS(H26,I26),""))</f>
        <v/>
      </c>
      <c r="L26" s="13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n">
        <v>5</v>
      </c>
      <c r="U26" s="16" t="n">
        <v>5</v>
      </c>
      <c r="V26" s="16" t="n">
        <v>5</v>
      </c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</row>
    <row r="27">
      <c r="A27" s="13" t="inlineStr">
        <is>
          <t>МегаИнтернет</t>
        </is>
      </c>
      <c r="B27" s="13" t="inlineStr">
        <is>
          <t>Витрина Мега5G - что сможем</t>
        </is>
      </c>
      <c r="C27" s="13" t="inlineStr"/>
      <c r="D27" s="13" t="inlineStr"/>
      <c r="E27" s="13" t="inlineStr">
        <is>
          <t>ВЕ</t>
        </is>
      </c>
      <c r="F27" s="13" t="inlineStr">
        <is>
          <t>BE</t>
        </is>
      </c>
      <c r="G27" s="13" t="inlineStr"/>
      <c r="H27" s="14">
        <f>IF(COUNTA(M27:AM27)=0,"",INDEX($M$1:$AM$1,AGGREGATE(15,6,(COLUMN($M$1:$AM$1)-COLUMN($M$1)+1)/(M27:AM27&lt;&gt;""),1)))</f>
        <v/>
      </c>
      <c r="I27" s="14">
        <f>IF(COUNTA(M27:AM27)=0,"",INDEX($M$1:$AM$1,AGGREGATE(14,6,(COLUMN($M$1:$AM$1)-COLUMN($M$1)+1)/(M27:AM27&lt;&gt;""),1))+MAX(0,IFERROR(LOOKUP(2,1/(M27:AM27&lt;&gt;""),M27:AM27),1)-1))</f>
        <v/>
      </c>
      <c r="J27" s="14">
        <f>IF(I27="","",WORKDAY(I27,1))</f>
        <v/>
      </c>
      <c r="K27" s="15">
        <f>IF(COUNTA(M27:AM27),SUM(M27:AM27),IF(AND(H27&lt;&gt;"",I27&lt;&gt;""),NETWORKDAYS(H27,I27),""))</f>
        <v/>
      </c>
      <c r="L27" s="13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s="16" t="inlineStr"/>
      <c r="U27" s="16" t="n">
        <v>5</v>
      </c>
      <c r="V27" s="16" t="n">
        <v>5</v>
      </c>
      <c r="W27" s="16" t="n">
        <v>3</v>
      </c>
      <c r="X27" s="16" t="inlineStr"/>
      <c r="Y27" s="16" t="inlineStr"/>
      <c r="Z27" s="16" t="inlineStr"/>
      <c r="AA27" s="16" t="inlineStr"/>
      <c r="AB27" s="16" t="inlineStr"/>
      <c r="AC27" s="16" t="inlineStr"/>
      <c r="AD27" s="16" t="inlineStr"/>
      <c r="AE27" s="16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</row>
    <row r="28">
      <c r="A28" s="13" t="inlineStr">
        <is>
          <t>МегаИнтернет</t>
        </is>
      </c>
      <c r="B28" s="13" t="inlineStr">
        <is>
          <t>Витрина Мега5G - что сможем</t>
        </is>
      </c>
      <c r="C28" s="13" t="inlineStr"/>
      <c r="D28" s="13" t="inlineStr"/>
      <c r="E28" s="13" t="inlineStr">
        <is>
          <t>FE</t>
        </is>
      </c>
      <c r="F28" s="13" t="inlineStr">
        <is>
          <t>FE</t>
        </is>
      </c>
      <c r="G28" s="13" t="inlineStr"/>
      <c r="H28" s="14">
        <f>IF(COUNTA(M28:AM28)=0,"",INDEX($M$1:$AM$1,AGGREGATE(15,6,(COLUMN($M$1:$AM$1)-COLUMN($M$1)+1)/(M28:AM28&lt;&gt;""),1)))</f>
        <v/>
      </c>
      <c r="I28" s="14">
        <f>IF(COUNTA(M28:AM28)=0,"",INDEX($M$1:$AM$1,AGGREGATE(14,6,(COLUMN($M$1:$AM$1)-COLUMN($M$1)+1)/(M28:AM28&lt;&gt;""),1))+MAX(0,IFERROR(LOOKUP(2,1/(M28:AM28&lt;&gt;""),M28:AM28),1)-1))</f>
        <v/>
      </c>
      <c r="J28" s="14">
        <f>IF(I28="","",WORKDAY(I28,1))</f>
        <v/>
      </c>
      <c r="K28" s="15">
        <f>IF(COUNTA(M28:AM28),SUM(M28:AM28),IF(AND(H28&lt;&gt;"",I28&lt;&gt;""),NETWORKDAYS(H28,I28),""))</f>
        <v/>
      </c>
      <c r="L28" s="13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/>
      <c r="U28" s="16" t="inlineStr"/>
      <c r="V28" s="16" t="n">
        <v>5</v>
      </c>
      <c r="W28" s="16" t="n">
        <v>5</v>
      </c>
      <c r="X28" s="16" t="inlineStr"/>
      <c r="Y28" s="16" t="inlineStr"/>
      <c r="Z28" s="16" t="inlineStr"/>
      <c r="AA28" s="16" t="inlineStr"/>
      <c r="AB28" s="16" t="inlineStr"/>
      <c r="AC28" s="16" t="inlineStr"/>
      <c r="AD28" s="16" t="inlineStr"/>
      <c r="AE28" s="16" t="inlineStr"/>
      <c r="AF28" s="16" t="inlineStr"/>
      <c r="AG28" s="16" t="inlineStr"/>
      <c r="AH28" s="16" t="inlineStr"/>
      <c r="AI28" s="16" t="inlineStr"/>
      <c r="AJ28" s="16" t="inlineStr"/>
      <c r="AK28" s="16" t="inlineStr"/>
      <c r="AL28" s="16" t="inlineStr"/>
      <c r="AM28" s="16" t="inlineStr"/>
    </row>
    <row r="29">
      <c r="A29" s="13" t="inlineStr">
        <is>
          <t>МегаИнтернет</t>
        </is>
      </c>
      <c r="B29" s="13" t="inlineStr">
        <is>
          <t>Витрина Мега5G - что сможем</t>
        </is>
      </c>
      <c r="C29" s="13" t="inlineStr"/>
      <c r="D29" s="13" t="inlineStr"/>
      <c r="E29" s="13" t="inlineStr">
        <is>
          <t>2х QA</t>
        </is>
      </c>
      <c r="F29" s="13" t="inlineStr">
        <is>
          <t>QA</t>
        </is>
      </c>
      <c r="G29" s="13" t="inlineStr"/>
      <c r="H29" s="14">
        <f>IF(COUNTA(M29:AM29)=0,"",INDEX($M$1:$AM$1,AGGREGATE(15,6,(COLUMN($M$1:$AM$1)-COLUMN($M$1)+1)/(M29:AM29&lt;&gt;""),1)))</f>
        <v/>
      </c>
      <c r="I29" s="14">
        <f>IF(COUNTA(M29:AM29)=0,"",INDEX($M$1:$AM$1,AGGREGATE(14,6,(COLUMN($M$1:$AM$1)-COLUMN($M$1)+1)/(M29:AM29&lt;&gt;""),1))+MAX(0,IFERROR(LOOKUP(2,1/(M29:AM29&lt;&gt;""),M29:AM29),1)-1))</f>
        <v/>
      </c>
      <c r="J29" s="14">
        <f>IF(I29="","",WORKDAY(I29,1))</f>
        <v/>
      </c>
      <c r="K29" s="15">
        <f>IF(COUNTA(M29:AM29),SUM(M29:AM29),IF(AND(H29&lt;&gt;"",I29&lt;&gt;""),NETWORKDAYS(H29,I29),""))</f>
        <v/>
      </c>
      <c r="L29" s="13" t="inlineStr"/>
      <c r="M29" s="16" t="inlineStr"/>
      <c r="N29" s="16" t="inlineStr"/>
      <c r="O29" s="16" t="inlineStr"/>
      <c r="P29" s="16" t="inlineStr"/>
      <c r="Q29" s="16" t="inlineStr"/>
      <c r="R29" s="16" t="inlineStr"/>
      <c r="S29" s="16" t="inlineStr"/>
      <c r="T29" s="16" t="inlineStr"/>
      <c r="U29" s="16" t="inlineStr"/>
      <c r="V29" s="16" t="inlineStr"/>
      <c r="W29" s="16" t="n">
        <v>5</v>
      </c>
      <c r="X29" s="16" t="n">
        <v>5</v>
      </c>
      <c r="Y29" s="16" t="inlineStr"/>
      <c r="Z29" s="16" t="inlineStr"/>
      <c r="AA29" s="16" t="inlineStr"/>
      <c r="AB29" s="16" t="inlineStr"/>
      <c r="AC29" s="16" t="inlineStr"/>
      <c r="AD29" s="16" t="inlineStr"/>
      <c r="AE29" s="16" t="inlineStr"/>
      <c r="AF29" s="16" t="inlineStr"/>
      <c r="AG29" s="16" t="inlineStr"/>
      <c r="AH29" s="16" t="inlineStr"/>
      <c r="AI29" s="16" t="inlineStr"/>
      <c r="AJ29" s="16" t="inlineStr"/>
      <c r="AK29" s="16" t="inlineStr"/>
      <c r="AL29" s="16" t="inlineStr"/>
      <c r="AM29" s="16" t="inlineStr"/>
    </row>
    <row r="30">
      <c r="A30" s="13" t="inlineStr">
        <is>
          <t>МегаИнтернет</t>
        </is>
      </c>
      <c r="B30" s="13" t="inlineStr">
        <is>
          <t>Витрина Мега5G - целевая версия</t>
        </is>
      </c>
      <c r="C30" s="13" t="inlineStr"/>
      <c r="D30" s="13" t="inlineStr"/>
      <c r="E30" s="13" t="inlineStr">
        <is>
          <t>Стас (диз)</t>
        </is>
      </c>
      <c r="F30" s="13" t="inlineStr">
        <is>
          <t>Дизайн</t>
        </is>
      </c>
      <c r="G30" s="13" t="inlineStr"/>
      <c r="H30" s="14">
        <f>IF(COUNTA(M30:AM30)=0,"",INDEX($M$1:$AM$1,AGGREGATE(15,6,(COLUMN($M$1:$AM$1)-COLUMN($M$1)+1)/(M30:AM30&lt;&gt;""),1)))</f>
        <v/>
      </c>
      <c r="I30" s="14">
        <f>IF(COUNTA(M30:AM30)=0,"",INDEX($M$1:$AM$1,AGGREGATE(14,6,(COLUMN($M$1:$AM$1)-COLUMN($M$1)+1)/(M30:AM30&lt;&gt;""),1))+MAX(0,IFERROR(LOOKUP(2,1/(M30:AM30&lt;&gt;""),M30:AM30),1)-1))</f>
        <v/>
      </c>
      <c r="J30" s="14">
        <f>IF(I30="","",WORKDAY(I30,1))</f>
        <v/>
      </c>
      <c r="K30" s="15">
        <f>IF(COUNTA(M30:AM30),SUM(M30:AM30),IF(AND(H30&lt;&gt;"",I30&lt;&gt;""),NETWORKDAYS(H30,I30),""))</f>
        <v/>
      </c>
      <c r="L30" s="13" t="inlineStr"/>
      <c r="M30" s="16" t="inlineStr"/>
      <c r="N30" s="16" t="inlineStr"/>
      <c r="O30" s="16" t="inlineStr"/>
      <c r="P30" s="16" t="inlineStr"/>
      <c r="Q30" s="16" t="inlineStr"/>
      <c r="R30" s="16" t="n">
        <v>5</v>
      </c>
      <c r="S30" s="16" t="n">
        <v>5</v>
      </c>
      <c r="T30" s="16" t="n">
        <v>5</v>
      </c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  <c r="AJ30" s="16" t="inlineStr"/>
      <c r="AK30" s="16" t="inlineStr"/>
      <c r="AL30" s="16" t="inlineStr"/>
      <c r="AM30" s="16" t="inlineStr"/>
    </row>
    <row r="31">
      <c r="A31" s="13" t="inlineStr">
        <is>
          <t>МегаИнтернет</t>
        </is>
      </c>
      <c r="B31" s="13" t="inlineStr">
        <is>
          <t>Витрина Мега5G - целевая версия</t>
        </is>
      </c>
      <c r="C31" s="13" t="inlineStr"/>
      <c r="D31" s="13" t="inlineStr"/>
      <c r="E31" s="13" t="inlineStr">
        <is>
          <t>Стас (диз)</t>
        </is>
      </c>
      <c r="F31" s="13" t="inlineStr">
        <is>
          <t>Дизайн</t>
        </is>
      </c>
      <c r="G31" s="13" t="inlineStr">
        <is>
          <t>да</t>
        </is>
      </c>
      <c r="H31" s="14">
        <f>IF(COUNTA(M31:AM31)=0,"",INDEX($M$1:$AM$1,AGGREGATE(15,6,(COLUMN($M$1:$AM$1)-COLUMN($M$1)+1)/(M31:AM31&lt;&gt;""),1)))</f>
        <v/>
      </c>
      <c r="I31" s="14">
        <f>IF(COUNTA(M31:AM31)=0,"",INDEX($M$1:$AM$1,AGGREGATE(14,6,(COLUMN($M$1:$AM$1)-COLUMN($M$1)+1)/(M31:AM31&lt;&gt;""),1))+MAX(0,IFERROR(LOOKUP(2,1/(M31:AM31&lt;&gt;""),M31:AM31),1)-1))</f>
        <v/>
      </c>
      <c r="J31" s="14">
        <f>IF(I31="","",WORKDAY(I31,1))</f>
        <v/>
      </c>
      <c r="K31" s="15">
        <f>IF(COUNTA(M31:AM31),SUM(M31:AM31),IF(AND(H31&lt;&gt;"",I31&lt;&gt;""),NETWORKDAYS(H31,I31),""))</f>
        <v/>
      </c>
      <c r="L31" s="13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n">
        <v>5</v>
      </c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inlineStr"/>
      <c r="AJ31" s="16" t="inlineStr"/>
      <c r="AK31" s="16" t="inlineStr"/>
      <c r="AL31" s="16" t="inlineStr"/>
      <c r="AM31" s="16" t="inlineStr"/>
    </row>
    <row r="32">
      <c r="A32" s="13" t="inlineStr">
        <is>
          <t>МегаИнтернет</t>
        </is>
      </c>
      <c r="B32" s="13" t="inlineStr">
        <is>
          <t>Витрина Мега5G - целевая версия</t>
        </is>
      </c>
      <c r="C32" s="13" t="inlineStr"/>
      <c r="D32" s="13" t="inlineStr"/>
      <c r="E32" s="13" t="inlineStr">
        <is>
          <t>Володя (SA)</t>
        </is>
      </c>
      <c r="F32" s="13" t="inlineStr">
        <is>
          <t>SA</t>
        </is>
      </c>
      <c r="G32" s="13" t="inlineStr"/>
      <c r="H32" s="14">
        <f>IF(COUNTA(M32:AM32)=0,"",INDEX($M$1:$AM$1,AGGREGATE(15,6,(COLUMN($M$1:$AM$1)-COLUMN($M$1)+1)/(M32:AM32&lt;&gt;""),1)))</f>
        <v/>
      </c>
      <c r="I32" s="14">
        <f>IF(COUNTA(M32:AM32)=0,"",INDEX($M$1:$AM$1,AGGREGATE(14,6,(COLUMN($M$1:$AM$1)-COLUMN($M$1)+1)/(M32:AM32&lt;&gt;""),1))+MAX(0,IFERROR(LOOKUP(2,1/(M32:AM32&lt;&gt;""),M32:AM32),1)-1))</f>
        <v/>
      </c>
      <c r="J32" s="14">
        <f>IF(I32="","",WORKDAY(I32,1))</f>
        <v/>
      </c>
      <c r="K32" s="15">
        <f>IF(COUNTA(M32:AM32),SUM(M32:AM32),IF(AND(H32&lt;&gt;"",I32&lt;&gt;""),NETWORKDAYS(H32,I32),""))</f>
        <v/>
      </c>
      <c r="L32" s="13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n">
        <v>5</v>
      </c>
      <c r="U32" s="16" t="n">
        <v>5</v>
      </c>
      <c r="V32" s="16" t="n">
        <v>5</v>
      </c>
      <c r="W32" s="16" t="n">
        <v>5</v>
      </c>
      <c r="X32" s="16" t="n">
        <v>5</v>
      </c>
      <c r="Y32" s="16" t="n">
        <v>5</v>
      </c>
      <c r="Z32" s="16" t="inlineStr"/>
      <c r="AA32" s="16" t="n">
        <v>5</v>
      </c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</row>
    <row r="33">
      <c r="A33" s="13" t="inlineStr">
        <is>
          <t>МегаИнтернет</t>
        </is>
      </c>
      <c r="B33" s="13" t="inlineStr">
        <is>
          <t>Витрина Мега5G - целевая версия</t>
        </is>
      </c>
      <c r="C33" s="13" t="inlineStr"/>
      <c r="D33" s="13" t="inlineStr"/>
      <c r="E33" s="13" t="inlineStr">
        <is>
          <t>ВЕ</t>
        </is>
      </c>
      <c r="F33" s="13" t="inlineStr">
        <is>
          <t>BE</t>
        </is>
      </c>
      <c r="G33" s="13" t="inlineStr"/>
      <c r="H33" s="14">
        <f>IF(COUNTA(M33:AM33)=0,"",INDEX($M$1:$AM$1,AGGREGATE(15,6,(COLUMN($M$1:$AM$1)-COLUMN($M$1)+1)/(M33:AM33&lt;&gt;""),1)))</f>
        <v/>
      </c>
      <c r="I33" s="14">
        <f>IF(COUNTA(M33:AM33)=0,"",INDEX($M$1:$AM$1,AGGREGATE(14,6,(COLUMN($M$1:$AM$1)-COLUMN($M$1)+1)/(M33:AM33&lt;&gt;""),1))+MAX(0,IFERROR(LOOKUP(2,1/(M33:AM33&lt;&gt;""),M33:AM33),1)-1))</f>
        <v/>
      </c>
      <c r="J33" s="14">
        <f>IF(I33="","",WORKDAY(I33,1))</f>
        <v/>
      </c>
      <c r="K33" s="15">
        <f>IF(COUNTA(M33:AM33),SUM(M33:AM33),IF(AND(H33&lt;&gt;"",I33&lt;&gt;""),NETWORKDAYS(H33,I33),""))</f>
        <v/>
      </c>
      <c r="L33" s="13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  <c r="T33" s="16" t="inlineStr"/>
      <c r="U33" s="16" t="n">
        <v>5</v>
      </c>
      <c r="V33" s="16" t="inlineStr"/>
      <c r="W33" s="16" t="inlineStr"/>
      <c r="X33" s="16" t="inlineStr"/>
      <c r="Y33" s="16" t="inlineStr"/>
      <c r="Z33" s="16" t="inlineStr"/>
      <c r="AA33" s="16" t="n">
        <v>5</v>
      </c>
      <c r="AB33" s="16" t="n">
        <v>5</v>
      </c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</row>
    <row r="34">
      <c r="A34" s="13" t="inlineStr">
        <is>
          <t>МегаИнтернет</t>
        </is>
      </c>
      <c r="B34" s="13" t="inlineStr">
        <is>
          <t>Витрина Мега5G - целевая версия</t>
        </is>
      </c>
      <c r="C34" s="13" t="inlineStr"/>
      <c r="D34" s="13" t="inlineStr"/>
      <c r="E34" s="13" t="inlineStr">
        <is>
          <t>FE</t>
        </is>
      </c>
      <c r="F34" s="13" t="inlineStr">
        <is>
          <t>FE</t>
        </is>
      </c>
      <c r="G34" s="13" t="inlineStr"/>
      <c r="H34" s="14">
        <f>IF(COUNTA(M34:AM34)=0,"",INDEX($M$1:$AM$1,AGGREGATE(15,6,(COLUMN($M$1:$AM$1)-COLUMN($M$1)+1)/(M34:AM34&lt;&gt;""),1)))</f>
        <v/>
      </c>
      <c r="I34" s="14">
        <f>IF(COUNTA(M34:AM34)=0,"",INDEX($M$1:$AM$1,AGGREGATE(14,6,(COLUMN($M$1:$AM$1)-COLUMN($M$1)+1)/(M34:AM34&lt;&gt;""),1))+MAX(0,IFERROR(LOOKUP(2,1/(M34:AM34&lt;&gt;""),M34:AM34),1)-1))</f>
        <v/>
      </c>
      <c r="J34" s="14">
        <f>IF(I34="","",WORKDAY(I34,1))</f>
        <v/>
      </c>
      <c r="K34" s="15">
        <f>IF(COUNTA(M34:AM34),SUM(M34:AM34),IF(AND(H34&lt;&gt;"",I34&lt;&gt;""),NETWORKDAYS(H34,I34),""))</f>
        <v/>
      </c>
      <c r="L34" s="13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16" t="n">
        <v>5</v>
      </c>
      <c r="AB34" s="16" t="n">
        <v>5</v>
      </c>
      <c r="AC34" s="16" t="n">
        <v>5</v>
      </c>
      <c r="AD34" s="16" t="n">
        <v>3</v>
      </c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</row>
    <row r="35">
      <c r="A35" s="13" t="inlineStr">
        <is>
          <t>МегаИнтернет</t>
        </is>
      </c>
      <c r="B35" s="13" t="inlineStr">
        <is>
          <t>Витрина Мега5G - целевая версия</t>
        </is>
      </c>
      <c r="C35" s="13" t="inlineStr"/>
      <c r="D35" s="13" t="inlineStr"/>
      <c r="E35" s="13" t="inlineStr">
        <is>
          <t>QA</t>
        </is>
      </c>
      <c r="F35" s="13" t="inlineStr">
        <is>
          <t>QA</t>
        </is>
      </c>
      <c r="G35" s="13" t="inlineStr"/>
      <c r="H35" s="14">
        <f>IF(COUNTA(M35:AM35)=0,"",INDEX($M$1:$AM$1,AGGREGATE(15,6,(COLUMN($M$1:$AM$1)-COLUMN($M$1)+1)/(M35:AM35&lt;&gt;""),1)))</f>
        <v/>
      </c>
      <c r="I35" s="14">
        <f>IF(COUNTA(M35:AM35)=0,"",INDEX($M$1:$AM$1,AGGREGATE(14,6,(COLUMN($M$1:$AM$1)-COLUMN($M$1)+1)/(M35:AM35&lt;&gt;""),1))+MAX(0,IFERROR(LOOKUP(2,1/(M35:AM35&lt;&gt;""),M35:AM35),1)-1))</f>
        <v/>
      </c>
      <c r="J35" s="14">
        <f>IF(I35="","",WORKDAY(I35,1))</f>
        <v/>
      </c>
      <c r="K35" s="15">
        <f>IF(COUNTA(M35:AM35),SUM(M35:AM35),IF(AND(H35&lt;&gt;"",I35&lt;&gt;""),NETWORKDAYS(H35,I35),""))</f>
        <v/>
      </c>
      <c r="L35" s="13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n">
        <v>5</v>
      </c>
      <c r="AC35" s="16" t="n">
        <v>5</v>
      </c>
      <c r="AD35" s="16" t="n">
        <v>5</v>
      </c>
      <c r="AE35" s="16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</row>
    <row r="36">
      <c r="A36" s="13" t="inlineStr">
        <is>
          <t>МегаИнтернет</t>
        </is>
      </c>
      <c r="B36" s="13" t="inlineStr">
        <is>
          <t>Лендинг витрины 5G</t>
        </is>
      </c>
      <c r="C36" s="13" t="inlineStr"/>
      <c r="D36" s="13" t="inlineStr"/>
      <c r="E36" s="13" t="inlineStr">
        <is>
          <t>диз</t>
        </is>
      </c>
      <c r="F36" s="13" t="inlineStr">
        <is>
          <t>Дизайн</t>
        </is>
      </c>
      <c r="G36" s="13" t="inlineStr"/>
      <c r="H36" s="14">
        <f>IF(COUNTA(M36:AM36)=0,"",INDEX($M$1:$AM$1,AGGREGATE(15,6,(COLUMN($M$1:$AM$1)-COLUMN($M$1)+1)/(M36:AM36&lt;&gt;""),1)))</f>
        <v/>
      </c>
      <c r="I36" s="14">
        <f>IF(COUNTA(M36:AM36)=0,"",INDEX($M$1:$AM$1,AGGREGATE(14,6,(COLUMN($M$1:$AM$1)-COLUMN($M$1)+1)/(M36:AM36&lt;&gt;""),1))+MAX(0,IFERROR(LOOKUP(2,1/(M36:AM36&lt;&gt;""),M36:AM36),1)-1))</f>
        <v/>
      </c>
      <c r="J36" s="14">
        <f>IF(I36="","",WORKDAY(I36,1))</f>
        <v/>
      </c>
      <c r="K36" s="15">
        <f>IF(COUNTA(M36:AM36),SUM(M36:AM36),IF(AND(H36&lt;&gt;"",I36&lt;&gt;""),NETWORKDAYS(H36,I36),""))</f>
        <v/>
      </c>
      <c r="L36" s="13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n">
        <v>5</v>
      </c>
      <c r="U36" s="16" t="inlineStr"/>
      <c r="V36" s="16" t="inlineStr"/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/>
      <c r="AD36" s="16" t="inlineStr"/>
      <c r="AE36" s="16" t="inlineStr"/>
      <c r="AF36" s="16" t="inlineStr"/>
      <c r="AG36" s="16" t="inlineStr"/>
      <c r="AH36" s="16" t="inlineStr"/>
      <c r="AI36" s="16" t="inlineStr"/>
      <c r="AJ36" s="16" t="inlineStr"/>
      <c r="AK36" s="16" t="inlineStr"/>
      <c r="AL36" s="16" t="inlineStr"/>
      <c r="AM36" s="16" t="inlineStr"/>
    </row>
    <row r="37">
      <c r="A37" s="13" t="inlineStr">
        <is>
          <t>МегаИнтернет</t>
        </is>
      </c>
      <c r="B37" s="13" t="inlineStr">
        <is>
          <t>Лендинг витрины 5G</t>
        </is>
      </c>
      <c r="C37" s="13" t="inlineStr"/>
      <c r="D37" s="13" t="inlineStr"/>
      <c r="E37" s="13" t="inlineStr">
        <is>
          <t>диз</t>
        </is>
      </c>
      <c r="F37" s="13" t="inlineStr">
        <is>
          <t>Дизайн</t>
        </is>
      </c>
      <c r="G37" s="13" t="inlineStr">
        <is>
          <t>да</t>
        </is>
      </c>
      <c r="H37" s="14">
        <f>IF(COUNTA(M37:AM37)=0,"",INDEX($M$1:$AM$1,AGGREGATE(15,6,(COLUMN($M$1:$AM$1)-COLUMN($M$1)+1)/(M37:AM37&lt;&gt;""),1)))</f>
        <v/>
      </c>
      <c r="I37" s="14">
        <f>IF(COUNTA(M37:AM37)=0,"",INDEX($M$1:$AM$1,AGGREGATE(14,6,(COLUMN($M$1:$AM$1)-COLUMN($M$1)+1)/(M37:AM37&lt;&gt;""),1))+MAX(0,IFERROR(LOOKUP(2,1/(M37:AM37&lt;&gt;""),M37:AM37),1)-1))</f>
        <v/>
      </c>
      <c r="J37" s="14">
        <f>IF(I37="","",WORKDAY(I37,1))</f>
        <v/>
      </c>
      <c r="K37" s="15">
        <f>IF(COUNTA(M37:AM37),SUM(M37:AM37),IF(AND(H37&lt;&gt;"",I37&lt;&gt;""),NETWORKDAYS(H37,I37),""))</f>
        <v/>
      </c>
      <c r="L37" s="13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  <c r="T37" s="16" t="inlineStr"/>
      <c r="U37" s="16" t="inlineStr"/>
      <c r="V37" s="16" t="inlineStr"/>
      <c r="W37" s="16" t="n">
        <v>5</v>
      </c>
      <c r="X37" s="16" t="inlineStr"/>
      <c r="Y37" s="16" t="inlineStr"/>
      <c r="Z37" s="16" t="inlineStr"/>
      <c r="AA37" s="16" t="inlineStr"/>
      <c r="AB37" s="16" t="inlineStr"/>
      <c r="AC37" s="16" t="inlineStr"/>
      <c r="AD37" s="16" t="inlineStr"/>
      <c r="AE37" s="16" t="inlineStr"/>
      <c r="AF37" s="16" t="inlineStr"/>
      <c r="AG37" s="16" t="inlineStr"/>
      <c r="AH37" s="16" t="inlineStr"/>
      <c r="AI37" s="16" t="inlineStr"/>
      <c r="AJ37" s="16" t="inlineStr"/>
      <c r="AK37" s="16" t="inlineStr"/>
      <c r="AL37" s="16" t="inlineStr"/>
      <c r="AM37" s="16" t="inlineStr"/>
    </row>
    <row r="38">
      <c r="A38" s="13" t="inlineStr">
        <is>
          <t>МегаИнтернет</t>
        </is>
      </c>
      <c r="B38" s="13" t="inlineStr">
        <is>
          <t>Лендинг витрины 5G</t>
        </is>
      </c>
      <c r="C38" s="13" t="inlineStr"/>
      <c r="D38" s="13" t="inlineStr"/>
      <c r="E38" s="13" t="inlineStr">
        <is>
          <t>SA</t>
        </is>
      </c>
      <c r="F38" s="13" t="inlineStr">
        <is>
          <t>SA</t>
        </is>
      </c>
      <c r="G38" s="13" t="inlineStr"/>
      <c r="H38" s="14">
        <f>IF(COUNTA(M38:AM38)=0,"",INDEX($M$1:$AM$1,AGGREGATE(15,6,(COLUMN($M$1:$AM$1)-COLUMN($M$1)+1)/(M38:AM38&lt;&gt;""),1)))</f>
        <v/>
      </c>
      <c r="I38" s="14">
        <f>IF(COUNTA(M38:AM38)=0,"",INDEX($M$1:$AM$1,AGGREGATE(14,6,(COLUMN($M$1:$AM$1)-COLUMN($M$1)+1)/(M38:AM38&lt;&gt;""),1))+MAX(0,IFERROR(LOOKUP(2,1/(M38:AM38&lt;&gt;""),M38:AM38),1)-1))</f>
        <v/>
      </c>
      <c r="J38" s="14">
        <f>IF(I38="","",WORKDAY(I38,1))</f>
        <v/>
      </c>
      <c r="K38" s="15">
        <f>IF(COUNTA(M38:AM38),SUM(M38:AM38),IF(AND(H38&lt;&gt;"",I38&lt;&gt;""),NETWORKDAYS(H38,I38),""))</f>
        <v/>
      </c>
      <c r="L38" s="13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/>
      <c r="U38" s="16" t="n">
        <v>3</v>
      </c>
      <c r="V38" s="16" t="inlineStr"/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  <c r="AJ38" s="16" t="inlineStr"/>
      <c r="AK38" s="16" t="inlineStr"/>
      <c r="AL38" s="16" t="inlineStr"/>
      <c r="AM38" s="16" t="inlineStr"/>
    </row>
    <row r="39">
      <c r="A39" s="13" t="inlineStr">
        <is>
          <t>МегаИнтернет</t>
        </is>
      </c>
      <c r="B39" s="13" t="inlineStr">
        <is>
          <t>Лендинг витрины 5G</t>
        </is>
      </c>
      <c r="C39" s="13" t="inlineStr"/>
      <c r="D39" s="13" t="inlineStr"/>
      <c r="E39" s="13" t="inlineStr">
        <is>
          <t>FE</t>
        </is>
      </c>
      <c r="F39" s="13" t="inlineStr">
        <is>
          <t>FE</t>
        </is>
      </c>
      <c r="G39" s="13" t="inlineStr"/>
      <c r="H39" s="14">
        <f>IF(COUNTA(M39:AM39)=0,"",INDEX($M$1:$AM$1,AGGREGATE(15,6,(COLUMN($M$1:$AM$1)-COLUMN($M$1)+1)/(M39:AM39&lt;&gt;""),1)))</f>
        <v/>
      </c>
      <c r="I39" s="14">
        <f>IF(COUNTA(M39:AM39)=0,"",INDEX($M$1:$AM$1,AGGREGATE(14,6,(COLUMN($M$1:$AM$1)-COLUMN($M$1)+1)/(M39:AM39&lt;&gt;""),1))+MAX(0,IFERROR(LOOKUP(2,1/(M39:AM39&lt;&gt;""),M39:AM39),1)-1))</f>
        <v/>
      </c>
      <c r="J39" s="14">
        <f>IF(I39="","",WORKDAY(I39,1))</f>
        <v/>
      </c>
      <c r="K39" s="15">
        <f>IF(COUNTA(M39:AM39),SUM(M39:AM39),IF(AND(H39&lt;&gt;"",I39&lt;&gt;""),NETWORKDAYS(H39,I39),""))</f>
        <v/>
      </c>
      <c r="L39" s="13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6" t="n">
        <v>4</v>
      </c>
      <c r="W39" s="16" t="inlineStr"/>
      <c r="X39" s="16" t="inlineStr"/>
      <c r="Y39" s="16" t="inlineStr"/>
      <c r="Z39" s="16" t="inlineStr"/>
      <c r="AA39" s="16" t="inlineStr"/>
      <c r="AB39" s="16" t="inlineStr"/>
      <c r="AC39" s="16" t="inlineStr"/>
      <c r="AD39" s="16" t="inlineStr"/>
      <c r="AE39" s="16" t="inlineStr"/>
      <c r="AF39" s="16" t="inlineStr"/>
      <c r="AG39" s="16" t="inlineStr"/>
      <c r="AH39" s="16" t="inlineStr"/>
      <c r="AI39" s="16" t="inlineStr"/>
      <c r="AJ39" s="16" t="inlineStr"/>
      <c r="AK39" s="16" t="inlineStr"/>
      <c r="AL39" s="16" t="inlineStr"/>
      <c r="AM39" s="16" t="inlineStr"/>
    </row>
    <row r="40">
      <c r="A40" s="13" t="inlineStr">
        <is>
          <t>МегаИнтернет</t>
        </is>
      </c>
      <c r="B40" s="13" t="inlineStr">
        <is>
          <t>Лендинг витрины 5G</t>
        </is>
      </c>
      <c r="C40" s="13" t="inlineStr"/>
      <c r="D40" s="13" t="inlineStr"/>
      <c r="E40" s="13" t="inlineStr">
        <is>
          <t>QA</t>
        </is>
      </c>
      <c r="F40" s="13" t="inlineStr">
        <is>
          <t>QA</t>
        </is>
      </c>
      <c r="G40" s="13" t="inlineStr"/>
      <c r="H40" s="14">
        <f>IF(COUNTA(M40:AM40)=0,"",INDEX($M$1:$AM$1,AGGREGATE(15,6,(COLUMN($M$1:$AM$1)-COLUMN($M$1)+1)/(M40:AM40&lt;&gt;""),1)))</f>
        <v/>
      </c>
      <c r="I40" s="14">
        <f>IF(COUNTA(M40:AM40)=0,"",INDEX($M$1:$AM$1,AGGREGATE(14,6,(COLUMN($M$1:$AM$1)-COLUMN($M$1)+1)/(M40:AM40&lt;&gt;""),1))+MAX(0,IFERROR(LOOKUP(2,1/(M40:AM40&lt;&gt;""),M40:AM40),1)-1))</f>
        <v/>
      </c>
      <c r="J40" s="14">
        <f>IF(I40="","",WORKDAY(I40,1))</f>
        <v/>
      </c>
      <c r="K40" s="15">
        <f>IF(COUNTA(M40:AM40),SUM(M40:AM40),IF(AND(H40&lt;&gt;"",I40&lt;&gt;""),NETWORKDAYS(H40,I40),""))</f>
        <v/>
      </c>
      <c r="L40" s="13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n">
        <v>3</v>
      </c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</row>
    <row r="41">
      <c r="A41" s="13" t="inlineStr">
        <is>
          <t>МегаИнтернет</t>
        </is>
      </c>
      <c r="B41" s="13" t="inlineStr">
        <is>
          <t>5G кино</t>
        </is>
      </c>
      <c r="C41" s="13" t="inlineStr"/>
      <c r="D41" s="13" t="inlineStr"/>
      <c r="E41" s="13" t="inlineStr">
        <is>
          <t>Лера (диз)</t>
        </is>
      </c>
      <c r="F41" s="13" t="inlineStr">
        <is>
          <t>Дизайн</t>
        </is>
      </c>
      <c r="G41" s="13" t="inlineStr"/>
      <c r="H41" s="14">
        <f>IF(COUNTA(M41:AM41)=0,"",INDEX($M$1:$AM$1,AGGREGATE(15,6,(COLUMN($M$1:$AM$1)-COLUMN($M$1)+1)/(M41:AM41&lt;&gt;""),1)))</f>
        <v/>
      </c>
      <c r="I41" s="14">
        <f>IF(COUNTA(M41:AM41)=0,"",INDEX($M$1:$AM$1,AGGREGATE(14,6,(COLUMN($M$1:$AM$1)-COLUMN($M$1)+1)/(M41:AM41&lt;&gt;""),1))+MAX(0,IFERROR(LOOKUP(2,1/(M41:AM41&lt;&gt;""),M41:AM41),1)-1))</f>
        <v/>
      </c>
      <c r="J41" s="14">
        <f>IF(I41="","",WORKDAY(I41,1))</f>
        <v/>
      </c>
      <c r="K41" s="15">
        <f>IF(COUNTA(M41:AM41),SUM(M41:AM41),IF(AND(H41&lt;&gt;"",I41&lt;&gt;""),NETWORKDAYS(H41,I41),""))</f>
        <v/>
      </c>
      <c r="L41" s="13" t="inlineStr"/>
      <c r="M41" s="16" t="inlineStr"/>
      <c r="N41" s="16" t="inlineStr"/>
      <c r="O41" s="16" t="inlineStr"/>
      <c r="P41" s="16" t="inlineStr"/>
      <c r="Q41" s="16" t="inlineStr"/>
      <c r="R41" s="16" t="n">
        <v>2</v>
      </c>
      <c r="S41" s="16" t="n">
        <v>5</v>
      </c>
      <c r="T41" s="16" t="inlineStr"/>
      <c r="U41" s="16" t="inlineStr"/>
      <c r="V41" s="16" t="inlineStr"/>
      <c r="W41" s="16" t="inlineStr"/>
      <c r="X41" s="16" t="inlineStr"/>
      <c r="Y41" s="16" t="inlineStr"/>
      <c r="Z41" s="16" t="inlineStr"/>
      <c r="AA41" s="16" t="inlineStr"/>
      <c r="AB41" s="16" t="inlineStr"/>
      <c r="AC41" s="16" t="inlineStr"/>
      <c r="AD41" s="16" t="inlineStr"/>
      <c r="AE41" s="16" t="inlineStr"/>
      <c r="AF41" s="16" t="inlineStr"/>
      <c r="AG41" s="16" t="inlineStr"/>
      <c r="AH41" s="16" t="inlineStr"/>
      <c r="AI41" s="16" t="inlineStr"/>
      <c r="AJ41" s="16" t="inlineStr"/>
      <c r="AK41" s="16" t="inlineStr"/>
      <c r="AL41" s="16" t="inlineStr"/>
      <c r="AM41" s="16" t="inlineStr"/>
    </row>
    <row r="42">
      <c r="A42" s="13" t="inlineStr">
        <is>
          <t>МегаИнтернет</t>
        </is>
      </c>
      <c r="B42" s="13" t="inlineStr">
        <is>
          <t>5G кино</t>
        </is>
      </c>
      <c r="C42" s="13" t="inlineStr"/>
      <c r="D42" s="13" t="inlineStr"/>
      <c r="E42" s="13" t="inlineStr">
        <is>
          <t>Володя (SA)</t>
        </is>
      </c>
      <c r="F42" s="13" t="inlineStr">
        <is>
          <t>SA</t>
        </is>
      </c>
      <c r="G42" s="13" t="inlineStr"/>
      <c r="H42" s="14">
        <f>IF(COUNTA(M42:AM42)=0,"",INDEX($M$1:$AM$1,AGGREGATE(15,6,(COLUMN($M$1:$AM$1)-COLUMN($M$1)+1)/(M42:AM42&lt;&gt;""),1)))</f>
        <v/>
      </c>
      <c r="I42" s="14">
        <f>IF(COUNTA(M42:AM42)=0,"",INDEX($M$1:$AM$1,AGGREGATE(14,6,(COLUMN($M$1:$AM$1)-COLUMN($M$1)+1)/(M42:AM42&lt;&gt;""),1))+MAX(0,IFERROR(LOOKUP(2,1/(M42:AM42&lt;&gt;""),M42:AM42),1)-1))</f>
        <v/>
      </c>
      <c r="J42" s="14">
        <f>IF(I42="","",WORKDAY(I42,1))</f>
        <v/>
      </c>
      <c r="K42" s="15">
        <f>IF(COUNTA(M42:AM42),SUM(M42:AM42),IF(AND(H42&lt;&gt;"",I42&lt;&gt;""),NETWORKDAYS(H42,I42),""))</f>
        <v/>
      </c>
      <c r="L42" s="13" t="inlineStr"/>
      <c r="M42" s="16" t="inlineStr"/>
      <c r="N42" s="16" t="inlineStr"/>
      <c r="O42" s="16" t="inlineStr"/>
      <c r="P42" s="16" t="inlineStr"/>
      <c r="Q42" s="16" t="inlineStr"/>
      <c r="R42" s="16" t="inlineStr"/>
      <c r="S42" s="16" t="n">
        <v>4</v>
      </c>
      <c r="T42" s="16" t="n">
        <v>1</v>
      </c>
      <c r="U42" s="16" t="inlineStr"/>
      <c r="V42" s="16" t="inlineStr"/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/>
      <c r="AD42" s="16" t="inlineStr"/>
      <c r="AE42" s="16" t="inlineStr"/>
      <c r="AF42" s="16" t="inlineStr"/>
      <c r="AG42" s="16" t="inlineStr"/>
      <c r="AH42" s="16" t="inlineStr"/>
      <c r="AI42" s="16" t="inlineStr"/>
      <c r="AJ42" s="16" t="inlineStr"/>
      <c r="AK42" s="16" t="inlineStr"/>
      <c r="AL42" s="16" t="inlineStr"/>
      <c r="AM42" s="16" t="inlineStr"/>
    </row>
    <row r="43">
      <c r="A43" s="13" t="inlineStr">
        <is>
          <t>МегаИнтернет</t>
        </is>
      </c>
      <c r="B43" s="13" t="inlineStr">
        <is>
          <t>5G кино</t>
        </is>
      </c>
      <c r="C43" s="13" t="inlineStr"/>
      <c r="D43" s="13" t="inlineStr"/>
      <c r="E43" s="13" t="inlineStr">
        <is>
          <t>Володя (SA)</t>
        </is>
      </c>
      <c r="F43" s="13" t="inlineStr">
        <is>
          <t>SA</t>
        </is>
      </c>
      <c r="G43" s="13" t="inlineStr">
        <is>
          <t>да</t>
        </is>
      </c>
      <c r="H43" s="14">
        <f>IF(COUNTA(M43:AM43)=0,"",INDEX($M$1:$AM$1,AGGREGATE(15,6,(COLUMN($M$1:$AM$1)-COLUMN($M$1)+1)/(M43:AM43&lt;&gt;""),1)))</f>
        <v/>
      </c>
      <c r="I43" s="14">
        <f>IF(COUNTA(M43:AM43)=0,"",INDEX($M$1:$AM$1,AGGREGATE(14,6,(COLUMN($M$1:$AM$1)-COLUMN($M$1)+1)/(M43:AM43&lt;&gt;""),1))+MAX(0,IFERROR(LOOKUP(2,1/(M43:AM43&lt;&gt;""),M43:AM43),1)-1))</f>
        <v/>
      </c>
      <c r="J43" s="14">
        <f>IF(I43="","",WORKDAY(I43,1))</f>
        <v/>
      </c>
      <c r="K43" s="15">
        <f>IF(COUNTA(M43:AM43),SUM(M43:AM43),IF(AND(H43&lt;&gt;"",I43&lt;&gt;""),NETWORKDAYS(H43,I43),""))</f>
        <v/>
      </c>
      <c r="L43" s="13" t="inlineStr"/>
      <c r="M43" s="16" t="inlineStr"/>
      <c r="N43" s="16" t="inlineStr"/>
      <c r="O43" s="16" t="inlineStr"/>
      <c r="P43" s="16" t="inlineStr"/>
      <c r="Q43" s="16" t="inlineStr"/>
      <c r="R43" s="16" t="inlineStr"/>
      <c r="S43" s="16" t="inlineStr"/>
      <c r="T43" s="16" t="inlineStr"/>
      <c r="U43" s="16" t="n">
        <v>5</v>
      </c>
      <c r="V43" s="16" t="inlineStr"/>
      <c r="W43" s="16" t="inlineStr"/>
      <c r="X43" s="16" t="inlineStr"/>
      <c r="Y43" s="16" t="inlineStr"/>
      <c r="Z43" s="16" t="inlineStr"/>
      <c r="AA43" s="16" t="inlineStr"/>
      <c r="AB43" s="16" t="inlineStr"/>
      <c r="AC43" s="16" t="inlineStr"/>
      <c r="AD43" s="16" t="inlineStr"/>
      <c r="AE43" s="16" t="inlineStr"/>
      <c r="AF43" s="16" t="inlineStr"/>
      <c r="AG43" s="16" t="inlineStr"/>
      <c r="AH43" s="16" t="inlineStr"/>
      <c r="AI43" s="16" t="inlineStr"/>
      <c r="AJ43" s="16" t="inlineStr"/>
      <c r="AK43" s="16" t="inlineStr"/>
      <c r="AL43" s="16" t="inlineStr"/>
      <c r="AM43" s="16" t="inlineStr"/>
    </row>
    <row r="44">
      <c r="A44" s="13" t="inlineStr">
        <is>
          <t>МегаИнтернет</t>
        </is>
      </c>
      <c r="B44" s="13" t="inlineStr">
        <is>
          <t>5G кино</t>
        </is>
      </c>
      <c r="C44" s="13" t="inlineStr"/>
      <c r="D44" s="13" t="inlineStr"/>
      <c r="E44" s="13" t="inlineStr">
        <is>
          <t>ВЕ</t>
        </is>
      </c>
      <c r="F44" s="13" t="inlineStr">
        <is>
          <t>BE</t>
        </is>
      </c>
      <c r="G44" s="13" t="inlineStr"/>
      <c r="H44" s="14">
        <f>IF(COUNTA(M44:AM44)=0,"",INDEX($M$1:$AM$1,AGGREGATE(15,6,(COLUMN($M$1:$AM$1)-COLUMN($M$1)+1)/(M44:AM44&lt;&gt;""),1)))</f>
        <v/>
      </c>
      <c r="I44" s="14">
        <f>IF(COUNTA(M44:AM44)=0,"",INDEX($M$1:$AM$1,AGGREGATE(14,6,(COLUMN($M$1:$AM$1)-COLUMN($M$1)+1)/(M44:AM44&lt;&gt;""),1))+MAX(0,IFERROR(LOOKUP(2,1/(M44:AM44&lt;&gt;""),M44:AM44),1)-1))</f>
        <v/>
      </c>
      <c r="J44" s="14">
        <f>IF(I44="","",WORKDAY(I44,1))</f>
        <v/>
      </c>
      <c r="K44" s="15">
        <f>IF(COUNTA(M44:AM44),SUM(M44:AM44),IF(AND(H44&lt;&gt;"",I44&lt;&gt;""),NETWORKDAYS(H44,I44),""))</f>
        <v/>
      </c>
      <c r="L44" s="13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n">
        <v>1</v>
      </c>
      <c r="T44" s="16" t="n">
        <v>2</v>
      </c>
      <c r="U44" s="16" t="inlineStr"/>
      <c r="V44" s="16" t="inlineStr"/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  <c r="AJ44" s="16" t="inlineStr"/>
      <c r="AK44" s="16" t="inlineStr"/>
      <c r="AL44" s="16" t="inlineStr"/>
      <c r="AM44" s="16" t="inlineStr"/>
    </row>
    <row r="45">
      <c r="A45" s="13" t="inlineStr">
        <is>
          <t>МегаИнтернет</t>
        </is>
      </c>
      <c r="B45" s="13" t="inlineStr">
        <is>
          <t>5G кино</t>
        </is>
      </c>
      <c r="C45" s="13" t="inlineStr"/>
      <c r="D45" s="13" t="inlineStr"/>
      <c r="E45" s="13" t="inlineStr">
        <is>
          <t>FE</t>
        </is>
      </c>
      <c r="F45" s="13" t="inlineStr">
        <is>
          <t>FE</t>
        </is>
      </c>
      <c r="G45" s="13" t="inlineStr"/>
      <c r="H45" s="14">
        <f>IF(COUNTA(M45:AM45)=0,"",INDEX($M$1:$AM$1,AGGREGATE(15,6,(COLUMN($M$1:$AM$1)-COLUMN($M$1)+1)/(M45:AM45&lt;&gt;""),1)))</f>
        <v/>
      </c>
      <c r="I45" s="14">
        <f>IF(COUNTA(M45:AM45)=0,"",INDEX($M$1:$AM$1,AGGREGATE(14,6,(COLUMN($M$1:$AM$1)-COLUMN($M$1)+1)/(M45:AM45&lt;&gt;""),1))+MAX(0,IFERROR(LOOKUP(2,1/(M45:AM45&lt;&gt;""),M45:AM45),1)-1))</f>
        <v/>
      </c>
      <c r="J45" s="14">
        <f>IF(I45="","",WORKDAY(I45,1))</f>
        <v/>
      </c>
      <c r="K45" s="15">
        <f>IF(COUNTA(M45:AM45),SUM(M45:AM45),IF(AND(H45&lt;&gt;"",I45&lt;&gt;""),NETWORKDAYS(H45,I45),""))</f>
        <v/>
      </c>
      <c r="L45" s="13" t="inlineStr"/>
      <c r="M45" s="16" t="inlineStr"/>
      <c r="N45" s="16" t="inlineStr"/>
      <c r="O45" s="16" t="inlineStr"/>
      <c r="P45" s="16" t="inlineStr"/>
      <c r="Q45" s="16" t="inlineStr"/>
      <c r="R45" s="16" t="inlineStr"/>
      <c r="S45" s="16" t="inlineStr"/>
      <c r="T45" s="16" t="n">
        <v>5</v>
      </c>
      <c r="U45" s="16" t="inlineStr"/>
      <c r="V45" s="16" t="inlineStr"/>
      <c r="W45" s="16" t="inlineStr"/>
      <c r="X45" s="16" t="inlineStr"/>
      <c r="Y45" s="16" t="inlineStr"/>
      <c r="Z45" s="16" t="inlineStr"/>
      <c r="AA45" s="16" t="inlineStr"/>
      <c r="AB45" s="16" t="inlineStr"/>
      <c r="AC45" s="16" t="inlineStr"/>
      <c r="AD45" s="16" t="inlineStr"/>
      <c r="AE45" s="16" t="inlineStr"/>
      <c r="AF45" s="16" t="inlineStr"/>
      <c r="AG45" s="16" t="inlineStr"/>
      <c r="AH45" s="16" t="inlineStr"/>
      <c r="AI45" s="16" t="inlineStr"/>
      <c r="AJ45" s="16" t="inlineStr"/>
      <c r="AK45" s="16" t="inlineStr"/>
      <c r="AL45" s="16" t="inlineStr"/>
      <c r="AM45" s="16" t="inlineStr"/>
    </row>
    <row r="46">
      <c r="A46" s="13" t="inlineStr">
        <is>
          <t>МегаИнтернет</t>
        </is>
      </c>
      <c r="B46" s="13" t="inlineStr">
        <is>
          <t>5G кино</t>
        </is>
      </c>
      <c r="C46" s="13" t="inlineStr"/>
      <c r="D46" s="13" t="inlineStr"/>
      <c r="E46" s="13" t="inlineStr">
        <is>
          <t>QA</t>
        </is>
      </c>
      <c r="F46" s="13" t="inlineStr">
        <is>
          <t>QA</t>
        </is>
      </c>
      <c r="G46" s="13" t="inlineStr"/>
      <c r="H46" s="14">
        <f>IF(COUNTA(M46:AM46)=0,"",INDEX($M$1:$AM$1,AGGREGATE(15,6,(COLUMN($M$1:$AM$1)-COLUMN($M$1)+1)/(M46:AM46&lt;&gt;""),1)))</f>
        <v/>
      </c>
      <c r="I46" s="14">
        <f>IF(COUNTA(M46:AM46)=0,"",INDEX($M$1:$AM$1,AGGREGATE(14,6,(COLUMN($M$1:$AM$1)-COLUMN($M$1)+1)/(M46:AM46&lt;&gt;""),1))+MAX(0,IFERROR(LOOKUP(2,1/(M46:AM46&lt;&gt;""),M46:AM46),1)-1))</f>
        <v/>
      </c>
      <c r="J46" s="14">
        <f>IF(I46="","",WORKDAY(I46,1))</f>
        <v/>
      </c>
      <c r="K46" s="15">
        <f>IF(COUNTA(M46:AM46),SUM(M46:AM46),IF(AND(H46&lt;&gt;"",I46&lt;&gt;""),NETWORKDAYS(H46,I46),""))</f>
        <v/>
      </c>
      <c r="L46" s="13" t="inlineStr"/>
      <c r="M46" s="16" t="inlineStr"/>
      <c r="N46" s="16" t="inlineStr"/>
      <c r="O46" s="16" t="inlineStr"/>
      <c r="P46" s="16" t="inlineStr"/>
      <c r="Q46" s="16" t="inlineStr"/>
      <c r="R46" s="16" t="inlineStr"/>
      <c r="S46" s="16" t="inlineStr"/>
      <c r="T46" s="16" t="inlineStr"/>
      <c r="U46" s="16" t="inlineStr"/>
      <c r="V46" s="16" t="n">
        <v>5</v>
      </c>
      <c r="W46" s="16" t="n">
        <v>1</v>
      </c>
      <c r="X46" s="16" t="inlineStr"/>
      <c r="Y46" s="16" t="inlineStr"/>
      <c r="Z46" s="16" t="inlineStr"/>
      <c r="AA46" s="16" t="inlineStr"/>
      <c r="AB46" s="16" t="inlineStr"/>
      <c r="AC46" s="16" t="inlineStr"/>
      <c r="AD46" s="16" t="inlineStr"/>
      <c r="AE46" s="16" t="inlineStr"/>
      <c r="AF46" s="16" t="inlineStr"/>
      <c r="AG46" s="16" t="inlineStr"/>
      <c r="AH46" s="16" t="inlineStr"/>
      <c r="AI46" s="16" t="inlineStr"/>
      <c r="AJ46" s="16" t="inlineStr"/>
      <c r="AK46" s="16" t="inlineStr"/>
      <c r="AL46" s="16" t="inlineStr"/>
      <c r="AM46" s="16" t="inlineStr"/>
    </row>
    <row r="47">
      <c r="A47" s="13" t="inlineStr">
        <is>
          <t>МегаИнтернет</t>
        </is>
      </c>
      <c r="B47" s="13" t="inlineStr">
        <is>
          <t>5G кино</t>
        </is>
      </c>
      <c r="C47" s="13" t="inlineStr"/>
      <c r="D47" s="13" t="inlineStr"/>
      <c r="E47" s="13" t="inlineStr">
        <is>
          <t>QA</t>
        </is>
      </c>
      <c r="F47" s="13" t="inlineStr">
        <is>
          <t>QA</t>
        </is>
      </c>
      <c r="G47" s="13" t="inlineStr">
        <is>
          <t>да</t>
        </is>
      </c>
      <c r="H47" s="14">
        <f>IF(COUNTA(M47:AM47)=0,"",INDEX($M$1:$AM$1,AGGREGATE(15,6,(COLUMN($M$1:$AM$1)-COLUMN($M$1)+1)/(M47:AM47&lt;&gt;""),1)))</f>
        <v/>
      </c>
      <c r="I47" s="14">
        <f>IF(COUNTA(M47:AM47)=0,"",INDEX($M$1:$AM$1,AGGREGATE(14,6,(COLUMN($M$1:$AM$1)-COLUMN($M$1)+1)/(M47:AM47&lt;&gt;""),1))+MAX(0,IFERROR(LOOKUP(2,1/(M47:AM47&lt;&gt;""),M47:AM47),1)-1))</f>
        <v/>
      </c>
      <c r="J47" s="14">
        <f>IF(I47="","",WORKDAY(I47,1))</f>
        <v/>
      </c>
      <c r="K47" s="15">
        <f>IF(COUNTA(M47:AM47),SUM(M47:AM47),IF(AND(H47&lt;&gt;"",I47&lt;&gt;""),NETWORKDAYS(H47,I47),""))</f>
        <v/>
      </c>
      <c r="L47" s="13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  <c r="T47" s="16" t="n">
        <v>5</v>
      </c>
      <c r="U47" s="16" t="n">
        <v>5</v>
      </c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  <c r="AJ47" s="16" t="inlineStr"/>
      <c r="AK47" s="16" t="inlineStr"/>
      <c r="AL47" s="16" t="inlineStr"/>
      <c r="AM47" s="16" t="inlineStr"/>
    </row>
    <row r="48">
      <c r="A48" s="13" t="inlineStr">
        <is>
          <t>МегаИнтернет</t>
        </is>
      </c>
      <c r="B48" s="13" t="inlineStr">
        <is>
          <t>Целевая схема возврата</t>
        </is>
      </c>
      <c r="C48" s="13" t="inlineStr"/>
      <c r="D48" s="13" t="inlineStr"/>
      <c r="E48" s="13" t="inlineStr">
        <is>
          <t>Настя (диз)</t>
        </is>
      </c>
      <c r="F48" s="13" t="inlineStr">
        <is>
          <t>Дизайн</t>
        </is>
      </c>
      <c r="G48" s="13" t="inlineStr"/>
      <c r="H48" s="14">
        <f>IF(COUNTA(M48:AM48)=0,"",INDEX($M$1:$AM$1,AGGREGATE(15,6,(COLUMN($M$1:$AM$1)-COLUMN($M$1)+1)/(M48:AM48&lt;&gt;""),1)))</f>
        <v/>
      </c>
      <c r="I48" s="14">
        <f>IF(COUNTA(M48:AM48)=0,"",INDEX($M$1:$AM$1,AGGREGATE(14,6,(COLUMN($M$1:$AM$1)-COLUMN($M$1)+1)/(M48:AM48&lt;&gt;""),1))+MAX(0,IFERROR(LOOKUP(2,1/(M48:AM48&lt;&gt;""),M48:AM48),1)-1))</f>
        <v/>
      </c>
      <c r="J48" s="14">
        <f>IF(I48="","",WORKDAY(I48,1))</f>
        <v/>
      </c>
      <c r="K48" s="15">
        <f>IF(COUNTA(M48:AM48),SUM(M48:AM48),IF(AND(H48&lt;&gt;"",I48&lt;&gt;""),NETWORKDAYS(H48,I48),""))</f>
        <v/>
      </c>
      <c r="L48" s="13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s="16" t="inlineStr"/>
      <c r="U48" s="16" t="inlineStr"/>
      <c r="V48" s="16" t="n">
        <v>5</v>
      </c>
      <c r="W48" s="16" t="n">
        <v>5</v>
      </c>
      <c r="X48" s="16" t="n">
        <v>5</v>
      </c>
      <c r="Y48" s="16" t="n">
        <v>5</v>
      </c>
      <c r="Z48" s="16" t="inlineStr"/>
      <c r="AA48" s="16" t="inlineStr"/>
      <c r="AB48" s="16" t="inlineStr"/>
      <c r="AC48" s="16" t="inlineStr"/>
      <c r="AD48" s="16" t="inlineStr"/>
      <c r="AE48" s="16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</row>
    <row r="49">
      <c r="A49" s="13" t="inlineStr">
        <is>
          <t>МегаИнтернет</t>
        </is>
      </c>
      <c r="B49" s="13" t="inlineStr">
        <is>
          <t>Целевая схема возврата</t>
        </is>
      </c>
      <c r="C49" s="13" t="inlineStr"/>
      <c r="D49" s="13" t="inlineStr"/>
      <c r="E49" s="13" t="inlineStr">
        <is>
          <t>Володя (SA)</t>
        </is>
      </c>
      <c r="F49" s="13" t="inlineStr">
        <is>
          <t>SA</t>
        </is>
      </c>
      <c r="G49" s="13" t="inlineStr"/>
      <c r="H49" s="14">
        <f>IF(COUNTA(M49:AM49)=0,"",INDEX($M$1:$AM$1,AGGREGATE(15,6,(COLUMN($M$1:$AM$1)-COLUMN($M$1)+1)/(M49:AM49&lt;&gt;""),1)))</f>
        <v/>
      </c>
      <c r="I49" s="14">
        <f>IF(COUNTA(M49:AM49)=0,"",INDEX($M$1:$AM$1,AGGREGATE(14,6,(COLUMN($M$1:$AM$1)-COLUMN($M$1)+1)/(M49:AM49&lt;&gt;""),1))+MAX(0,IFERROR(LOOKUP(2,1/(M49:AM49&lt;&gt;""),M49:AM49),1)-1))</f>
        <v/>
      </c>
      <c r="J49" s="14">
        <f>IF(I49="","",WORKDAY(I49,1))</f>
        <v/>
      </c>
      <c r="K49" s="15">
        <f>IF(COUNTA(M49:AM49),SUM(M49:AM49),IF(AND(H49&lt;&gt;"",I49&lt;&gt;""),NETWORKDAYS(H49,I49),""))</f>
        <v/>
      </c>
      <c r="L49" s="13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  <c r="T49" s="16" t="inlineStr"/>
      <c r="U49" s="16" t="n">
        <v>5</v>
      </c>
      <c r="V49" s="16" t="inlineStr"/>
      <c r="W49" s="16" t="inlineStr"/>
      <c r="X49" s="16" t="n">
        <v>5</v>
      </c>
      <c r="Y49" s="16" t="n">
        <v>5</v>
      </c>
      <c r="Z49" s="16" t="inlineStr"/>
      <c r="AA49" s="16" t="n">
        <v>5</v>
      </c>
      <c r="AB49" s="16" t="inlineStr"/>
      <c r="AC49" s="16" t="inlineStr"/>
      <c r="AD49" s="16" t="inlineStr"/>
      <c r="AE49" s="16" t="inlineStr"/>
      <c r="AF49" s="16" t="inlineStr"/>
      <c r="AG49" s="16" t="inlineStr"/>
      <c r="AH49" s="16" t="inlineStr"/>
      <c r="AI49" s="16" t="inlineStr"/>
      <c r="AJ49" s="16" t="inlineStr"/>
      <c r="AK49" s="16" t="inlineStr"/>
      <c r="AL49" s="16" t="inlineStr"/>
      <c r="AM49" s="16" t="inlineStr"/>
    </row>
    <row r="50">
      <c r="A50" s="13" t="inlineStr">
        <is>
          <t>МегаИнтернет</t>
        </is>
      </c>
      <c r="B50" s="13" t="inlineStr">
        <is>
          <t>Коммерческий запуск сетей 5G</t>
        </is>
      </c>
      <c r="C50" s="13" t="inlineStr"/>
      <c r="D50" s="13" t="inlineStr"/>
      <c r="E50" s="13" t="inlineStr">
        <is>
          <t>Настя (диз)</t>
        </is>
      </c>
      <c r="F50" s="13" t="inlineStr">
        <is>
          <t>Дизайн</t>
        </is>
      </c>
      <c r="G50" s="13" t="inlineStr"/>
      <c r="H50" s="14">
        <f>IF(COUNTA(M50:AM50)=0,"",INDEX($M$1:$AM$1,AGGREGATE(15,6,(COLUMN($M$1:$AM$1)-COLUMN($M$1)+1)/(M50:AM50&lt;&gt;""),1)))</f>
        <v/>
      </c>
      <c r="I50" s="14">
        <f>IF(COUNTA(M50:AM50)=0,"",INDEX($M$1:$AM$1,AGGREGATE(14,6,(COLUMN($M$1:$AM$1)-COLUMN($M$1)+1)/(M50:AM50&lt;&gt;""),1))+MAX(0,IFERROR(LOOKUP(2,1/(M50:AM50&lt;&gt;""),M50:AM50),1)-1))</f>
        <v/>
      </c>
      <c r="J50" s="14">
        <f>IF(I50="","",WORKDAY(I50,1))</f>
        <v/>
      </c>
      <c r="K50" s="15">
        <f>IF(COUNTA(M50:AM50),SUM(M50:AM50),IF(AND(H50&lt;&gt;"",I50&lt;&gt;""),NETWORKDAYS(H50,I50),""))</f>
        <v/>
      </c>
      <c r="L50" s="13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  <c r="T50" s="16" t="inlineStr"/>
      <c r="U50" s="16" t="n">
        <v>1</v>
      </c>
      <c r="V50" s="16" t="inlineStr"/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  <c r="AJ50" s="16" t="inlineStr"/>
      <c r="AK50" s="16" t="inlineStr"/>
      <c r="AL50" s="16" t="inlineStr"/>
      <c r="AM50" s="16" t="inlineStr"/>
    </row>
    <row r="51">
      <c r="A51" s="13" t="inlineStr">
        <is>
          <t>МегаИнтернет</t>
        </is>
      </c>
      <c r="B51" s="13" t="inlineStr">
        <is>
          <t>Коммерческий запуск сетей 5G</t>
        </is>
      </c>
      <c r="C51" s="13" t="inlineStr"/>
      <c r="D51" s="13" t="inlineStr"/>
      <c r="E51" s="13" t="inlineStr">
        <is>
          <t>Володя (SA)</t>
        </is>
      </c>
      <c r="F51" s="13" t="inlineStr">
        <is>
          <t>SA</t>
        </is>
      </c>
      <c r="G51" s="13" t="inlineStr"/>
      <c r="H51" s="14">
        <f>IF(COUNTA(M51:AM51)=0,"",INDEX($M$1:$AM$1,AGGREGATE(15,6,(COLUMN($M$1:$AM$1)-COLUMN($M$1)+1)/(M51:AM51&lt;&gt;""),1)))</f>
        <v/>
      </c>
      <c r="I51" s="14">
        <f>IF(COUNTA(M51:AM51)=0,"",INDEX($M$1:$AM$1,AGGREGATE(14,6,(COLUMN($M$1:$AM$1)-COLUMN($M$1)+1)/(M51:AM51&lt;&gt;""),1))+MAX(0,IFERROR(LOOKUP(2,1/(M51:AM51&lt;&gt;""),M51:AM51),1)-1))</f>
        <v/>
      </c>
      <c r="J51" s="14">
        <f>IF(I51="","",WORKDAY(I51,1))</f>
        <v/>
      </c>
      <c r="K51" s="15">
        <f>IF(COUNTA(M51:AM51),SUM(M51:AM51),IF(AND(H51&lt;&gt;"",I51&lt;&gt;""),NETWORKDAYS(H51,I51),""))</f>
        <v/>
      </c>
      <c r="L51" s="13" t="inlineStr"/>
      <c r="M51" s="16" t="inlineStr"/>
      <c r="N51" s="16" t="inlineStr"/>
      <c r="O51" s="16" t="inlineStr"/>
      <c r="P51" s="16" t="inlineStr"/>
      <c r="Q51" s="16" t="inlineStr"/>
      <c r="R51" s="16" t="inlineStr"/>
      <c r="S51" s="16" t="inlineStr"/>
      <c r="T51" s="16" t="inlineStr"/>
      <c r="U51" s="16" t="n">
        <v>1</v>
      </c>
      <c r="V51" s="16" t="inlineStr"/>
      <c r="W51" s="16" t="inlineStr"/>
      <c r="X51" s="16" t="inlineStr"/>
      <c r="Y51" s="16" t="inlineStr"/>
      <c r="Z51" s="16" t="inlineStr"/>
      <c r="AA51" s="16" t="inlineStr"/>
      <c r="AB51" s="16" t="inlineStr"/>
      <c r="AC51" s="16" t="inlineStr"/>
      <c r="AD51" s="16" t="inlineStr"/>
      <c r="AE51" s="16" t="inlineStr"/>
      <c r="AF51" s="16" t="inlineStr"/>
      <c r="AG51" s="16" t="inlineStr"/>
      <c r="AH51" s="16" t="inlineStr"/>
      <c r="AI51" s="16" t="inlineStr"/>
      <c r="AJ51" s="16" t="inlineStr"/>
      <c r="AK51" s="16" t="inlineStr"/>
      <c r="AL51" s="16" t="inlineStr"/>
      <c r="AM51" s="16" t="inlineStr"/>
    </row>
    <row r="52">
      <c r="A52" s="13" t="inlineStr">
        <is>
          <t>МегаИнтернет</t>
        </is>
      </c>
      <c r="B52" s="13" t="inlineStr">
        <is>
          <t>Коммерческий запуск сетей 5G</t>
        </is>
      </c>
      <c r="C52" s="13" t="inlineStr"/>
      <c r="D52" s="13" t="inlineStr"/>
      <c r="E52" s="13" t="inlineStr">
        <is>
          <t>ВЕ</t>
        </is>
      </c>
      <c r="F52" s="13" t="inlineStr">
        <is>
          <t>BE</t>
        </is>
      </c>
      <c r="G52" s="13" t="inlineStr"/>
      <c r="H52" s="14">
        <f>IF(COUNTA(M52:AM52)=0,"",INDEX($M$1:$AM$1,AGGREGATE(15,6,(COLUMN($M$1:$AM$1)-COLUMN($M$1)+1)/(M52:AM52&lt;&gt;""),1)))</f>
        <v/>
      </c>
      <c r="I52" s="14">
        <f>IF(COUNTA(M52:AM52)=0,"",INDEX($M$1:$AM$1,AGGREGATE(14,6,(COLUMN($M$1:$AM$1)-COLUMN($M$1)+1)/(M52:AM52&lt;&gt;""),1))+MAX(0,IFERROR(LOOKUP(2,1/(M52:AM52&lt;&gt;""),M52:AM52),1)-1))</f>
        <v/>
      </c>
      <c r="J52" s="14">
        <f>IF(I52="","",WORKDAY(I52,1))</f>
        <v/>
      </c>
      <c r="K52" s="15">
        <f>IF(COUNTA(M52:AM52),SUM(M52:AM52),IF(AND(H52&lt;&gt;"",I52&lt;&gt;""),NETWORKDAYS(H52,I52),""))</f>
        <v/>
      </c>
      <c r="L52" s="13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  <c r="T52" s="16" t="inlineStr"/>
      <c r="U52" s="16" t="n">
        <v>1</v>
      </c>
      <c r="V52" s="16" t="inlineStr"/>
      <c r="W52" s="16" t="inlineStr"/>
      <c r="X52" s="16" t="inlineStr"/>
      <c r="Y52" s="16" t="inlineStr"/>
      <c r="Z52" s="16" t="inlineStr"/>
      <c r="AA52" s="16" t="inlineStr"/>
      <c r="AB52" s="16" t="inlineStr"/>
      <c r="AC52" s="16" t="inlineStr"/>
      <c r="AD52" s="16" t="inlineStr"/>
      <c r="AE52" s="16" t="inlineStr"/>
      <c r="AF52" s="16" t="inlineStr"/>
      <c r="AG52" s="16" t="inlineStr"/>
      <c r="AH52" s="16" t="inlineStr"/>
      <c r="AI52" s="16" t="inlineStr"/>
      <c r="AJ52" s="16" t="inlineStr"/>
      <c r="AK52" s="16" t="inlineStr"/>
      <c r="AL52" s="16" t="inlineStr"/>
      <c r="AM52" s="16" t="inlineStr"/>
    </row>
    <row r="53">
      <c r="A53" s="13" t="inlineStr">
        <is>
          <t>МегаИнтернет</t>
        </is>
      </c>
      <c r="B53" s="13" t="inlineStr">
        <is>
          <t>Коммерческий запуск сетей 5G</t>
        </is>
      </c>
      <c r="C53" s="13" t="inlineStr"/>
      <c r="D53" s="13" t="inlineStr"/>
      <c r="E53" s="13" t="inlineStr">
        <is>
          <t>FE</t>
        </is>
      </c>
      <c r="F53" s="13" t="inlineStr">
        <is>
          <t>FE</t>
        </is>
      </c>
      <c r="G53" s="13" t="inlineStr"/>
      <c r="H53" s="14">
        <f>IF(COUNTA(M53:AM53)=0,"",INDEX($M$1:$AM$1,AGGREGATE(15,6,(COLUMN($M$1:$AM$1)-COLUMN($M$1)+1)/(M53:AM53&lt;&gt;""),1)))</f>
        <v/>
      </c>
      <c r="I53" s="14">
        <f>IF(COUNTA(M53:AM53)=0,"",INDEX($M$1:$AM$1,AGGREGATE(14,6,(COLUMN($M$1:$AM$1)-COLUMN($M$1)+1)/(M53:AM53&lt;&gt;""),1))+MAX(0,IFERROR(LOOKUP(2,1/(M53:AM53&lt;&gt;""),M53:AM53),1)-1))</f>
        <v/>
      </c>
      <c r="J53" s="14">
        <f>IF(I53="","",WORKDAY(I53,1))</f>
        <v/>
      </c>
      <c r="K53" s="15">
        <f>IF(COUNTA(M53:AM53),SUM(M53:AM53),IF(AND(H53&lt;&gt;"",I53&lt;&gt;""),NETWORKDAYS(H53,I53),""))</f>
        <v/>
      </c>
      <c r="L53" s="13" t="inlineStr"/>
      <c r="M53" s="16" t="inlineStr"/>
      <c r="N53" s="16" t="inlineStr"/>
      <c r="O53" s="16" t="inlineStr"/>
      <c r="P53" s="16" t="inlineStr"/>
      <c r="Q53" s="16" t="inlineStr"/>
      <c r="R53" s="16" t="inlineStr"/>
      <c r="S53" s="16" t="inlineStr"/>
      <c r="T53" s="16" t="inlineStr"/>
      <c r="U53" s="16" t="n">
        <v>1</v>
      </c>
      <c r="V53" s="16" t="inlineStr"/>
      <c r="W53" s="16" t="inlineStr"/>
      <c r="X53" s="16" t="inlineStr"/>
      <c r="Y53" s="16" t="inlineStr"/>
      <c r="Z53" s="16" t="inlineStr"/>
      <c r="AA53" s="16" t="inlineStr"/>
      <c r="AB53" s="16" t="inlineStr"/>
      <c r="AC53" s="16" t="inlineStr"/>
      <c r="AD53" s="16" t="inlineStr"/>
      <c r="AE53" s="16" t="inlineStr"/>
      <c r="AF53" s="16" t="inlineStr"/>
      <c r="AG53" s="16" t="inlineStr"/>
      <c r="AH53" s="16" t="inlineStr"/>
      <c r="AI53" s="16" t="inlineStr"/>
      <c r="AJ53" s="16" t="inlineStr"/>
      <c r="AK53" s="16" t="inlineStr"/>
      <c r="AL53" s="16" t="inlineStr"/>
      <c r="AM53" s="16" t="inlineStr"/>
    </row>
    <row r="54">
      <c r="A54" s="13" t="inlineStr">
        <is>
          <t>МегаИнтернет</t>
        </is>
      </c>
      <c r="B54" s="13" t="inlineStr">
        <is>
          <t>Коммерческий запуск сетей 5G</t>
        </is>
      </c>
      <c r="C54" s="13" t="inlineStr"/>
      <c r="D54" s="13" t="inlineStr"/>
      <c r="E54" s="13" t="inlineStr">
        <is>
          <t>QA</t>
        </is>
      </c>
      <c r="F54" s="13" t="inlineStr">
        <is>
          <t>QA</t>
        </is>
      </c>
      <c r="G54" s="13" t="inlineStr"/>
      <c r="H54" s="14">
        <f>IF(COUNTA(M54:AM54)=0,"",INDEX($M$1:$AM$1,AGGREGATE(15,6,(COLUMN($M$1:$AM$1)-COLUMN($M$1)+1)/(M54:AM54&lt;&gt;""),1)))</f>
        <v/>
      </c>
      <c r="I54" s="14">
        <f>IF(COUNTA(M54:AM54)=0,"",INDEX($M$1:$AM$1,AGGREGATE(14,6,(COLUMN($M$1:$AM$1)-COLUMN($M$1)+1)/(M54:AM54&lt;&gt;""),1))+MAX(0,IFERROR(LOOKUP(2,1/(M54:AM54&lt;&gt;""),M54:AM54),1)-1))</f>
        <v/>
      </c>
      <c r="J54" s="14">
        <f>IF(I54="","",WORKDAY(I54,1))</f>
        <v/>
      </c>
      <c r="K54" s="15">
        <f>IF(COUNTA(M54:AM54),SUM(M54:AM54),IF(AND(H54&lt;&gt;"",I54&lt;&gt;""),NETWORKDAYS(H54,I54),""))</f>
        <v/>
      </c>
      <c r="L54" s="13" t="inlineStr"/>
      <c r="M54" s="16" t="inlineStr"/>
      <c r="N54" s="16" t="inlineStr"/>
      <c r="O54" s="16" t="inlineStr"/>
      <c r="P54" s="16" t="inlineStr"/>
      <c r="Q54" s="16" t="inlineStr"/>
      <c r="R54" s="16" t="inlineStr"/>
      <c r="S54" s="16" t="inlineStr"/>
      <c r="T54" s="16" t="inlineStr"/>
      <c r="U54" s="16" t="inlineStr"/>
      <c r="V54" s="16" t="n">
        <v>2</v>
      </c>
      <c r="W54" s="16" t="inlineStr"/>
      <c r="X54" s="16" t="inlineStr"/>
      <c r="Y54" s="16" t="inlineStr"/>
      <c r="Z54" s="16" t="inlineStr"/>
      <c r="AA54" s="16" t="inlineStr"/>
      <c r="AB54" s="16" t="inlineStr"/>
      <c r="AC54" s="16" t="inlineStr"/>
      <c r="AD54" s="16" t="inlineStr"/>
      <c r="AE54" s="16" t="inlineStr"/>
      <c r="AF54" s="16" t="inlineStr"/>
      <c r="AG54" s="16" t="inlineStr"/>
      <c r="AH54" s="16" t="inlineStr"/>
      <c r="AI54" s="16" t="inlineStr"/>
      <c r="AJ54" s="16" t="inlineStr"/>
      <c r="AK54" s="16" t="inlineStr"/>
      <c r="AL54" s="16" t="inlineStr"/>
      <c r="AM54" s="16" t="inlineStr"/>
    </row>
    <row r="55">
      <c r="A55" s="13" t="inlineStr">
        <is>
          <t>МегаИнтернет</t>
        </is>
      </c>
      <c r="B55" s="13" t="inlineStr">
        <is>
          <t>Страховка как отдельный продукт</t>
        </is>
      </c>
      <c r="C55" s="13" t="inlineStr"/>
      <c r="D55" s="13" t="inlineStr"/>
      <c r="E55" s="13" t="inlineStr">
        <is>
          <t>Настя (диз)</t>
        </is>
      </c>
      <c r="F55" s="13" t="inlineStr">
        <is>
          <t>Дизайн</t>
        </is>
      </c>
      <c r="G55" s="13" t="inlineStr"/>
      <c r="H55" s="14">
        <f>IF(COUNTA(M55:AM55)=0,"",INDEX($M$1:$AM$1,AGGREGATE(15,6,(COLUMN($M$1:$AM$1)-COLUMN($M$1)+1)/(M55:AM55&lt;&gt;""),1)))</f>
        <v/>
      </c>
      <c r="I55" s="14">
        <f>IF(COUNTA(M55:AM55)=0,"",INDEX($M$1:$AM$1,AGGREGATE(14,6,(COLUMN($M$1:$AM$1)-COLUMN($M$1)+1)/(M55:AM55&lt;&gt;""),1))+MAX(0,IFERROR(LOOKUP(2,1/(M55:AM55&lt;&gt;""),M55:AM55),1)-1))</f>
        <v/>
      </c>
      <c r="J55" s="14">
        <f>IF(I55="","",WORKDAY(I55,1))</f>
        <v/>
      </c>
      <c r="K55" s="15">
        <f>IF(COUNTA(M55:AM55),SUM(M55:AM55),IF(AND(H55&lt;&gt;"",I55&lt;&gt;""),NETWORKDAYS(H55,I55),""))</f>
        <v/>
      </c>
      <c r="L55" s="13" t="inlineStr"/>
      <c r="M55" s="16" t="inlineStr"/>
      <c r="N55" s="16" t="inlineStr"/>
      <c r="O55" s="16" t="inlineStr"/>
      <c r="P55" s="16" t="inlineStr"/>
      <c r="Q55" s="16" t="inlineStr"/>
      <c r="R55" s="16" t="inlineStr"/>
      <c r="S55" s="16" t="inlineStr"/>
      <c r="T55" s="16" t="inlineStr"/>
      <c r="U55" s="16" t="n">
        <v>5</v>
      </c>
      <c r="V55" s="16" t="inlineStr"/>
      <c r="W55" s="16" t="inlineStr"/>
      <c r="X55" s="16" t="inlineStr"/>
      <c r="Y55" s="16" t="inlineStr"/>
      <c r="Z55" s="16" t="inlineStr"/>
      <c r="AA55" s="16" t="n">
        <v>5</v>
      </c>
      <c r="AB55" s="16" t="n">
        <v>5</v>
      </c>
      <c r="AC55" s="16" t="inlineStr"/>
      <c r="AD55" s="16" t="inlineStr"/>
      <c r="AE55" s="16" t="inlineStr"/>
      <c r="AF55" s="16" t="inlineStr"/>
      <c r="AG55" s="16" t="inlineStr"/>
      <c r="AH55" s="16" t="inlineStr"/>
      <c r="AI55" s="16" t="inlineStr"/>
      <c r="AJ55" s="16" t="inlineStr"/>
      <c r="AK55" s="16" t="inlineStr"/>
      <c r="AL55" s="16" t="inlineStr"/>
      <c r="AM55" s="16" t="inlineStr"/>
    </row>
    <row r="56">
      <c r="A56" s="13" t="inlineStr">
        <is>
          <t>МегаИнтернет</t>
        </is>
      </c>
      <c r="B56" s="13" t="inlineStr">
        <is>
          <t>Страховка как отдельный продукт</t>
        </is>
      </c>
      <c r="C56" s="13" t="inlineStr"/>
      <c r="D56" s="13" t="inlineStr"/>
      <c r="E56" s="13" t="inlineStr">
        <is>
          <t>Володя (SA)</t>
        </is>
      </c>
      <c r="F56" s="13" t="inlineStr">
        <is>
          <t>SA</t>
        </is>
      </c>
      <c r="G56" s="13" t="inlineStr"/>
      <c r="H56" s="14">
        <f>IF(COUNTA(M56:AM56)=0,"",INDEX($M$1:$AM$1,AGGREGATE(15,6,(COLUMN($M$1:$AM$1)-COLUMN($M$1)+1)/(M56:AM56&lt;&gt;""),1)))</f>
        <v/>
      </c>
      <c r="I56" s="14">
        <f>IF(COUNTA(M56:AM56)=0,"",INDEX($M$1:$AM$1,AGGREGATE(14,6,(COLUMN($M$1:$AM$1)-COLUMN($M$1)+1)/(M56:AM56&lt;&gt;""),1))+MAX(0,IFERROR(LOOKUP(2,1/(M56:AM56&lt;&gt;""),M56:AM56),1)-1))</f>
        <v/>
      </c>
      <c r="J56" s="14">
        <f>IF(I56="","",WORKDAY(I56,1))</f>
        <v/>
      </c>
      <c r="K56" s="15">
        <f>IF(COUNTA(M56:AM56),SUM(M56:AM56),IF(AND(H56&lt;&gt;"",I56&lt;&gt;""),NETWORKDAYS(H56,I56),""))</f>
        <v/>
      </c>
      <c r="L56" s="13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/>
      <c r="U56" s="16" t="inlineStr"/>
      <c r="V56" s="16" t="inlineStr"/>
      <c r="W56" s="16" t="inlineStr"/>
      <c r="X56" s="16" t="inlineStr"/>
      <c r="Y56" s="16" t="inlineStr"/>
      <c r="Z56" s="16" t="inlineStr"/>
      <c r="AA56" s="16" t="inlineStr"/>
      <c r="AB56" s="16" t="n">
        <v>5</v>
      </c>
      <c r="AC56" s="16" t="n">
        <v>5</v>
      </c>
      <c r="AD56" s="16" t="n">
        <v>5</v>
      </c>
      <c r="AE56" s="16" t="inlineStr"/>
      <c r="AF56" s="16" t="inlineStr"/>
      <c r="AG56" s="16" t="inlineStr"/>
      <c r="AH56" s="16" t="inlineStr"/>
      <c r="AI56" s="16" t="inlineStr"/>
      <c r="AJ56" s="16" t="inlineStr"/>
      <c r="AK56" s="16" t="inlineStr"/>
      <c r="AL56" s="16" t="inlineStr"/>
      <c r="AM56" s="16" t="inlineStr"/>
    </row>
    <row r="57">
      <c r="A57" s="13" t="inlineStr">
        <is>
          <t>Домашний интернет</t>
        </is>
      </c>
      <c r="B57" s="13" t="inlineStr">
        <is>
          <t>Пересборка линейки FMC</t>
        </is>
      </c>
      <c r="C57" s="13" t="inlineStr">
        <is>
          <t>B2CPROD-1055</t>
        </is>
      </c>
      <c r="D57" s="13" t="inlineStr"/>
      <c r="E57" s="13" t="inlineStr">
        <is>
          <t>DUX</t>
        </is>
      </c>
      <c r="F57" s="13" t="inlineStr">
        <is>
          <t>Дизайн</t>
        </is>
      </c>
      <c r="G57" s="13" t="inlineStr"/>
      <c r="H57" s="14">
        <f>IF(COUNTA(M57:AM57)=0,"",INDEX($M$1:$AM$1,AGGREGATE(15,6,(COLUMN($M$1:$AM$1)-COLUMN($M$1)+1)/(M57:AM57&lt;&gt;""),1)))</f>
        <v/>
      </c>
      <c r="I57" s="14">
        <f>IF(COUNTA(M57:AM57)=0,"",INDEX($M$1:$AM$1,AGGREGATE(14,6,(COLUMN($M$1:$AM$1)-COLUMN($M$1)+1)/(M57:AM57&lt;&gt;""),1))+MAX(0,IFERROR(LOOKUP(2,1/(M57:AM57&lt;&gt;""),M57:AM57),1)-1))</f>
        <v/>
      </c>
      <c r="J57" s="14">
        <f>IF(I57="","",WORKDAY(I57,1))</f>
        <v/>
      </c>
      <c r="K57" s="15">
        <f>IF(COUNTA(M57:AM57),SUM(M57:AM57),IF(AND(H57&lt;&gt;"",I57&lt;&gt;""),NETWORKDAYS(H57,I57),""))</f>
        <v/>
      </c>
      <c r="L57" s="13" t="inlineStr"/>
      <c r="M57" s="16" t="n">
        <v>5</v>
      </c>
      <c r="N57" s="16" t="n">
        <v>5</v>
      </c>
      <c r="O57" s="16" t="n">
        <v>5</v>
      </c>
      <c r="P57" s="16" t="inlineStr"/>
      <c r="Q57" s="16" t="n">
        <v>2</v>
      </c>
      <c r="R57" s="16" t="n">
        <v>5</v>
      </c>
      <c r="S57" s="16" t="n">
        <v>5</v>
      </c>
      <c r="T57" s="16" t="inlineStr"/>
      <c r="U57" s="16" t="inlineStr"/>
      <c r="V57" s="16" t="inlineStr"/>
      <c r="W57" s="16" t="inlineStr"/>
      <c r="X57" s="16" t="inlineStr"/>
      <c r="Y57" s="16" t="inlineStr"/>
      <c r="Z57" s="16" t="inlineStr"/>
      <c r="AA57" s="16" t="inlineStr"/>
      <c r="AB57" s="16" t="inlineStr"/>
      <c r="AC57" s="16" t="inlineStr"/>
      <c r="AD57" s="16" t="inlineStr"/>
      <c r="AE57" s="16" t="inlineStr"/>
      <c r="AF57" s="16" t="inlineStr"/>
      <c r="AG57" s="16" t="inlineStr"/>
      <c r="AH57" s="16" t="inlineStr"/>
      <c r="AI57" s="16" t="inlineStr"/>
      <c r="AJ57" s="16" t="inlineStr"/>
      <c r="AK57" s="16" t="inlineStr"/>
      <c r="AL57" s="16" t="inlineStr"/>
      <c r="AM57" s="16" t="inlineStr"/>
    </row>
    <row r="58">
      <c r="A58" s="13" t="inlineStr">
        <is>
          <t>Домашний интернет</t>
        </is>
      </c>
      <c r="B58" s="13" t="inlineStr">
        <is>
          <t>Пересборка линейки FMC</t>
        </is>
      </c>
      <c r="C58" s="13" t="inlineStr">
        <is>
          <t>B2CPROD-1055</t>
        </is>
      </c>
      <c r="D58" s="13" t="inlineStr"/>
      <c r="E58" s="13" t="inlineStr">
        <is>
          <t>SA</t>
        </is>
      </c>
      <c r="F58" s="13" t="inlineStr">
        <is>
          <t>SA</t>
        </is>
      </c>
      <c r="G58" s="13" t="inlineStr"/>
      <c r="H58" s="14">
        <f>IF(COUNTA(M58:AM58)=0,"",INDEX($M$1:$AM$1,AGGREGATE(15,6,(COLUMN($M$1:$AM$1)-COLUMN($M$1)+1)/(M58:AM58&lt;&gt;""),1)))</f>
        <v/>
      </c>
      <c r="I58" s="14">
        <f>IF(COUNTA(M58:AM58)=0,"",INDEX($M$1:$AM$1,AGGREGATE(14,6,(COLUMN($M$1:$AM$1)-COLUMN($M$1)+1)/(M58:AM58&lt;&gt;""),1))+MAX(0,IFERROR(LOOKUP(2,1/(M58:AM58&lt;&gt;""),M58:AM58),1)-1))</f>
        <v/>
      </c>
      <c r="J58" s="14">
        <f>IF(I58="","",WORKDAY(I58,1))</f>
        <v/>
      </c>
      <c r="K58" s="15">
        <f>IF(COUNTA(M58:AM58),SUM(M58:AM58),IF(AND(H58&lt;&gt;"",I58&lt;&gt;""),NETWORKDAYS(H58,I58),""))</f>
        <v/>
      </c>
      <c r="L58" s="13" t="inlineStr"/>
      <c r="M58" s="16" t="inlineStr"/>
      <c r="N58" s="16" t="inlineStr"/>
      <c r="O58" s="16" t="inlineStr"/>
      <c r="P58" s="16" t="n">
        <v>3</v>
      </c>
      <c r="Q58" s="16" t="inlineStr"/>
      <c r="R58" s="16" t="inlineStr"/>
      <c r="S58" s="16" t="inlineStr"/>
      <c r="T58" s="16" t="n">
        <v>5</v>
      </c>
      <c r="U58" s="16" t="n">
        <v>5</v>
      </c>
      <c r="V58" s="16" t="inlineStr"/>
      <c r="W58" s="16" t="inlineStr"/>
      <c r="X58" s="16" t="inlineStr"/>
      <c r="Y58" s="16" t="inlineStr"/>
      <c r="Z58" s="16" t="inlineStr"/>
      <c r="AA58" s="16" t="inlineStr"/>
      <c r="AB58" s="16" t="inlineStr"/>
      <c r="AC58" s="16" t="inlineStr"/>
      <c r="AD58" s="16" t="inlineStr"/>
      <c r="AE58" s="16" t="inlineStr"/>
      <c r="AF58" s="16" t="inlineStr"/>
      <c r="AG58" s="16" t="inlineStr"/>
      <c r="AH58" s="16" t="inlineStr"/>
      <c r="AI58" s="16" t="inlineStr"/>
      <c r="AJ58" s="16" t="inlineStr"/>
      <c r="AK58" s="16" t="inlineStr"/>
      <c r="AL58" s="16" t="inlineStr"/>
      <c r="AM58" s="16" t="inlineStr"/>
    </row>
    <row r="59">
      <c r="A59" s="13" t="inlineStr">
        <is>
          <t>Домашний интернет</t>
        </is>
      </c>
      <c r="B59" s="13" t="inlineStr">
        <is>
          <t>Пересборка линейки FMC</t>
        </is>
      </c>
      <c r="C59" s="13" t="inlineStr">
        <is>
          <t>B2CPROD-1055</t>
        </is>
      </c>
      <c r="D59" s="13" t="inlineStr"/>
      <c r="E59" s="13" t="inlineStr">
        <is>
          <t>BE</t>
        </is>
      </c>
      <c r="F59" s="13" t="inlineStr">
        <is>
          <t>BE</t>
        </is>
      </c>
      <c r="G59" s="13" t="inlineStr"/>
      <c r="H59" s="14">
        <f>IF(COUNTA(M59:AM59)=0,"",INDEX($M$1:$AM$1,AGGREGATE(15,6,(COLUMN($M$1:$AM$1)-COLUMN($M$1)+1)/(M59:AM59&lt;&gt;""),1)))</f>
        <v/>
      </c>
      <c r="I59" s="14">
        <f>IF(COUNTA(M59:AM59)=0,"",INDEX($M$1:$AM$1,AGGREGATE(14,6,(COLUMN($M$1:$AM$1)-COLUMN($M$1)+1)/(M59:AM59&lt;&gt;""),1))+MAX(0,IFERROR(LOOKUP(2,1/(M59:AM59&lt;&gt;""),M59:AM59),1)-1))</f>
        <v/>
      </c>
      <c r="J59" s="14">
        <f>IF(I59="","",WORKDAY(I59,1))</f>
        <v/>
      </c>
      <c r="K59" s="15">
        <f>IF(COUNTA(M59:AM59),SUM(M59:AM59),IF(AND(H59&lt;&gt;"",I59&lt;&gt;""),NETWORKDAYS(H59,I59),""))</f>
        <v/>
      </c>
      <c r="L59" s="13" t="inlineStr"/>
      <c r="M59" s="16" t="inlineStr"/>
      <c r="N59" s="16" t="inlineStr"/>
      <c r="O59" s="16" t="inlineStr"/>
      <c r="P59" s="16" t="inlineStr"/>
      <c r="Q59" s="16" t="inlineStr"/>
      <c r="R59" s="16" t="inlineStr"/>
      <c r="S59" s="16" t="inlineStr"/>
      <c r="T59" s="16" t="inlineStr"/>
      <c r="U59" s="16" t="n">
        <v>5</v>
      </c>
      <c r="V59" s="16" t="n">
        <v>5</v>
      </c>
      <c r="W59" s="16" t="n">
        <v>5</v>
      </c>
      <c r="X59" s="16" t="inlineStr"/>
      <c r="Y59" s="16" t="inlineStr"/>
      <c r="Z59" s="16" t="inlineStr"/>
      <c r="AA59" s="16" t="inlineStr"/>
      <c r="AB59" s="16" t="inlineStr"/>
      <c r="AC59" s="16" t="inlineStr"/>
      <c r="AD59" s="16" t="inlineStr"/>
      <c r="AE59" s="16" t="inlineStr"/>
      <c r="AF59" s="16" t="inlineStr"/>
      <c r="AG59" s="16" t="inlineStr"/>
      <c r="AH59" s="16" t="inlineStr"/>
      <c r="AI59" s="16" t="inlineStr"/>
      <c r="AJ59" s="16" t="inlineStr"/>
      <c r="AK59" s="16" t="inlineStr"/>
      <c r="AL59" s="16" t="inlineStr"/>
      <c r="AM59" s="16" t="inlineStr"/>
    </row>
    <row r="60">
      <c r="A60" s="13" t="inlineStr">
        <is>
          <t>Домашний интернет</t>
        </is>
      </c>
      <c r="B60" s="13" t="inlineStr">
        <is>
          <t>Пересборка линейки FMC</t>
        </is>
      </c>
      <c r="C60" s="13" t="inlineStr">
        <is>
          <t>B2CPROD-1055</t>
        </is>
      </c>
      <c r="D60" s="13" t="inlineStr"/>
      <c r="E60" s="13" t="inlineStr">
        <is>
          <t>FE</t>
        </is>
      </c>
      <c r="F60" s="13" t="inlineStr">
        <is>
          <t>FE</t>
        </is>
      </c>
      <c r="G60" s="13" t="inlineStr"/>
      <c r="H60" s="14">
        <f>IF(COUNTA(M60:AM60)=0,"",INDEX($M$1:$AM$1,AGGREGATE(15,6,(COLUMN($M$1:$AM$1)-COLUMN($M$1)+1)/(M60:AM60&lt;&gt;""),1)))</f>
        <v/>
      </c>
      <c r="I60" s="14">
        <f>IF(COUNTA(M60:AM60)=0,"",INDEX($M$1:$AM$1,AGGREGATE(14,6,(COLUMN($M$1:$AM$1)-COLUMN($M$1)+1)/(M60:AM60&lt;&gt;""),1))+MAX(0,IFERROR(LOOKUP(2,1/(M60:AM60&lt;&gt;""),M60:AM60),1)-1))</f>
        <v/>
      </c>
      <c r="J60" s="14">
        <f>IF(I60="","",WORKDAY(I60,1))</f>
        <v/>
      </c>
      <c r="K60" s="15">
        <f>IF(COUNTA(M60:AM60),SUM(M60:AM60),IF(AND(H60&lt;&gt;"",I60&lt;&gt;""),NETWORKDAYS(H60,I60),""))</f>
        <v/>
      </c>
      <c r="L60" s="13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n">
        <v>5</v>
      </c>
      <c r="W60" s="16" t="n">
        <v>5</v>
      </c>
      <c r="X60" s="16" t="n">
        <v>5</v>
      </c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</row>
    <row r="61">
      <c r="A61" s="13" t="inlineStr">
        <is>
          <t>Домашний интернет</t>
        </is>
      </c>
      <c r="B61" s="13" t="inlineStr">
        <is>
          <t>Пересборка линейки FMC</t>
        </is>
      </c>
      <c r="C61" s="13" t="inlineStr">
        <is>
          <t>B2CPROD-1055</t>
        </is>
      </c>
      <c r="D61" s="13" t="inlineStr"/>
      <c r="E61" s="13" t="inlineStr">
        <is>
          <t>QA</t>
        </is>
      </c>
      <c r="F61" s="13" t="inlineStr">
        <is>
          <t>QA</t>
        </is>
      </c>
      <c r="G61" s="13" t="inlineStr"/>
      <c r="H61" s="14">
        <f>IF(COUNTA(M61:AM61)=0,"",INDEX($M$1:$AM$1,AGGREGATE(15,6,(COLUMN($M$1:$AM$1)-COLUMN($M$1)+1)/(M61:AM61&lt;&gt;""),1)))</f>
        <v/>
      </c>
      <c r="I61" s="14">
        <f>IF(COUNTA(M61:AM61)=0,"",INDEX($M$1:$AM$1,AGGREGATE(14,6,(COLUMN($M$1:$AM$1)-COLUMN($M$1)+1)/(M61:AM61&lt;&gt;""),1))+MAX(0,IFERROR(LOOKUP(2,1/(M61:AM61&lt;&gt;""),M61:AM61),1)-1))</f>
        <v/>
      </c>
      <c r="J61" s="14">
        <f>IF(I61="","",WORKDAY(I61,1))</f>
        <v/>
      </c>
      <c r="K61" s="15">
        <f>IF(COUNTA(M61:AM61),SUM(M61:AM61),IF(AND(H61&lt;&gt;"",I61&lt;&gt;""),NETWORKDAYS(H61,I61),""))</f>
        <v/>
      </c>
      <c r="L61" s="13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  <c r="U61" s="16" t="inlineStr"/>
      <c r="V61" s="16" t="n">
        <v>5</v>
      </c>
      <c r="W61" s="16" t="n">
        <v>5</v>
      </c>
      <c r="X61" s="16" t="n">
        <v>5</v>
      </c>
      <c r="Y61" s="16" t="n">
        <v>5</v>
      </c>
      <c r="Z61" s="16" t="n">
        <v>1</v>
      </c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6" t="inlineStr"/>
    </row>
    <row r="62">
      <c r="A62" s="13" t="inlineStr">
        <is>
          <t>Домашний интернет</t>
        </is>
      </c>
      <c r="B62" s="13" t="inlineStr">
        <is>
          <t>ЛК. Определить наполнение раздела и точку входа для действующих абонентов с ДИ</t>
        </is>
      </c>
      <c r="C62" s="13" t="inlineStr">
        <is>
          <t>B2CPROD-579</t>
        </is>
      </c>
      <c r="D62" s="13" t="inlineStr"/>
      <c r="E62" s="13" t="inlineStr">
        <is>
          <t>BE</t>
        </is>
      </c>
      <c r="F62" s="13" t="inlineStr">
        <is>
          <t>BE</t>
        </is>
      </c>
      <c r="G62" s="13" t="inlineStr"/>
      <c r="H62" s="14">
        <f>IF(COUNTA(M62:AM62)=0,"",INDEX($M$1:$AM$1,AGGREGATE(15,6,(COLUMN($M$1:$AM$1)-COLUMN($M$1)+1)/(M62:AM62&lt;&gt;""),1)))</f>
        <v/>
      </c>
      <c r="I62" s="14">
        <f>IF(COUNTA(M62:AM62)=0,"",INDEX($M$1:$AM$1,AGGREGATE(14,6,(COLUMN($M$1:$AM$1)-COLUMN($M$1)+1)/(M62:AM62&lt;&gt;""),1))+MAX(0,IFERROR(LOOKUP(2,1/(M62:AM62&lt;&gt;""),M62:AM62),1)-1))</f>
        <v/>
      </c>
      <c r="J62" s="14">
        <f>IF(I62="","",WORKDAY(I62,1))</f>
        <v/>
      </c>
      <c r="K62" s="15">
        <f>IF(COUNTA(M62:AM62),SUM(M62:AM62),IF(AND(H62&lt;&gt;"",I62&lt;&gt;""),NETWORKDAYS(H62,I62),""))</f>
        <v/>
      </c>
      <c r="L62" s="13" t="inlineStr"/>
      <c r="M62" s="16" t="n">
        <v>5</v>
      </c>
      <c r="N62" s="16" t="n">
        <v>5</v>
      </c>
      <c r="O62" s="16" t="n">
        <v>5</v>
      </c>
      <c r="P62" s="16" t="n">
        <v>5</v>
      </c>
      <c r="Q62" s="16" t="n">
        <v>5</v>
      </c>
      <c r="R62" s="16" t="inlineStr"/>
      <c r="S62" s="16" t="inlineStr"/>
      <c r="T62" s="16" t="inlineStr"/>
      <c r="U62" s="16" t="inlineStr"/>
      <c r="V62" s="16" t="inlineStr"/>
      <c r="W62" s="16" t="inlineStr"/>
      <c r="X62" s="16" t="inlineStr"/>
      <c r="Y62" s="16" t="inlineStr"/>
      <c r="Z62" s="16" t="inlineStr"/>
      <c r="AA62" s="16" t="inlineStr"/>
      <c r="AB62" s="16" t="inlineStr"/>
      <c r="AC62" s="16" t="inlineStr"/>
      <c r="AD62" s="16" t="inlineStr"/>
      <c r="AE62" s="16" t="inlineStr"/>
      <c r="AF62" s="16" t="inlineStr"/>
      <c r="AG62" s="16" t="inlineStr"/>
      <c r="AH62" s="16" t="inlineStr"/>
      <c r="AI62" s="16" t="inlineStr"/>
      <c r="AJ62" s="16" t="inlineStr"/>
      <c r="AK62" s="16" t="inlineStr"/>
      <c r="AL62" s="16" t="inlineStr"/>
      <c r="AM62" s="16" t="inlineStr"/>
    </row>
    <row r="63">
      <c r="A63" s="13" t="inlineStr">
        <is>
          <t>Домашний интернет</t>
        </is>
      </c>
      <c r="B63" s="13" t="inlineStr">
        <is>
          <t>ЛК. Определить наполнение раздела и точку входа для действующих абонентов с ДИ</t>
        </is>
      </c>
      <c r="C63" s="13" t="inlineStr">
        <is>
          <t>B2CPROD-579</t>
        </is>
      </c>
      <c r="D63" s="13" t="inlineStr"/>
      <c r="E63" s="13" t="inlineStr">
        <is>
          <t>FE</t>
        </is>
      </c>
      <c r="F63" s="13" t="inlineStr">
        <is>
          <t>FE</t>
        </is>
      </c>
      <c r="G63" s="13" t="inlineStr"/>
      <c r="H63" s="14">
        <f>IF(COUNTA(M63:AM63)=0,"",INDEX($M$1:$AM$1,AGGREGATE(15,6,(COLUMN($M$1:$AM$1)-COLUMN($M$1)+1)/(M63:AM63&lt;&gt;""),1)))</f>
        <v/>
      </c>
      <c r="I63" s="14">
        <f>IF(COUNTA(M63:AM63)=0,"",INDEX($M$1:$AM$1,AGGREGATE(14,6,(COLUMN($M$1:$AM$1)-COLUMN($M$1)+1)/(M63:AM63&lt;&gt;""),1))+MAX(0,IFERROR(LOOKUP(2,1/(M63:AM63&lt;&gt;""),M63:AM63),1)-1))</f>
        <v/>
      </c>
      <c r="J63" s="14">
        <f>IF(I63="","",WORKDAY(I63,1))</f>
        <v/>
      </c>
      <c r="K63" s="15">
        <f>IF(COUNTA(M63:AM63),SUM(M63:AM63),IF(AND(H63&lt;&gt;"",I63&lt;&gt;""),NETWORKDAYS(H63,I63),""))</f>
        <v/>
      </c>
      <c r="L63" s="13" t="inlineStr"/>
      <c r="M63" s="16" t="n">
        <v>5</v>
      </c>
      <c r="N63" s="16" t="n">
        <v>5</v>
      </c>
      <c r="O63" s="16" t="n">
        <v>5</v>
      </c>
      <c r="P63" s="16" t="n">
        <v>5</v>
      </c>
      <c r="Q63" s="16" t="inlineStr"/>
      <c r="R63" s="16" t="inlineStr"/>
      <c r="S63" s="16" t="inlineStr"/>
      <c r="T63" s="16" t="inlineStr"/>
      <c r="U63" s="16" t="inlineStr"/>
      <c r="V63" s="16" t="inlineStr"/>
      <c r="W63" s="16" t="inlineStr"/>
      <c r="X63" s="16" t="inlineStr"/>
      <c r="Y63" s="16" t="inlineStr"/>
      <c r="Z63" s="16" t="inlineStr"/>
      <c r="AA63" s="16" t="inlineStr"/>
      <c r="AB63" s="16" t="inlineStr"/>
      <c r="AC63" s="16" t="inlineStr"/>
      <c r="AD63" s="16" t="inlineStr"/>
      <c r="AE63" s="16" t="inlineStr"/>
      <c r="AF63" s="16" t="inlineStr"/>
      <c r="AG63" s="16" t="inlineStr"/>
      <c r="AH63" s="16" t="inlineStr"/>
      <c r="AI63" s="16" t="inlineStr"/>
      <c r="AJ63" s="16" t="inlineStr"/>
      <c r="AK63" s="16" t="inlineStr"/>
      <c r="AL63" s="16" t="inlineStr"/>
      <c r="AM63" s="16" t="inlineStr"/>
    </row>
    <row r="64">
      <c r="A64" s="13" t="inlineStr">
        <is>
          <t>Домашний интернет</t>
        </is>
      </c>
      <c r="B64" s="13" t="inlineStr">
        <is>
          <t>ЛК. Определить наполнение раздела и точку входа для действующих абонентов с ДИ</t>
        </is>
      </c>
      <c r="C64" s="13" t="inlineStr">
        <is>
          <t>B2CPROD-579</t>
        </is>
      </c>
      <c r="D64" s="13" t="inlineStr"/>
      <c r="E64" s="13" t="inlineStr">
        <is>
          <t>QA</t>
        </is>
      </c>
      <c r="F64" s="13" t="inlineStr">
        <is>
          <t>QA</t>
        </is>
      </c>
      <c r="G64" s="13" t="inlineStr"/>
      <c r="H64" s="14">
        <f>IF(COUNTA(M64:AM64)=0,"",INDEX($M$1:$AM$1,AGGREGATE(15,6,(COLUMN($M$1:$AM$1)-COLUMN($M$1)+1)/(M64:AM64&lt;&gt;""),1)))</f>
        <v/>
      </c>
      <c r="I64" s="14">
        <f>IF(COUNTA(M64:AM64)=0,"",INDEX($M$1:$AM$1,AGGREGATE(14,6,(COLUMN($M$1:$AM$1)-COLUMN($M$1)+1)/(M64:AM64&lt;&gt;""),1))+MAX(0,IFERROR(LOOKUP(2,1/(M64:AM64&lt;&gt;""),M64:AM64),1)-1))</f>
        <v/>
      </c>
      <c r="J64" s="14">
        <f>IF(I64="","",WORKDAY(I64,1))</f>
        <v/>
      </c>
      <c r="K64" s="15">
        <f>IF(COUNTA(M64:AM64),SUM(M64:AM64),IF(AND(H64&lt;&gt;"",I64&lt;&gt;""),NETWORKDAYS(H64,I64),""))</f>
        <v/>
      </c>
      <c r="L64" s="13" t="inlineStr"/>
      <c r="M64" s="16" t="n">
        <v>5</v>
      </c>
      <c r="N64" s="16" t="n">
        <v>5</v>
      </c>
      <c r="O64" s="16" t="n">
        <v>5</v>
      </c>
      <c r="P64" s="16" t="inlineStr"/>
      <c r="Q64" s="16" t="n">
        <v>5</v>
      </c>
      <c r="R64" s="16" t="n">
        <v>5</v>
      </c>
      <c r="S64" s="16" t="n">
        <v>5</v>
      </c>
      <c r="T64" s="16" t="n">
        <v>5</v>
      </c>
      <c r="U64" s="16" t="n">
        <v>3</v>
      </c>
      <c r="V64" s="16" t="inlineStr"/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/>
      <c r="AD64" s="16" t="inlineStr"/>
      <c r="AE64" s="16" t="inlineStr"/>
      <c r="AF64" s="16" t="inlineStr"/>
      <c r="AG64" s="16" t="inlineStr"/>
      <c r="AH64" s="16" t="inlineStr"/>
      <c r="AI64" s="16" t="inlineStr"/>
      <c r="AJ64" s="16" t="inlineStr"/>
      <c r="AK64" s="16" t="inlineStr"/>
      <c r="AL64" s="16" t="inlineStr"/>
      <c r="AM64" s="16" t="inlineStr"/>
    </row>
    <row r="65">
      <c r="A65" s="13" t="inlineStr">
        <is>
          <t>Домашний интернет</t>
        </is>
      </c>
      <c r="B65" s="13" t="inlineStr">
        <is>
          <t>ЛК. Определить наполнение раздела и точку входа для действующих абонентов с ДИ</t>
        </is>
      </c>
      <c r="C65" s="13" t="inlineStr">
        <is>
          <t>B2CPROD-579</t>
        </is>
      </c>
      <c r="D65" s="13" t="inlineStr"/>
      <c r="E65" s="13" t="inlineStr">
        <is>
          <t>отпуск QA</t>
        </is>
      </c>
      <c r="F65" s="13" t="inlineStr">
        <is>
          <t>QA</t>
        </is>
      </c>
      <c r="G65" s="13" t="inlineStr">
        <is>
          <t>да</t>
        </is>
      </c>
      <c r="H65" s="14">
        <f>IF(COUNTA(M65:AM65)=0,"",INDEX($M$1:$AM$1,AGGREGATE(15,6,(COLUMN($M$1:$AM$1)-COLUMN($M$1)+1)/(M65:AM65&lt;&gt;""),1)))</f>
        <v/>
      </c>
      <c r="I65" s="14">
        <f>IF(COUNTA(M65:AM65)=0,"",INDEX($M$1:$AM$1,AGGREGATE(14,6,(COLUMN($M$1:$AM$1)-COLUMN($M$1)+1)/(M65:AM65&lt;&gt;""),1))+MAX(0,IFERROR(LOOKUP(2,1/(M65:AM65&lt;&gt;""),M65:AM65),1)-1))</f>
        <v/>
      </c>
      <c r="J65" s="14">
        <f>IF(I65="","",WORKDAY(I65,1))</f>
        <v/>
      </c>
      <c r="K65" s="15">
        <f>IF(COUNTA(M65:AM65),SUM(M65:AM65),IF(AND(H65&lt;&gt;"",I65&lt;&gt;""),NETWORKDAYS(H65,I65),""))</f>
        <v/>
      </c>
      <c r="L65" s="13" t="inlineStr"/>
      <c r="M65" s="16" t="inlineStr"/>
      <c r="N65" s="16" t="inlineStr"/>
      <c r="O65" s="16" t="inlineStr"/>
      <c r="P65" s="16" t="n">
        <v>5</v>
      </c>
      <c r="Q65" s="16" t="inlineStr"/>
      <c r="R65" s="16" t="inlineStr"/>
      <c r="S65" s="16" t="inlineStr"/>
      <c r="T65" s="16" t="inlineStr"/>
      <c r="U65" s="16" t="inlineStr"/>
      <c r="V65" s="16" t="inlineStr"/>
      <c r="W65" s="16" t="inlineStr"/>
      <c r="X65" s="16" t="inlineStr"/>
      <c r="Y65" s="16" t="inlineStr"/>
      <c r="Z65" s="16" t="inlineStr"/>
      <c r="AA65" s="16" t="inlineStr"/>
      <c r="AB65" s="16" t="inlineStr"/>
      <c r="AC65" s="16" t="inlineStr"/>
      <c r="AD65" s="16" t="inlineStr"/>
      <c r="AE65" s="16" t="inlineStr"/>
      <c r="AF65" s="16" t="inlineStr"/>
      <c r="AG65" s="16" t="inlineStr"/>
      <c r="AH65" s="16" t="inlineStr"/>
      <c r="AI65" s="16" t="inlineStr"/>
      <c r="AJ65" s="16" t="inlineStr"/>
      <c r="AK65" s="16" t="inlineStr"/>
      <c r="AL65" s="16" t="inlineStr"/>
      <c r="AM65" s="16" t="inlineStr"/>
    </row>
    <row r="66">
      <c r="A66" s="13" t="inlineStr">
        <is>
          <t>Домашний интернет</t>
        </is>
      </c>
      <c r="B66" s="13" t="inlineStr">
        <is>
          <t>Редактирование заявки</t>
        </is>
      </c>
      <c r="C66" s="13" t="inlineStr">
        <is>
          <t>B2CPROD-579</t>
        </is>
      </c>
      <c r="D66" s="13" t="inlineStr"/>
      <c r="E66" s="13" t="inlineStr">
        <is>
          <t>DUX</t>
        </is>
      </c>
      <c r="F66" s="13" t="inlineStr">
        <is>
          <t>Дизайн</t>
        </is>
      </c>
      <c r="G66" s="13" t="inlineStr"/>
      <c r="H66" s="14">
        <f>IF(COUNTA(M66:AM66)=0,"",INDEX($M$1:$AM$1,AGGREGATE(15,6,(COLUMN($M$1:$AM$1)-COLUMN($M$1)+1)/(M66:AM66&lt;&gt;""),1)))</f>
        <v/>
      </c>
      <c r="I66" s="14">
        <f>IF(COUNTA(M66:AM66)=0,"",INDEX($M$1:$AM$1,AGGREGATE(14,6,(COLUMN($M$1:$AM$1)-COLUMN($M$1)+1)/(M66:AM66&lt;&gt;""),1))+MAX(0,IFERROR(LOOKUP(2,1/(M66:AM66&lt;&gt;""),M66:AM66),1)-1))</f>
        <v/>
      </c>
      <c r="J66" s="14">
        <f>IF(I66="","",WORKDAY(I66,1))</f>
        <v/>
      </c>
      <c r="K66" s="15">
        <f>IF(COUNTA(M66:AM66),SUM(M66:AM66),IF(AND(H66&lt;&gt;"",I66&lt;&gt;""),NETWORKDAYS(H66,I66),""))</f>
        <v/>
      </c>
      <c r="L66" s="13" t="inlineStr"/>
      <c r="M66" s="16" t="inlineStr"/>
      <c r="N66" s="16" t="inlineStr"/>
      <c r="O66" s="16" t="inlineStr"/>
      <c r="P66" s="16" t="n">
        <v>5</v>
      </c>
      <c r="Q66" s="16" t="inlineStr"/>
      <c r="R66" s="16" t="inlineStr"/>
      <c r="S66" s="16" t="inlineStr"/>
      <c r="T66" s="16" t="inlineStr"/>
      <c r="U66" s="16" t="inlineStr"/>
      <c r="V66" s="16" t="inlineStr"/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  <c r="AJ66" s="16" t="inlineStr"/>
      <c r="AK66" s="16" t="inlineStr"/>
      <c r="AL66" s="16" t="inlineStr"/>
      <c r="AM66" s="16" t="inlineStr"/>
    </row>
    <row r="67">
      <c r="A67" s="13" t="inlineStr">
        <is>
          <t>Домашний интернет</t>
        </is>
      </c>
      <c r="B67" s="13" t="inlineStr">
        <is>
          <t>Редактирование заявки</t>
        </is>
      </c>
      <c r="C67" s="13" t="inlineStr">
        <is>
          <t>B2CPROD-579</t>
        </is>
      </c>
      <c r="D67" s="13" t="inlineStr"/>
      <c r="E67" s="13" t="inlineStr">
        <is>
          <t>SA</t>
        </is>
      </c>
      <c r="F67" s="13" t="inlineStr">
        <is>
          <t>SA</t>
        </is>
      </c>
      <c r="G67" s="13" t="inlineStr"/>
      <c r="H67" s="14">
        <f>IF(COUNTA(M67:AM67)=0,"",INDEX($M$1:$AM$1,AGGREGATE(15,6,(COLUMN($M$1:$AM$1)-COLUMN($M$1)+1)/(M67:AM67&lt;&gt;""),1)))</f>
        <v/>
      </c>
      <c r="I67" s="14">
        <f>IF(COUNTA(M67:AM67)=0,"",INDEX($M$1:$AM$1,AGGREGATE(14,6,(COLUMN($M$1:$AM$1)-COLUMN($M$1)+1)/(M67:AM67&lt;&gt;""),1))+MAX(0,IFERROR(LOOKUP(2,1/(M67:AM67&lt;&gt;""),M67:AM67),1)-1))</f>
        <v/>
      </c>
      <c r="J67" s="14">
        <f>IF(I67="","",WORKDAY(I67,1))</f>
        <v/>
      </c>
      <c r="K67" s="15">
        <f>IF(COUNTA(M67:AM67),SUM(M67:AM67),IF(AND(H67&lt;&gt;"",I67&lt;&gt;""),NETWORKDAYS(H67,I67),""))</f>
        <v/>
      </c>
      <c r="L67" s="13" t="inlineStr"/>
      <c r="M67" s="16" t="inlineStr"/>
      <c r="N67" s="16" t="inlineStr"/>
      <c r="O67" s="16" t="inlineStr"/>
      <c r="P67" s="16" t="inlineStr"/>
      <c r="Q67" s="16" t="n">
        <v>3</v>
      </c>
      <c r="R67" s="16" t="inlineStr"/>
      <c r="S67" s="16" t="inlineStr"/>
      <c r="T67" s="16" t="inlineStr"/>
      <c r="U67" s="16" t="inlineStr"/>
      <c r="V67" s="16" t="inlineStr"/>
      <c r="W67" s="16" t="inlineStr"/>
      <c r="X67" s="16" t="inlineStr"/>
      <c r="Y67" s="16" t="inlineStr"/>
      <c r="Z67" s="16" t="inlineStr"/>
      <c r="AA67" s="16" t="inlineStr"/>
      <c r="AB67" s="16" t="inlineStr"/>
      <c r="AC67" s="16" t="inlineStr"/>
      <c r="AD67" s="16" t="inlineStr"/>
      <c r="AE67" s="16" t="inlineStr"/>
      <c r="AF67" s="16" t="inlineStr"/>
      <c r="AG67" s="16" t="inlineStr"/>
      <c r="AH67" s="16" t="inlineStr"/>
      <c r="AI67" s="16" t="inlineStr"/>
      <c r="AJ67" s="16" t="inlineStr"/>
      <c r="AK67" s="16" t="inlineStr"/>
      <c r="AL67" s="16" t="inlineStr"/>
      <c r="AM67" s="16" t="inlineStr"/>
    </row>
    <row r="68">
      <c r="A68" s="13" t="inlineStr">
        <is>
          <t>Домашний интернет</t>
        </is>
      </c>
      <c r="B68" s="13" t="inlineStr">
        <is>
          <t>Редактирование заявки</t>
        </is>
      </c>
      <c r="C68" s="13" t="inlineStr">
        <is>
          <t>B2CPROD-579</t>
        </is>
      </c>
      <c r="D68" s="13" t="inlineStr"/>
      <c r="E68" s="13" t="inlineStr">
        <is>
          <t>BE</t>
        </is>
      </c>
      <c r="F68" s="13" t="inlineStr">
        <is>
          <t>BE</t>
        </is>
      </c>
      <c r="G68" s="13" t="inlineStr"/>
      <c r="H68" s="14">
        <f>IF(COUNTA(M68:AM68)=0,"",INDEX($M$1:$AM$1,AGGREGATE(15,6,(COLUMN($M$1:$AM$1)-COLUMN($M$1)+1)/(M68:AM68&lt;&gt;""),1)))</f>
        <v/>
      </c>
      <c r="I68" s="14">
        <f>IF(COUNTA(M68:AM68)=0,"",INDEX($M$1:$AM$1,AGGREGATE(14,6,(COLUMN($M$1:$AM$1)-COLUMN($M$1)+1)/(M68:AM68&lt;&gt;""),1))+MAX(0,IFERROR(LOOKUP(2,1/(M68:AM68&lt;&gt;""),M68:AM68),1)-1))</f>
        <v/>
      </c>
      <c r="J68" s="14">
        <f>IF(I68="","",WORKDAY(I68,1))</f>
        <v/>
      </c>
      <c r="K68" s="15">
        <f>IF(COUNTA(M68:AM68),SUM(M68:AM68),IF(AND(H68&lt;&gt;"",I68&lt;&gt;""),NETWORKDAYS(H68,I68),""))</f>
        <v/>
      </c>
      <c r="L68" s="13" t="inlineStr"/>
      <c r="M68" s="16" t="inlineStr"/>
      <c r="N68" s="16" t="inlineStr"/>
      <c r="O68" s="16" t="inlineStr"/>
      <c r="P68" s="16" t="inlineStr"/>
      <c r="Q68" s="16" t="inlineStr"/>
      <c r="R68" s="16" t="n">
        <v>5</v>
      </c>
      <c r="S68" s="16" t="n">
        <v>5</v>
      </c>
      <c r="T68" s="16" t="inlineStr"/>
      <c r="U68" s="16" t="inlineStr"/>
      <c r="V68" s="16" t="inlineStr"/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/>
      <c r="AD68" s="16" t="inlineStr"/>
      <c r="AE68" s="16" t="inlineStr"/>
      <c r="AF68" s="16" t="inlineStr"/>
      <c r="AG68" s="16" t="inlineStr"/>
      <c r="AH68" s="16" t="inlineStr"/>
      <c r="AI68" s="16" t="inlineStr"/>
      <c r="AJ68" s="16" t="inlineStr"/>
      <c r="AK68" s="16" t="inlineStr"/>
      <c r="AL68" s="16" t="inlineStr"/>
      <c r="AM68" s="16" t="inlineStr"/>
    </row>
    <row r="69">
      <c r="A69" s="13" t="inlineStr">
        <is>
          <t>Домашний интернет</t>
        </is>
      </c>
      <c r="B69" s="13" t="inlineStr">
        <is>
          <t>Редактирование заявки</t>
        </is>
      </c>
      <c r="C69" s="13" t="inlineStr">
        <is>
          <t>B2CPROD-579</t>
        </is>
      </c>
      <c r="D69" s="13" t="inlineStr"/>
      <c r="E69" s="13" t="inlineStr">
        <is>
          <t>FE</t>
        </is>
      </c>
      <c r="F69" s="13" t="inlineStr">
        <is>
          <t>FE</t>
        </is>
      </c>
      <c r="G69" s="13" t="inlineStr"/>
      <c r="H69" s="14">
        <f>IF(COUNTA(M69:AM69)=0,"",INDEX($M$1:$AM$1,AGGREGATE(15,6,(COLUMN($M$1:$AM$1)-COLUMN($M$1)+1)/(M69:AM69&lt;&gt;""),1)))</f>
        <v/>
      </c>
      <c r="I69" s="14">
        <f>IF(COUNTA(M69:AM69)=0,"",INDEX($M$1:$AM$1,AGGREGATE(14,6,(COLUMN($M$1:$AM$1)-COLUMN($M$1)+1)/(M69:AM69&lt;&gt;""),1))+MAX(0,IFERROR(LOOKUP(2,1/(M69:AM69&lt;&gt;""),M69:AM69),1)-1))</f>
        <v/>
      </c>
      <c r="J69" s="14">
        <f>IF(I69="","",WORKDAY(I69,1))</f>
        <v/>
      </c>
      <c r="K69" s="15">
        <f>IF(COUNTA(M69:AM69),SUM(M69:AM69),IF(AND(H69&lt;&gt;"",I69&lt;&gt;""),NETWORKDAYS(H69,I69),""))</f>
        <v/>
      </c>
      <c r="L69" s="13" t="inlineStr"/>
      <c r="M69" s="16" t="inlineStr"/>
      <c r="N69" s="16" t="inlineStr"/>
      <c r="O69" s="16" t="inlineStr"/>
      <c r="P69" s="16" t="inlineStr"/>
      <c r="Q69" s="16" t="inlineStr"/>
      <c r="R69" s="16" t="n">
        <v>5</v>
      </c>
      <c r="S69" s="16" t="inlineStr"/>
      <c r="T69" s="16" t="inlineStr"/>
      <c r="U69" s="16" t="inlineStr"/>
      <c r="V69" s="16" t="inlineStr"/>
      <c r="W69" s="16" t="inlineStr"/>
      <c r="X69" s="16" t="inlineStr"/>
      <c r="Y69" s="16" t="inlineStr"/>
      <c r="Z69" s="16" t="inlineStr"/>
      <c r="AA69" s="16" t="inlineStr"/>
      <c r="AB69" s="16" t="inlineStr"/>
      <c r="AC69" s="16" t="inlineStr"/>
      <c r="AD69" s="16" t="inlineStr"/>
      <c r="AE69" s="16" t="inlineStr"/>
      <c r="AF69" s="16" t="inlineStr"/>
      <c r="AG69" s="16" t="inlineStr"/>
      <c r="AH69" s="16" t="inlineStr"/>
      <c r="AI69" s="16" t="inlineStr"/>
      <c r="AJ69" s="16" t="inlineStr"/>
      <c r="AK69" s="16" t="inlineStr"/>
      <c r="AL69" s="16" t="inlineStr"/>
      <c r="AM69" s="16" t="inlineStr"/>
    </row>
    <row r="70">
      <c r="A70" s="13" t="inlineStr">
        <is>
          <t>Домашний интернет</t>
        </is>
      </c>
      <c r="B70" s="13" t="inlineStr">
        <is>
          <t>Редактирование заявки</t>
        </is>
      </c>
      <c r="C70" s="13" t="inlineStr">
        <is>
          <t>B2CPROD-579</t>
        </is>
      </c>
      <c r="D70" s="13" t="inlineStr"/>
      <c r="E70" s="13" t="inlineStr">
        <is>
          <t>QA</t>
        </is>
      </c>
      <c r="F70" s="13" t="inlineStr">
        <is>
          <t>QA</t>
        </is>
      </c>
      <c r="G70" s="13" t="inlineStr"/>
      <c r="H70" s="14">
        <f>IF(COUNTA(M70:AM70)=0,"",INDEX($M$1:$AM$1,AGGREGATE(15,6,(COLUMN($M$1:$AM$1)-COLUMN($M$1)+1)/(M70:AM70&lt;&gt;""),1)))</f>
        <v/>
      </c>
      <c r="I70" s="14">
        <f>IF(COUNTA(M70:AM70)=0,"",INDEX($M$1:$AM$1,AGGREGATE(14,6,(COLUMN($M$1:$AM$1)-COLUMN($M$1)+1)/(M70:AM70&lt;&gt;""),1))+MAX(0,IFERROR(LOOKUP(2,1/(M70:AM70&lt;&gt;""),M70:AM70),1)-1))</f>
        <v/>
      </c>
      <c r="J70" s="14">
        <f>IF(I70="","",WORKDAY(I70,1))</f>
        <v/>
      </c>
      <c r="K70" s="15">
        <f>IF(COUNTA(M70:AM70),SUM(M70:AM70),IF(AND(H70&lt;&gt;"",I70&lt;&gt;""),NETWORKDAYS(H70,I70),""))</f>
        <v/>
      </c>
      <c r="L70" s="13" t="inlineStr"/>
      <c r="M70" s="16" t="inlineStr"/>
      <c r="N70" s="16" t="inlineStr"/>
      <c r="O70" s="16" t="inlineStr"/>
      <c r="P70" s="16" t="inlineStr"/>
      <c r="Q70" s="16" t="inlineStr"/>
      <c r="R70" s="16" t="inlineStr"/>
      <c r="S70" s="16" t="inlineStr"/>
      <c r="T70" s="16" t="inlineStr"/>
      <c r="U70" s="16" t="n">
        <v>5</v>
      </c>
      <c r="V70" s="16" t="n">
        <v>5</v>
      </c>
      <c r="W70" s="16" t="n">
        <v>5</v>
      </c>
      <c r="X70" s="16" t="inlineStr"/>
      <c r="Y70" s="16" t="inlineStr"/>
      <c r="Z70" s="16" t="inlineStr"/>
      <c r="AA70" s="16" t="inlineStr"/>
      <c r="AB70" s="16" t="inlineStr"/>
      <c r="AC70" s="16" t="inlineStr"/>
      <c r="AD70" s="16" t="inlineStr"/>
      <c r="AE70" s="16" t="inlineStr"/>
      <c r="AF70" s="16" t="inlineStr"/>
      <c r="AG70" s="16" t="inlineStr"/>
      <c r="AH70" s="16" t="inlineStr"/>
      <c r="AI70" s="16" t="inlineStr"/>
      <c r="AJ70" s="16" t="inlineStr"/>
      <c r="AK70" s="16" t="inlineStr"/>
      <c r="AL70" s="16" t="inlineStr"/>
      <c r="AM70" s="16" t="inlineStr"/>
    </row>
    <row r="71">
      <c r="A71" s="13" t="inlineStr">
        <is>
          <t>Домашний интернет</t>
        </is>
      </c>
      <c r="B71" s="13" t="inlineStr">
        <is>
          <t>Рассрочка оборудования</t>
        </is>
      </c>
      <c r="C71" s="13" t="inlineStr">
        <is>
          <t>B2CPROD-579</t>
        </is>
      </c>
      <c r="D71" s="13" t="inlineStr"/>
      <c r="E71" s="13" t="inlineStr">
        <is>
          <t>DUX</t>
        </is>
      </c>
      <c r="F71" s="13" t="inlineStr">
        <is>
          <t>Дизайн</t>
        </is>
      </c>
      <c r="G71" s="13" t="inlineStr"/>
      <c r="H71" s="14">
        <f>IF(COUNTA(M71:AM71)=0,"",INDEX($M$1:$AM$1,AGGREGATE(15,6,(COLUMN($M$1:$AM$1)-COLUMN($M$1)+1)/(M71:AM71&lt;&gt;""),1)))</f>
        <v/>
      </c>
      <c r="I71" s="14">
        <f>IF(COUNTA(M71:AM71)=0,"",INDEX($M$1:$AM$1,AGGREGATE(14,6,(COLUMN($M$1:$AM$1)-COLUMN($M$1)+1)/(M71:AM71&lt;&gt;""),1))+MAX(0,IFERROR(LOOKUP(2,1/(M71:AM71&lt;&gt;""),M71:AM71),1)-1))</f>
        <v/>
      </c>
      <c r="J71" s="14">
        <f>IF(I71="","",WORKDAY(I71,1))</f>
        <v/>
      </c>
      <c r="K71" s="15">
        <f>IF(COUNTA(M71:AM71),SUM(M71:AM71),IF(AND(H71&lt;&gt;"",I71&lt;&gt;""),NETWORKDAYS(H71,I71),""))</f>
        <v/>
      </c>
      <c r="L71" s="13" t="inlineStr"/>
      <c r="M71" s="16" t="inlineStr"/>
      <c r="N71" s="16" t="inlineStr"/>
      <c r="O71" s="16" t="inlineStr"/>
      <c r="P71" s="16" t="inlineStr"/>
      <c r="Q71" s="16" t="n">
        <v>3</v>
      </c>
      <c r="R71" s="16" t="inlineStr"/>
      <c r="S71" s="16" t="inlineStr"/>
      <c r="T71" s="16" t="inlineStr"/>
      <c r="U71" s="16" t="inlineStr"/>
      <c r="V71" s="16" t="inlineStr"/>
      <c r="W71" s="16" t="inlineStr"/>
      <c r="X71" s="16" t="inlineStr"/>
      <c r="Y71" s="16" t="inlineStr"/>
      <c r="Z71" s="16" t="inlineStr"/>
      <c r="AA71" s="16" t="inlineStr"/>
      <c r="AB71" s="16" t="inlineStr"/>
      <c r="AC71" s="16" t="inlineStr"/>
      <c r="AD71" s="16" t="inlineStr"/>
      <c r="AE71" s="16" t="inlineStr"/>
      <c r="AF71" s="16" t="inlineStr"/>
      <c r="AG71" s="16" t="inlineStr"/>
      <c r="AH71" s="16" t="inlineStr"/>
      <c r="AI71" s="16" t="inlineStr"/>
      <c r="AJ71" s="16" t="inlineStr"/>
      <c r="AK71" s="16" t="inlineStr"/>
      <c r="AL71" s="16" t="inlineStr"/>
      <c r="AM71" s="16" t="inlineStr"/>
    </row>
    <row r="72">
      <c r="A72" s="13" t="inlineStr">
        <is>
          <t>Домашний интернет</t>
        </is>
      </c>
      <c r="B72" s="13" t="inlineStr">
        <is>
          <t>Рассрочка оборудования</t>
        </is>
      </c>
      <c r="C72" s="13" t="inlineStr">
        <is>
          <t>B2CPROD-579</t>
        </is>
      </c>
      <c r="D72" s="13" t="inlineStr"/>
      <c r="E72" s="13" t="inlineStr">
        <is>
          <t>SA</t>
        </is>
      </c>
      <c r="F72" s="13" t="inlineStr">
        <is>
          <t>SA</t>
        </is>
      </c>
      <c r="G72" s="13" t="inlineStr"/>
      <c r="H72" s="14">
        <f>IF(COUNTA(M72:AM72)=0,"",INDEX($M$1:$AM$1,AGGREGATE(15,6,(COLUMN($M$1:$AM$1)-COLUMN($M$1)+1)/(M72:AM72&lt;&gt;""),1)))</f>
        <v/>
      </c>
      <c r="I72" s="14">
        <f>IF(COUNTA(M72:AM72)=0,"",INDEX($M$1:$AM$1,AGGREGATE(14,6,(COLUMN($M$1:$AM$1)-COLUMN($M$1)+1)/(M72:AM72&lt;&gt;""),1))+MAX(0,IFERROR(LOOKUP(2,1/(M72:AM72&lt;&gt;""),M72:AM72),1)-1))</f>
        <v/>
      </c>
      <c r="J72" s="14">
        <f>IF(I72="","",WORKDAY(I72,1))</f>
        <v/>
      </c>
      <c r="K72" s="15">
        <f>IF(COUNTA(M72:AM72),SUM(M72:AM72),IF(AND(H72&lt;&gt;"",I72&lt;&gt;""),NETWORKDAYS(H72,I72),""))</f>
        <v/>
      </c>
      <c r="L72" s="13" t="inlineStr"/>
      <c r="M72" s="16" t="inlineStr"/>
      <c r="N72" s="16" t="inlineStr"/>
      <c r="O72" s="16" t="inlineStr"/>
      <c r="P72" s="16" t="inlineStr"/>
      <c r="Q72" s="16" t="n">
        <v>2</v>
      </c>
      <c r="R72" s="16" t="inlineStr"/>
      <c r="S72" s="16" t="inlineStr"/>
      <c r="T72" s="16" t="inlineStr"/>
      <c r="U72" s="16" t="inlineStr"/>
      <c r="V72" s="16" t="inlineStr"/>
      <c r="W72" s="16" t="inlineStr"/>
      <c r="X72" s="16" t="inlineStr"/>
      <c r="Y72" s="16" t="inlineStr"/>
      <c r="Z72" s="16" t="inlineStr"/>
      <c r="AA72" s="16" t="inlineStr"/>
      <c r="AB72" s="16" t="inlineStr"/>
      <c r="AC72" s="16" t="inlineStr"/>
      <c r="AD72" s="16" t="inlineStr"/>
      <c r="AE72" s="16" t="inlineStr"/>
      <c r="AF72" s="16" t="inlineStr"/>
      <c r="AG72" s="16" t="inlineStr"/>
      <c r="AH72" s="16" t="inlineStr"/>
      <c r="AI72" s="16" t="inlineStr"/>
      <c r="AJ72" s="16" t="inlineStr"/>
      <c r="AK72" s="16" t="inlineStr"/>
      <c r="AL72" s="16" t="inlineStr"/>
      <c r="AM72" s="16" t="inlineStr"/>
    </row>
    <row r="73">
      <c r="A73" s="13" t="inlineStr">
        <is>
          <t>Домашний интернет</t>
        </is>
      </c>
      <c r="B73" s="13" t="inlineStr">
        <is>
          <t>Рассрочка оборудования</t>
        </is>
      </c>
      <c r="C73" s="13" t="inlineStr">
        <is>
          <t>B2CPROD-579</t>
        </is>
      </c>
      <c r="D73" s="13" t="inlineStr"/>
      <c r="E73" s="13" t="inlineStr">
        <is>
          <t>BE</t>
        </is>
      </c>
      <c r="F73" s="13" t="inlineStr">
        <is>
          <t>BE</t>
        </is>
      </c>
      <c r="G73" s="13" t="inlineStr"/>
      <c r="H73" s="14">
        <f>IF(COUNTA(M73:AM73)=0,"",INDEX($M$1:$AM$1,AGGREGATE(15,6,(COLUMN($M$1:$AM$1)-COLUMN($M$1)+1)/(M73:AM73&lt;&gt;""),1)))</f>
        <v/>
      </c>
      <c r="I73" s="14">
        <f>IF(COUNTA(M73:AM73)=0,"",INDEX($M$1:$AM$1,AGGREGATE(14,6,(COLUMN($M$1:$AM$1)-COLUMN($M$1)+1)/(M73:AM73&lt;&gt;""),1))+MAX(0,IFERROR(LOOKUP(2,1/(M73:AM73&lt;&gt;""),M73:AM73),1)-1))</f>
        <v/>
      </c>
      <c r="J73" s="14">
        <f>IF(I73="","",WORKDAY(I73,1))</f>
        <v/>
      </c>
      <c r="K73" s="15">
        <f>IF(COUNTA(M73:AM73),SUM(M73:AM73),IF(AND(H73&lt;&gt;"",I73&lt;&gt;""),NETWORKDAYS(H73,I73),""))</f>
        <v/>
      </c>
      <c r="L73" s="13" t="inlineStr"/>
      <c r="M73" s="16" t="inlineStr"/>
      <c r="N73" s="16" t="inlineStr"/>
      <c r="O73" s="16" t="inlineStr"/>
      <c r="P73" s="16" t="inlineStr"/>
      <c r="Q73" s="16" t="inlineStr"/>
      <c r="R73" s="16" t="inlineStr"/>
      <c r="S73" s="16" t="inlineStr"/>
      <c r="T73" s="16" t="n">
        <v>5</v>
      </c>
      <c r="U73" s="16" t="inlineStr"/>
      <c r="V73" s="16" t="inlineStr"/>
      <c r="W73" s="16" t="inlineStr"/>
      <c r="X73" s="16" t="n">
        <v>5</v>
      </c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  <c r="AJ73" s="16" t="inlineStr"/>
      <c r="AK73" s="16" t="inlineStr"/>
      <c r="AL73" s="16" t="inlineStr"/>
      <c r="AM73" s="16" t="inlineStr"/>
    </row>
    <row r="74">
      <c r="A74" s="13" t="inlineStr">
        <is>
          <t>Домашний интернет</t>
        </is>
      </c>
      <c r="B74" s="13" t="inlineStr">
        <is>
          <t>Рассрочка оборудования</t>
        </is>
      </c>
      <c r="C74" s="13" t="inlineStr">
        <is>
          <t>B2CPROD-579</t>
        </is>
      </c>
      <c r="D74" s="13" t="inlineStr"/>
      <c r="E74" s="13" t="inlineStr">
        <is>
          <t>FE</t>
        </is>
      </c>
      <c r="F74" s="13" t="inlineStr">
        <is>
          <t>FE</t>
        </is>
      </c>
      <c r="G74" s="13" t="inlineStr"/>
      <c r="H74" s="14">
        <f>IF(COUNTA(M74:AM74)=0,"",INDEX($M$1:$AM$1,AGGREGATE(15,6,(COLUMN($M$1:$AM$1)-COLUMN($M$1)+1)/(M74:AM74&lt;&gt;""),1)))</f>
        <v/>
      </c>
      <c r="I74" s="14">
        <f>IF(COUNTA(M74:AM74)=0,"",INDEX($M$1:$AM$1,AGGREGATE(14,6,(COLUMN($M$1:$AM$1)-COLUMN($M$1)+1)/(M74:AM74&lt;&gt;""),1))+MAX(0,IFERROR(LOOKUP(2,1/(M74:AM74&lt;&gt;""),M74:AM74),1)-1))</f>
        <v/>
      </c>
      <c r="J74" s="14">
        <f>IF(I74="","",WORKDAY(I74,1))</f>
        <v/>
      </c>
      <c r="K74" s="15">
        <f>IF(COUNTA(M74:AM74),SUM(M74:AM74),IF(AND(H74&lt;&gt;"",I74&lt;&gt;""),NETWORKDAYS(H74,I74),""))</f>
        <v/>
      </c>
      <c r="L74" s="13" t="inlineStr"/>
      <c r="M74" s="16" t="inlineStr"/>
      <c r="N74" s="16" t="inlineStr"/>
      <c r="O74" s="16" t="inlineStr"/>
      <c r="P74" s="16" t="inlineStr"/>
      <c r="Q74" s="16" t="inlineStr"/>
      <c r="R74" s="16" t="inlineStr"/>
      <c r="S74" s="16" t="n">
        <v>5</v>
      </c>
      <c r="T74" s="16" t="inlineStr"/>
      <c r="U74" s="16" t="inlineStr"/>
      <c r="V74" s="16" t="inlineStr"/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  <c r="AJ74" s="16" t="inlineStr"/>
      <c r="AK74" s="16" t="inlineStr"/>
      <c r="AL74" s="16" t="inlineStr"/>
      <c r="AM74" s="16" t="inlineStr"/>
    </row>
    <row r="75">
      <c r="A75" s="13" t="inlineStr">
        <is>
          <t>Домашний интернет</t>
        </is>
      </c>
      <c r="B75" s="13" t="inlineStr">
        <is>
          <t>Сайт. Упрощение CJ оставления заявки на сайте и создание целевой заявки</t>
        </is>
      </c>
      <c r="C75" s="13" t="inlineStr">
        <is>
          <t>B2CPROD-639</t>
        </is>
      </c>
      <c r="D75" s="13" t="inlineStr"/>
      <c r="E75" s="13" t="inlineStr">
        <is>
          <t>FE</t>
        </is>
      </c>
      <c r="F75" s="13" t="inlineStr">
        <is>
          <t>FE</t>
        </is>
      </c>
      <c r="G75" s="13" t="inlineStr"/>
      <c r="H75" s="14">
        <f>IF(COUNTA(M75:AM75)=0,"",INDEX($M$1:$AM$1,AGGREGATE(15,6,(COLUMN($M$1:$AM$1)-COLUMN($M$1)+1)/(M75:AM75&lt;&gt;""),1)))</f>
        <v/>
      </c>
      <c r="I75" s="14">
        <f>IF(COUNTA(M75:AM75)=0,"",INDEX($M$1:$AM$1,AGGREGATE(14,6,(COLUMN($M$1:$AM$1)-COLUMN($M$1)+1)/(M75:AM75&lt;&gt;""),1))+MAX(0,IFERROR(LOOKUP(2,1/(M75:AM75&lt;&gt;""),M75:AM75),1)-1))</f>
        <v/>
      </c>
      <c r="J75" s="14">
        <f>IF(I75="","",WORKDAY(I75,1))</f>
        <v/>
      </c>
      <c r="K75" s="15">
        <f>IF(COUNTA(M75:AM75),SUM(M75:AM75),IF(AND(H75&lt;&gt;"",I75&lt;&gt;""),NETWORKDAYS(H75,I75),""))</f>
        <v/>
      </c>
      <c r="L75" s="13" t="inlineStr"/>
      <c r="M75" s="16" t="n">
        <v>1</v>
      </c>
      <c r="N75" s="16" t="n">
        <v>3</v>
      </c>
      <c r="O75" s="16" t="inlineStr"/>
      <c r="P75" s="16" t="inlineStr"/>
      <c r="Q75" s="16" t="inlineStr"/>
      <c r="R75" s="16" t="inlineStr"/>
      <c r="S75" s="16" t="inlineStr"/>
      <c r="T75" s="16" t="inlineStr"/>
      <c r="U75" s="16" t="inlineStr"/>
      <c r="V75" s="16" t="inlineStr"/>
      <c r="W75" s="16" t="inlineStr"/>
      <c r="X75" s="16" t="inlineStr"/>
      <c r="Y75" s="16" t="inlineStr"/>
      <c r="Z75" s="16" t="inlineStr"/>
      <c r="AA75" s="16" t="inlineStr"/>
      <c r="AB75" s="16" t="inlineStr"/>
      <c r="AC75" s="16" t="inlineStr"/>
      <c r="AD75" s="16" t="inlineStr"/>
      <c r="AE75" s="16" t="inlineStr"/>
      <c r="AF75" s="16" t="inlineStr"/>
      <c r="AG75" s="16" t="inlineStr"/>
      <c r="AH75" s="16" t="inlineStr"/>
      <c r="AI75" s="16" t="inlineStr"/>
      <c r="AJ75" s="16" t="inlineStr"/>
      <c r="AK75" s="16" t="inlineStr"/>
      <c r="AL75" s="16" t="inlineStr"/>
      <c r="AM75" s="16" t="inlineStr"/>
    </row>
    <row r="76">
      <c r="A76" s="13" t="inlineStr">
        <is>
          <t>Домашний интернет</t>
        </is>
      </c>
      <c r="B76" s="13" t="inlineStr">
        <is>
          <t>Сайт. Упрощение CJ оставления заявки на сайте и создание целевой заявки</t>
        </is>
      </c>
      <c r="C76" s="13" t="inlineStr">
        <is>
          <t>B2CPROD-639</t>
        </is>
      </c>
      <c r="D76" s="13" t="inlineStr"/>
      <c r="E76" s="13" t="inlineStr">
        <is>
          <t>QA (S)</t>
        </is>
      </c>
      <c r="F76" s="13" t="inlineStr">
        <is>
          <t>QA</t>
        </is>
      </c>
      <c r="G76" s="13" t="inlineStr"/>
      <c r="H76" s="14">
        <f>IF(COUNTA(M76:AM76)=0,"",INDEX($M$1:$AM$1,AGGREGATE(15,6,(COLUMN($M$1:$AM$1)-COLUMN($M$1)+1)/(M76:AM76&lt;&gt;""),1)))</f>
        <v/>
      </c>
      <c r="I76" s="14">
        <f>IF(COUNTA(M76:AM76)=0,"",INDEX($M$1:$AM$1,AGGREGATE(14,6,(COLUMN($M$1:$AM$1)-COLUMN($M$1)+1)/(M76:AM76&lt;&gt;""),1))+MAX(0,IFERROR(LOOKUP(2,1/(M76:AM76&lt;&gt;""),M76:AM76),1)-1))</f>
        <v/>
      </c>
      <c r="J76" s="14">
        <f>IF(I76="","",WORKDAY(I76,1))</f>
        <v/>
      </c>
      <c r="K76" s="15">
        <f>IF(COUNTA(M76:AM76),SUM(M76:AM76),IF(AND(H76&lt;&gt;"",I76&lt;&gt;""),NETWORKDAYS(H76,I76),""))</f>
        <v/>
      </c>
      <c r="L76" s="13" t="inlineStr"/>
      <c r="M76" s="16" t="n">
        <v>5</v>
      </c>
      <c r="N76" s="16" t="n">
        <v>5</v>
      </c>
      <c r="O76" s="16" t="n">
        <v>5</v>
      </c>
      <c r="P76" s="16" t="n">
        <v>5</v>
      </c>
      <c r="Q76" s="16" t="n">
        <v>5</v>
      </c>
      <c r="R76" s="16" t="n">
        <v>5</v>
      </c>
      <c r="S76" s="16" t="n">
        <v>4</v>
      </c>
      <c r="T76" s="16" t="inlineStr"/>
      <c r="U76" s="16" t="inlineStr"/>
      <c r="V76" s="16" t="inlineStr"/>
      <c r="W76" s="16" t="inlineStr"/>
      <c r="X76" s="16" t="inlineStr"/>
      <c r="Y76" s="16" t="inlineStr"/>
      <c r="Z76" s="16" t="inlineStr"/>
      <c r="AA76" s="16" t="inlineStr"/>
      <c r="AB76" s="16" t="inlineStr"/>
      <c r="AC76" s="16" t="inlineStr"/>
      <c r="AD76" s="16" t="inlineStr"/>
      <c r="AE76" s="16" t="inlineStr"/>
      <c r="AF76" s="16" t="inlineStr"/>
      <c r="AG76" s="16" t="inlineStr"/>
      <c r="AH76" s="16" t="inlineStr"/>
      <c r="AI76" s="16" t="inlineStr"/>
      <c r="AJ76" s="16" t="inlineStr"/>
      <c r="AK76" s="16" t="inlineStr"/>
      <c r="AL76" s="16" t="inlineStr"/>
      <c r="AM76" s="16" t="inlineStr"/>
    </row>
    <row r="77">
      <c r="A77" s="13" t="inlineStr">
        <is>
          <t>Домашний интернет</t>
        </is>
      </c>
      <c r="B77" s="13" t="inlineStr">
        <is>
          <t>Сайт. Определить целевые точки дистрибуции домашних продуктов</t>
        </is>
      </c>
      <c r="C77" s="13" t="inlineStr">
        <is>
          <t>B2CPROD-641</t>
        </is>
      </c>
      <c r="D77" s="13" t="inlineStr"/>
      <c r="E77" s="13" t="inlineStr">
        <is>
          <t>DUX</t>
        </is>
      </c>
      <c r="F77" s="13" t="inlineStr">
        <is>
          <t>Дизайн</t>
        </is>
      </c>
      <c r="G77" s="13" t="inlineStr"/>
      <c r="H77" s="14">
        <f>IF(COUNTA(M77:AM77)=0,"",INDEX($M$1:$AM$1,AGGREGATE(15,6,(COLUMN($M$1:$AM$1)-COLUMN($M$1)+1)/(M77:AM77&lt;&gt;""),1)))</f>
        <v/>
      </c>
      <c r="I77" s="14">
        <f>IF(COUNTA(M77:AM77)=0,"",INDEX($M$1:$AM$1,AGGREGATE(14,6,(COLUMN($M$1:$AM$1)-COLUMN($M$1)+1)/(M77:AM77&lt;&gt;""),1))+MAX(0,IFERROR(LOOKUP(2,1/(M77:AM77&lt;&gt;""),M77:AM77),1)-1))</f>
        <v/>
      </c>
      <c r="J77" s="14">
        <f>IF(I77="","",WORKDAY(I77,1))</f>
        <v/>
      </c>
      <c r="K77" s="15">
        <f>IF(COUNTA(M77:AM77),SUM(M77:AM77),IF(AND(H77&lt;&gt;"",I77&lt;&gt;""),NETWORKDAYS(H77,I77),""))</f>
        <v/>
      </c>
      <c r="L77" s="13" t="inlineStr"/>
      <c r="M77" s="16" t="inlineStr"/>
      <c r="N77" s="16" t="inlineStr"/>
      <c r="O77" s="16" t="inlineStr"/>
      <c r="P77" s="16" t="inlineStr"/>
      <c r="Q77" s="16" t="inlineStr"/>
      <c r="R77" s="16" t="inlineStr"/>
      <c r="S77" s="16" t="inlineStr"/>
      <c r="T77" s="16" t="inlineStr"/>
      <c r="U77" s="16" t="n">
        <v>5</v>
      </c>
      <c r="V77" s="16" t="inlineStr"/>
      <c r="W77" s="16" t="inlineStr"/>
      <c r="X77" s="16" t="inlineStr"/>
      <c r="Y77" s="16" t="inlineStr"/>
      <c r="Z77" s="16" t="inlineStr"/>
      <c r="AA77" s="16" t="inlineStr"/>
      <c r="AB77" s="16" t="inlineStr"/>
      <c r="AC77" s="16" t="inlineStr"/>
      <c r="AD77" s="16" t="inlineStr"/>
      <c r="AE77" s="16" t="inlineStr"/>
      <c r="AF77" s="16" t="inlineStr"/>
      <c r="AG77" s="16" t="inlineStr"/>
      <c r="AH77" s="16" t="inlineStr"/>
      <c r="AI77" s="16" t="inlineStr"/>
      <c r="AJ77" s="16" t="inlineStr"/>
      <c r="AK77" s="16" t="inlineStr"/>
      <c r="AL77" s="16" t="inlineStr"/>
      <c r="AM77" s="16" t="inlineStr"/>
    </row>
    <row r="78">
      <c r="A78" s="13" t="inlineStr">
        <is>
          <t>Домашний интернет</t>
        </is>
      </c>
      <c r="B78" s="13" t="inlineStr">
        <is>
          <t>Сайт. Определить целевые точки дистрибуции домашних продуктов</t>
        </is>
      </c>
      <c r="C78" s="13" t="inlineStr">
        <is>
          <t>B2CPROD-641</t>
        </is>
      </c>
      <c r="D78" s="13" t="inlineStr"/>
      <c r="E78" s="13" t="inlineStr">
        <is>
          <t>SA</t>
        </is>
      </c>
      <c r="F78" s="13" t="inlineStr">
        <is>
          <t>SA</t>
        </is>
      </c>
      <c r="G78" s="13" t="inlineStr"/>
      <c r="H78" s="14">
        <f>IF(COUNTA(M78:AM78)=0,"",INDEX($M$1:$AM$1,AGGREGATE(15,6,(COLUMN($M$1:$AM$1)-COLUMN($M$1)+1)/(M78:AM78&lt;&gt;""),1)))</f>
        <v/>
      </c>
      <c r="I78" s="14">
        <f>IF(COUNTA(M78:AM78)=0,"",INDEX($M$1:$AM$1,AGGREGATE(14,6,(COLUMN($M$1:$AM$1)-COLUMN($M$1)+1)/(M78:AM78&lt;&gt;""),1))+MAX(0,IFERROR(LOOKUP(2,1/(M78:AM78&lt;&gt;""),M78:AM78),1)-1))</f>
        <v/>
      </c>
      <c r="J78" s="14">
        <f>IF(I78="","",WORKDAY(I78,1))</f>
        <v/>
      </c>
      <c r="K78" s="15">
        <f>IF(COUNTA(M78:AM78),SUM(M78:AM78),IF(AND(H78&lt;&gt;"",I78&lt;&gt;""),NETWORKDAYS(H78,I78),""))</f>
        <v/>
      </c>
      <c r="L78" s="13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n">
        <v>2</v>
      </c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</row>
    <row r="79">
      <c r="A79" s="13" t="inlineStr">
        <is>
          <t>Домашний интернет</t>
        </is>
      </c>
      <c r="B79" s="13" t="inlineStr">
        <is>
          <t>Сайт. Определить целевые точки дистрибуции домашних продуктов</t>
        </is>
      </c>
      <c r="C79" s="13" t="inlineStr">
        <is>
          <t>B2CPROD-641</t>
        </is>
      </c>
      <c r="D79" s="13" t="inlineStr"/>
      <c r="E79" s="13" t="inlineStr">
        <is>
          <t>BE</t>
        </is>
      </c>
      <c r="F79" s="13" t="inlineStr">
        <is>
          <t>BE</t>
        </is>
      </c>
      <c r="G79" s="13" t="inlineStr"/>
      <c r="H79" s="14">
        <f>IF(COUNTA(M79:AM79)=0,"",INDEX($M$1:$AM$1,AGGREGATE(15,6,(COLUMN($M$1:$AM$1)-COLUMN($M$1)+1)/(M79:AM79&lt;&gt;""),1)))</f>
        <v/>
      </c>
      <c r="I79" s="14">
        <f>IF(COUNTA(M79:AM79)=0,"",INDEX($M$1:$AM$1,AGGREGATE(14,6,(COLUMN($M$1:$AM$1)-COLUMN($M$1)+1)/(M79:AM79&lt;&gt;""),1))+MAX(0,IFERROR(LOOKUP(2,1/(M79:AM79&lt;&gt;""),M79:AM79),1)-1))</f>
        <v/>
      </c>
      <c r="J79" s="14">
        <f>IF(I79="","",WORKDAY(I79,1))</f>
        <v/>
      </c>
      <c r="K79" s="15">
        <f>IF(COUNTA(M79:AM79),SUM(M79:AM79),IF(AND(H79&lt;&gt;"",I79&lt;&gt;""),NETWORKDAYS(H79,I79),""))</f>
        <v/>
      </c>
      <c r="L79" s="13" t="inlineStr"/>
      <c r="M79" s="16" t="inlineStr"/>
      <c r="N79" s="16" t="inlineStr"/>
      <c r="O79" s="16" t="inlineStr"/>
      <c r="P79" s="16" t="inlineStr"/>
      <c r="Q79" s="16" t="inlineStr"/>
      <c r="R79" s="16" t="inlineStr"/>
      <c r="S79" s="16" t="inlineStr"/>
      <c r="T79" s="16" t="inlineStr"/>
      <c r="U79" s="16" t="inlineStr"/>
      <c r="V79" s="16" t="n">
        <v>3</v>
      </c>
      <c r="W79" s="16" t="inlineStr"/>
      <c r="X79" s="16" t="inlineStr"/>
      <c r="Y79" s="16" t="inlineStr"/>
      <c r="Z79" s="16" t="inlineStr"/>
      <c r="AA79" s="16" t="inlineStr"/>
      <c r="AB79" s="16" t="inlineStr"/>
      <c r="AC79" s="16" t="inlineStr"/>
      <c r="AD79" s="16" t="inlineStr"/>
      <c r="AE79" s="16" t="inlineStr"/>
      <c r="AF79" s="16" t="inlineStr"/>
      <c r="AG79" s="16" t="inlineStr"/>
      <c r="AH79" s="16" t="inlineStr"/>
      <c r="AI79" s="16" t="inlineStr"/>
      <c r="AJ79" s="16" t="inlineStr"/>
      <c r="AK79" s="16" t="inlineStr"/>
      <c r="AL79" s="16" t="inlineStr"/>
      <c r="AM79" s="16" t="inlineStr"/>
    </row>
    <row r="80">
      <c r="A80" s="13" t="inlineStr">
        <is>
          <t>Домашний интернет</t>
        </is>
      </c>
      <c r="B80" s="13" t="inlineStr">
        <is>
          <t>Сайт. Определить целевые точки дистрибуции домашних продуктов</t>
        </is>
      </c>
      <c r="C80" s="13" t="inlineStr">
        <is>
          <t>B2CPROD-641</t>
        </is>
      </c>
      <c r="D80" s="13" t="inlineStr"/>
      <c r="E80" s="13" t="inlineStr">
        <is>
          <t>FE</t>
        </is>
      </c>
      <c r="F80" s="13" t="inlineStr">
        <is>
          <t>FE</t>
        </is>
      </c>
      <c r="G80" s="13" t="inlineStr"/>
      <c r="H80" s="14">
        <f>IF(COUNTA(M80:AM80)=0,"",INDEX($M$1:$AM$1,AGGREGATE(15,6,(COLUMN($M$1:$AM$1)-COLUMN($M$1)+1)/(M80:AM80&lt;&gt;""),1)))</f>
        <v/>
      </c>
      <c r="I80" s="14">
        <f>IF(COUNTA(M80:AM80)=0,"",INDEX($M$1:$AM$1,AGGREGATE(14,6,(COLUMN($M$1:$AM$1)-COLUMN($M$1)+1)/(M80:AM80&lt;&gt;""),1))+MAX(0,IFERROR(LOOKUP(2,1/(M80:AM80&lt;&gt;""),M80:AM80),1)-1))</f>
        <v/>
      </c>
      <c r="J80" s="14">
        <f>IF(I80="","",WORKDAY(I80,1))</f>
        <v/>
      </c>
      <c r="K80" s="15">
        <f>IF(COUNTA(M80:AM80),SUM(M80:AM80),IF(AND(H80&lt;&gt;"",I80&lt;&gt;""),NETWORKDAYS(H80,I80),""))</f>
        <v/>
      </c>
      <c r="L80" s="13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n">
        <v>2</v>
      </c>
      <c r="W80" s="16" t="n">
        <v>3</v>
      </c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  <c r="AJ80" s="16" t="inlineStr"/>
      <c r="AK80" s="16" t="inlineStr"/>
      <c r="AL80" s="16" t="inlineStr"/>
      <c r="AM80" s="16" t="inlineStr"/>
    </row>
    <row r="81">
      <c r="A81" s="13" t="inlineStr">
        <is>
          <t>Домашний интернет</t>
        </is>
      </c>
      <c r="B81" s="13" t="inlineStr">
        <is>
          <t>Сайт. Определить целевые точки дистрибуции домашних продуктов</t>
        </is>
      </c>
      <c r="C81" s="13" t="inlineStr">
        <is>
          <t>B2CPROD-641</t>
        </is>
      </c>
      <c r="D81" s="13" t="inlineStr"/>
      <c r="E81" s="13" t="inlineStr">
        <is>
          <t>QA (S)</t>
        </is>
      </c>
      <c r="F81" s="13" t="inlineStr">
        <is>
          <t>QA</t>
        </is>
      </c>
      <c r="G81" s="13" t="inlineStr"/>
      <c r="H81" s="14">
        <f>IF(COUNTA(M81:AM81)=0,"",INDEX($M$1:$AM$1,AGGREGATE(15,6,(COLUMN($M$1:$AM$1)-COLUMN($M$1)+1)/(M81:AM81&lt;&gt;""),1)))</f>
        <v/>
      </c>
      <c r="I81" s="14">
        <f>IF(COUNTA(M81:AM81)=0,"",INDEX($M$1:$AM$1,AGGREGATE(14,6,(COLUMN($M$1:$AM$1)-COLUMN($M$1)+1)/(M81:AM81&lt;&gt;""),1))+MAX(0,IFERROR(LOOKUP(2,1/(M81:AM81&lt;&gt;""),M81:AM81),1)-1))</f>
        <v/>
      </c>
      <c r="J81" s="14">
        <f>IF(I81="","",WORKDAY(I81,1))</f>
        <v/>
      </c>
      <c r="K81" s="15">
        <f>IF(COUNTA(M81:AM81),SUM(M81:AM81),IF(AND(H81&lt;&gt;"",I81&lt;&gt;""),NETWORKDAYS(H81,I81),""))</f>
        <v/>
      </c>
      <c r="L81" s="13" t="inlineStr"/>
      <c r="M81" s="16" t="inlineStr"/>
      <c r="N81" s="16" t="inlineStr"/>
      <c r="O81" s="16" t="inlineStr"/>
      <c r="P81" s="16" t="inlineStr"/>
      <c r="Q81" s="16" t="inlineStr"/>
      <c r="R81" s="16" t="inlineStr"/>
      <c r="S81" s="16" t="inlineStr"/>
      <c r="T81" s="16" t="inlineStr"/>
      <c r="U81" s="16" t="inlineStr"/>
      <c r="V81" s="16" t="inlineStr"/>
      <c r="W81" s="16" t="n">
        <v>2</v>
      </c>
      <c r="X81" s="16" t="inlineStr"/>
      <c r="Y81" s="16" t="inlineStr"/>
      <c r="Z81" s="16" t="inlineStr"/>
      <c r="AA81" s="16" t="inlineStr"/>
      <c r="AB81" s="16" t="inlineStr"/>
      <c r="AC81" s="16" t="inlineStr"/>
      <c r="AD81" s="16" t="inlineStr"/>
      <c r="AE81" s="16" t="inlineStr"/>
      <c r="AF81" s="16" t="inlineStr"/>
      <c r="AG81" s="16" t="inlineStr"/>
      <c r="AH81" s="16" t="inlineStr"/>
      <c r="AI81" s="16" t="inlineStr"/>
      <c r="AJ81" s="16" t="inlineStr"/>
      <c r="AK81" s="16" t="inlineStr"/>
      <c r="AL81" s="16" t="inlineStr"/>
      <c r="AM81" s="16" t="inlineStr"/>
    </row>
    <row r="82">
      <c r="A82" s="13" t="inlineStr">
        <is>
          <t>ДГП</t>
        </is>
      </c>
      <c r="B82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2" s="13" t="inlineStr"/>
      <c r="D82" s="13" t="inlineStr"/>
      <c r="E82" s="13" t="inlineStr">
        <is>
          <t>Настя</t>
        </is>
      </c>
      <c r="F82" s="13" t="inlineStr">
        <is>
          <t>Дизайн</t>
        </is>
      </c>
      <c r="G82" s="13" t="inlineStr"/>
      <c r="H82" s="14">
        <f>IF(COUNTA(M82:AM82)=0,"",INDEX($M$1:$AM$1,AGGREGATE(15,6,(COLUMN($M$1:$AM$1)-COLUMN($M$1)+1)/(M82:AM82&lt;&gt;""),1)))</f>
        <v/>
      </c>
      <c r="I82" s="14">
        <f>IF(COUNTA(M82:AM82)=0,"",INDEX($M$1:$AM$1,AGGREGATE(14,6,(COLUMN($M$1:$AM$1)-COLUMN($M$1)+1)/(M82:AM82&lt;&gt;""),1))+MAX(0,IFERROR(LOOKUP(2,1/(M82:AM82&lt;&gt;""),M82:AM82),1)-1))</f>
        <v/>
      </c>
      <c r="J82" s="14">
        <f>IF(I82="","",WORKDAY(I82,1))</f>
        <v/>
      </c>
      <c r="K82" s="15">
        <f>IF(COUNTA(M82:AM82),SUM(M82:AM82),IF(AND(H82&lt;&gt;"",I82&lt;&gt;""),NETWORKDAYS(H82,I82),""))</f>
        <v/>
      </c>
      <c r="L82" s="13" t="inlineStr"/>
      <c r="M82" s="16" t="inlineStr"/>
      <c r="N82" s="16" t="inlineStr"/>
      <c r="O82" s="16" t="n">
        <v>1</v>
      </c>
      <c r="P82" s="16" t="n">
        <v>1</v>
      </c>
      <c r="Q82" s="16" t="inlineStr"/>
      <c r="R82" s="16" t="inlineStr"/>
      <c r="S82" s="16" t="inlineStr"/>
      <c r="T82" s="16" t="n">
        <v>1</v>
      </c>
      <c r="U82" s="16" t="inlineStr"/>
      <c r="V82" s="16" t="inlineStr"/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/>
      <c r="AD82" s="16" t="inlineStr"/>
      <c r="AE82" s="16" t="inlineStr"/>
      <c r="AF82" s="16" t="inlineStr"/>
      <c r="AG82" s="16" t="inlineStr"/>
      <c r="AH82" s="16" t="inlineStr"/>
      <c r="AI82" s="16" t="inlineStr"/>
      <c r="AJ82" s="16" t="inlineStr"/>
      <c r="AK82" s="16" t="inlineStr"/>
      <c r="AL82" s="16" t="inlineStr"/>
      <c r="AM82" s="16" t="inlineStr"/>
    </row>
    <row r="83">
      <c r="A83" s="13" t="inlineStr">
        <is>
          <t>ДГП</t>
        </is>
      </c>
      <c r="B83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3" s="13" t="inlineStr"/>
      <c r="D83" s="13" t="inlineStr"/>
      <c r="E83" s="13" t="inlineStr">
        <is>
          <t>Настя</t>
        </is>
      </c>
      <c r="F83" s="13" t="inlineStr">
        <is>
          <t>Дизайн</t>
        </is>
      </c>
      <c r="G83" s="13" t="inlineStr">
        <is>
          <t>да</t>
        </is>
      </c>
      <c r="H83" s="14">
        <f>IF(COUNTA(M83:AM83)=0,"",INDEX($M$1:$AM$1,AGGREGATE(15,6,(COLUMN($M$1:$AM$1)-COLUMN($M$1)+1)/(M83:AM83&lt;&gt;""),1)))</f>
        <v/>
      </c>
      <c r="I83" s="14">
        <f>IF(COUNTA(M83:AM83)=0,"",INDEX($M$1:$AM$1,AGGREGATE(14,6,(COLUMN($M$1:$AM$1)-COLUMN($M$1)+1)/(M83:AM83&lt;&gt;""),1))+MAX(0,IFERROR(LOOKUP(2,1/(M83:AM83&lt;&gt;""),M83:AM83),1)-1))</f>
        <v/>
      </c>
      <c r="J83" s="14">
        <f>IF(I83="","",WORKDAY(I83,1))</f>
        <v/>
      </c>
      <c r="K83" s="15">
        <f>IF(COUNTA(M83:AM83),SUM(M83:AM83),IF(AND(H83&lt;&gt;"",I83&lt;&gt;""),NETWORKDAYS(H83,I83),""))</f>
        <v/>
      </c>
      <c r="L83" s="13" t="inlineStr"/>
      <c r="M83" s="16" t="inlineStr"/>
      <c r="N83" s="16" t="inlineStr"/>
      <c r="O83" s="16" t="inlineStr"/>
      <c r="P83" s="16" t="inlineStr"/>
      <c r="Q83" s="16" t="inlineStr"/>
      <c r="R83" s="16" t="inlineStr"/>
      <c r="S83" s="16" t="n">
        <v>5</v>
      </c>
      <c r="T83" s="16" t="inlineStr"/>
      <c r="U83" s="16" t="inlineStr"/>
      <c r="V83" s="16" t="inlineStr"/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/>
      <c r="AD83" s="16" t="inlineStr"/>
      <c r="AE83" s="16" t="inlineStr"/>
      <c r="AF83" s="16" t="inlineStr"/>
      <c r="AG83" s="16" t="inlineStr"/>
      <c r="AH83" s="16" t="inlineStr"/>
      <c r="AI83" s="16" t="inlineStr"/>
      <c r="AJ83" s="16" t="inlineStr"/>
      <c r="AK83" s="16" t="inlineStr"/>
      <c r="AL83" s="16" t="inlineStr"/>
      <c r="AM83" s="16" t="inlineStr"/>
    </row>
    <row r="84">
      <c r="A84" s="13" t="inlineStr">
        <is>
          <t>ДГП</t>
        </is>
      </c>
      <c r="B84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4" s="13" t="inlineStr"/>
      <c r="D84" s="13" t="inlineStr"/>
      <c r="E84" s="13" t="inlineStr">
        <is>
          <t>Гоголюк Георгий</t>
        </is>
      </c>
      <c r="F84" s="13" t="inlineStr">
        <is>
          <t>SA</t>
        </is>
      </c>
      <c r="G84" s="13" t="inlineStr"/>
      <c r="H84" s="14">
        <f>IF(COUNTA(M84:AM84)=0,"",INDEX($M$1:$AM$1,AGGREGATE(15,6,(COLUMN($M$1:$AM$1)-COLUMN($M$1)+1)/(M84:AM84&lt;&gt;""),1)))</f>
        <v/>
      </c>
      <c r="I84" s="14">
        <f>IF(COUNTA(M84:AM84)=0,"",INDEX($M$1:$AM$1,AGGREGATE(14,6,(COLUMN($M$1:$AM$1)-COLUMN($M$1)+1)/(M84:AM84&lt;&gt;""),1))+MAX(0,IFERROR(LOOKUP(2,1/(M84:AM84&lt;&gt;""),M84:AM84),1)-1))</f>
        <v/>
      </c>
      <c r="J84" s="14">
        <f>IF(I84="","",WORKDAY(I84,1))</f>
        <v/>
      </c>
      <c r="K84" s="15">
        <f>IF(COUNTA(M84:AM84),SUM(M84:AM84),IF(AND(H84&lt;&gt;"",I84&lt;&gt;""),NETWORKDAYS(H84,I84),""))</f>
        <v/>
      </c>
      <c r="L84" s="13" t="inlineStr"/>
      <c r="M84" s="16" t="n">
        <v>1</v>
      </c>
      <c r="N84" s="16" t="inlineStr"/>
      <c r="O84" s="16" t="n">
        <v>1</v>
      </c>
      <c r="P84" s="16" t="n">
        <v>1</v>
      </c>
      <c r="Q84" s="16" t="n">
        <v>5</v>
      </c>
      <c r="R84" s="16" t="inlineStr"/>
      <c r="S84" s="16" t="inlineStr"/>
      <c r="T84" s="16" t="n">
        <v>1</v>
      </c>
      <c r="U84" s="16" t="inlineStr"/>
      <c r="V84" s="16" t="inlineStr"/>
      <c r="W84" s="16" t="inlineStr"/>
      <c r="X84" s="16" t="inlineStr"/>
      <c r="Y84" s="16" t="inlineStr"/>
      <c r="Z84" s="16" t="inlineStr"/>
      <c r="AA84" s="16" t="inlineStr"/>
      <c r="AB84" s="16" t="inlineStr"/>
      <c r="AC84" s="16" t="inlineStr"/>
      <c r="AD84" s="16" t="inlineStr"/>
      <c r="AE84" s="16" t="inlineStr"/>
      <c r="AF84" s="16" t="inlineStr"/>
      <c r="AG84" s="16" t="inlineStr"/>
      <c r="AH84" s="16" t="inlineStr"/>
      <c r="AI84" s="16" t="inlineStr"/>
      <c r="AJ84" s="16" t="inlineStr"/>
      <c r="AK84" s="16" t="inlineStr"/>
      <c r="AL84" s="16" t="inlineStr"/>
      <c r="AM84" s="16" t="inlineStr"/>
    </row>
    <row r="85">
      <c r="A85" s="13" t="inlineStr">
        <is>
          <t>ДГП</t>
        </is>
      </c>
      <c r="B85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5" s="13" t="inlineStr"/>
      <c r="D85" s="13" t="inlineStr"/>
      <c r="E85" s="13" t="inlineStr">
        <is>
          <t>Гоголюк Георгий</t>
        </is>
      </c>
      <c r="F85" s="13" t="inlineStr">
        <is>
          <t>SA</t>
        </is>
      </c>
      <c r="G85" s="13" t="inlineStr">
        <is>
          <t>да</t>
        </is>
      </c>
      <c r="H85" s="14">
        <f>IF(COUNTA(M85:AM85)=0,"",INDEX($M$1:$AM$1,AGGREGATE(15,6,(COLUMN($M$1:$AM$1)-COLUMN($M$1)+1)/(M85:AM85&lt;&gt;""),1)))</f>
        <v/>
      </c>
      <c r="I85" s="14">
        <f>IF(COUNTA(M85:AM85)=0,"",INDEX($M$1:$AM$1,AGGREGATE(14,6,(COLUMN($M$1:$AM$1)-COLUMN($M$1)+1)/(M85:AM85&lt;&gt;""),1))+MAX(0,IFERROR(LOOKUP(2,1/(M85:AM85&lt;&gt;""),M85:AM85),1)-1))</f>
        <v/>
      </c>
      <c r="J85" s="14">
        <f>IF(I85="","",WORKDAY(I85,1))</f>
        <v/>
      </c>
      <c r="K85" s="15">
        <f>IF(COUNTA(M85:AM85),SUM(M85:AM85),IF(AND(H85&lt;&gt;"",I85&lt;&gt;""),NETWORKDAYS(H85,I85),""))</f>
        <v/>
      </c>
      <c r="L85" s="13" t="inlineStr"/>
      <c r="M85" s="16" t="inlineStr"/>
      <c r="N85" s="16" t="inlineStr"/>
      <c r="O85" s="16" t="inlineStr"/>
      <c r="P85" s="16" t="inlineStr"/>
      <c r="Q85" s="16" t="inlineStr"/>
      <c r="R85" s="16" t="n">
        <v>5</v>
      </c>
      <c r="S85" s="16" t="n">
        <v>5</v>
      </c>
      <c r="T85" s="16" t="inlineStr"/>
      <c r="U85" s="16" t="inlineStr"/>
      <c r="V85" s="16" t="inlineStr"/>
      <c r="W85" s="16" t="inlineStr"/>
      <c r="X85" s="16" t="inlineStr"/>
      <c r="Y85" s="16" t="inlineStr"/>
      <c r="Z85" s="16" t="inlineStr"/>
      <c r="AA85" s="16" t="inlineStr"/>
      <c r="AB85" s="16" t="inlineStr"/>
      <c r="AC85" s="16" t="inlineStr"/>
      <c r="AD85" s="16" t="inlineStr"/>
      <c r="AE85" s="16" t="inlineStr"/>
      <c r="AF85" s="16" t="inlineStr"/>
      <c r="AG85" s="16" t="inlineStr"/>
      <c r="AH85" s="16" t="inlineStr"/>
      <c r="AI85" s="16" t="inlineStr"/>
      <c r="AJ85" s="16" t="inlineStr"/>
      <c r="AK85" s="16" t="inlineStr"/>
      <c r="AL85" s="16" t="inlineStr"/>
      <c r="AM85" s="16" t="inlineStr"/>
    </row>
    <row r="86">
      <c r="A86" s="13" t="inlineStr">
        <is>
          <t>ДГП</t>
        </is>
      </c>
      <c r="B86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6" s="13" t="inlineStr"/>
      <c r="D86" s="13" t="inlineStr"/>
      <c r="E86" s="13" t="inlineStr">
        <is>
          <t>Андрей</t>
        </is>
      </c>
      <c r="F86" s="13" t="inlineStr">
        <is>
          <t>SA</t>
        </is>
      </c>
      <c r="G86" s="13" t="inlineStr"/>
      <c r="H86" s="14">
        <f>IF(COUNTA(M86:AM86)=0,"",INDEX($M$1:$AM$1,AGGREGATE(15,6,(COLUMN($M$1:$AM$1)-COLUMN($M$1)+1)/(M86:AM86&lt;&gt;""),1)))</f>
        <v/>
      </c>
      <c r="I86" s="14">
        <f>IF(COUNTA(M86:AM86)=0,"",INDEX($M$1:$AM$1,AGGREGATE(14,6,(COLUMN($M$1:$AM$1)-COLUMN($M$1)+1)/(M86:AM86&lt;&gt;""),1))+MAX(0,IFERROR(LOOKUP(2,1/(M86:AM86&lt;&gt;""),M86:AM86),1)-1))</f>
        <v/>
      </c>
      <c r="J86" s="14">
        <f>IF(I86="","",WORKDAY(I86,1))</f>
        <v/>
      </c>
      <c r="K86" s="15">
        <f>IF(COUNTA(M86:AM86),SUM(M86:AM86),IF(AND(H86&lt;&gt;"",I86&lt;&gt;""),NETWORKDAYS(H86,I86),""))</f>
        <v/>
      </c>
      <c r="L86" s="13" t="inlineStr"/>
      <c r="M86" s="16" t="n">
        <v>4</v>
      </c>
      <c r="N86" s="16" t="inlineStr"/>
      <c r="O86" s="16" t="n">
        <v>1</v>
      </c>
      <c r="P86" s="16" t="n">
        <v>1</v>
      </c>
      <c r="Q86" s="16" t="inlineStr"/>
      <c r="R86" s="16" t="inlineStr"/>
      <c r="S86" s="16" t="inlineStr"/>
      <c r="T86" s="16" t="n">
        <v>1</v>
      </c>
      <c r="U86" s="16" t="inlineStr"/>
      <c r="V86" s="16" t="inlineStr"/>
      <c r="W86" s="16" t="inlineStr"/>
      <c r="X86" s="16" t="inlineStr"/>
      <c r="Y86" s="16" t="inlineStr"/>
      <c r="Z86" s="16" t="inlineStr"/>
      <c r="AA86" s="16" t="inlineStr"/>
      <c r="AB86" s="16" t="inlineStr"/>
      <c r="AC86" s="16" t="inlineStr"/>
      <c r="AD86" s="16" t="inlineStr"/>
      <c r="AE86" s="16" t="inlineStr"/>
      <c r="AF86" s="16" t="inlineStr"/>
      <c r="AG86" s="16" t="inlineStr"/>
      <c r="AH86" s="16" t="inlineStr"/>
      <c r="AI86" s="16" t="inlineStr"/>
      <c r="AJ86" s="16" t="inlineStr"/>
      <c r="AK86" s="16" t="inlineStr"/>
      <c r="AL86" s="16" t="inlineStr"/>
      <c r="AM86" s="16" t="inlineStr"/>
    </row>
    <row r="87">
      <c r="A87" s="13" t="inlineStr">
        <is>
          <t>ДГП</t>
        </is>
      </c>
      <c r="B87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7" s="13" t="inlineStr"/>
      <c r="D87" s="13" t="inlineStr"/>
      <c r="E87" s="13" t="inlineStr">
        <is>
          <t>Никита</t>
        </is>
      </c>
      <c r="F87" s="13" t="inlineStr">
        <is>
          <t>BE</t>
        </is>
      </c>
      <c r="G87" s="13" t="inlineStr"/>
      <c r="H87" s="14">
        <f>IF(COUNTA(M87:AM87)=0,"",INDEX($M$1:$AM$1,AGGREGATE(15,6,(COLUMN($M$1:$AM$1)-COLUMN($M$1)+1)/(M87:AM87&lt;&gt;""),1)))</f>
        <v/>
      </c>
      <c r="I87" s="14">
        <f>IF(COUNTA(M87:AM87)=0,"",INDEX($M$1:$AM$1,AGGREGATE(14,6,(COLUMN($M$1:$AM$1)-COLUMN($M$1)+1)/(M87:AM87&lt;&gt;""),1))+MAX(0,IFERROR(LOOKUP(2,1/(M87:AM87&lt;&gt;""),M87:AM87),1)-1))</f>
        <v/>
      </c>
      <c r="J87" s="14">
        <f>IF(I87="","",WORKDAY(I87,1))</f>
        <v/>
      </c>
      <c r="K87" s="15">
        <f>IF(COUNTA(M87:AM87),SUM(M87:AM87),IF(AND(H87&lt;&gt;"",I87&lt;&gt;""),NETWORKDAYS(H87,I87),""))</f>
        <v/>
      </c>
      <c r="L87" s="13" t="inlineStr"/>
      <c r="M87" s="16" t="n">
        <v>1</v>
      </c>
      <c r="N87" s="16" t="n">
        <v>2</v>
      </c>
      <c r="O87" s="16" t="n">
        <v>1</v>
      </c>
      <c r="P87" s="16" t="n">
        <v>1</v>
      </c>
      <c r="Q87" s="16" t="n">
        <v>5</v>
      </c>
      <c r="R87" s="16" t="n">
        <v>4</v>
      </c>
      <c r="S87" s="16" t="n">
        <v>1</v>
      </c>
      <c r="T87" s="16" t="inlineStr"/>
      <c r="U87" s="16" t="inlineStr"/>
      <c r="V87" s="16" t="inlineStr"/>
      <c r="W87" s="16" t="inlineStr"/>
      <c r="X87" s="16" t="inlineStr"/>
      <c r="Y87" s="16" t="inlineStr"/>
      <c r="Z87" s="16" t="inlineStr"/>
      <c r="AA87" s="16" t="inlineStr"/>
      <c r="AB87" s="16" t="inlineStr"/>
      <c r="AC87" s="16" t="inlineStr"/>
      <c r="AD87" s="16" t="inlineStr"/>
      <c r="AE87" s="16" t="inlineStr"/>
      <c r="AF87" s="16" t="inlineStr"/>
      <c r="AG87" s="16" t="inlineStr"/>
      <c r="AH87" s="16" t="inlineStr"/>
      <c r="AI87" s="16" t="inlineStr"/>
      <c r="AJ87" s="16" t="inlineStr"/>
      <c r="AK87" s="16" t="inlineStr"/>
      <c r="AL87" s="16" t="inlineStr"/>
      <c r="AM87" s="16" t="inlineStr"/>
    </row>
    <row r="88">
      <c r="A88" s="13" t="inlineStr">
        <is>
          <t>ДГП</t>
        </is>
      </c>
      <c r="B88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8" s="13" t="inlineStr"/>
      <c r="D88" s="13" t="inlineStr"/>
      <c r="E88" s="13" t="inlineStr">
        <is>
          <t>Никита</t>
        </is>
      </c>
      <c r="F88" s="13" t="inlineStr">
        <is>
          <t>BE</t>
        </is>
      </c>
      <c r="G88" s="13" t="inlineStr">
        <is>
          <t>да</t>
        </is>
      </c>
      <c r="H88" s="14">
        <f>IF(COUNTA(M88:AM88)=0,"",INDEX($M$1:$AM$1,AGGREGATE(15,6,(COLUMN($M$1:$AM$1)-COLUMN($M$1)+1)/(M88:AM88&lt;&gt;""),1)))</f>
        <v/>
      </c>
      <c r="I88" s="14">
        <f>IF(COUNTA(M88:AM88)=0,"",INDEX($M$1:$AM$1,AGGREGATE(14,6,(COLUMN($M$1:$AM$1)-COLUMN($M$1)+1)/(M88:AM88&lt;&gt;""),1))+MAX(0,IFERROR(LOOKUP(2,1/(M88:AM88&lt;&gt;""),M88:AM88),1)-1))</f>
        <v/>
      </c>
      <c r="J88" s="14">
        <f>IF(I88="","",WORKDAY(I88,1))</f>
        <v/>
      </c>
      <c r="K88" s="15">
        <f>IF(COUNTA(M88:AM88),SUM(M88:AM88),IF(AND(H88&lt;&gt;"",I88&lt;&gt;""),NETWORKDAYS(H88,I88),""))</f>
        <v/>
      </c>
      <c r="L88" s="13" t="inlineStr"/>
      <c r="M88" s="16" t="inlineStr"/>
      <c r="N88" s="16" t="inlineStr"/>
      <c r="O88" s="16" t="inlineStr"/>
      <c r="P88" s="16" t="inlineStr"/>
      <c r="Q88" s="16" t="inlineStr"/>
      <c r="R88" s="16" t="inlineStr"/>
      <c r="S88" s="16" t="inlineStr"/>
      <c r="T88" s="16" t="n">
        <v>5</v>
      </c>
      <c r="U88" s="16" t="n">
        <v>5</v>
      </c>
      <c r="V88" s="16" t="n">
        <v>5</v>
      </c>
      <c r="W88" s="16" t="inlineStr"/>
      <c r="X88" s="16" t="inlineStr"/>
      <c r="Y88" s="16" t="inlineStr"/>
      <c r="Z88" s="16" t="inlineStr"/>
      <c r="AA88" s="16" t="inlineStr"/>
      <c r="AB88" s="16" t="inlineStr"/>
      <c r="AC88" s="16" t="inlineStr"/>
      <c r="AD88" s="16" t="inlineStr"/>
      <c r="AE88" s="16" t="inlineStr"/>
      <c r="AF88" s="16" t="inlineStr"/>
      <c r="AG88" s="16" t="inlineStr"/>
      <c r="AH88" s="16" t="inlineStr"/>
      <c r="AI88" s="16" t="inlineStr"/>
      <c r="AJ88" s="16" t="inlineStr"/>
      <c r="AK88" s="16" t="inlineStr"/>
      <c r="AL88" s="16" t="inlineStr"/>
      <c r="AM88" s="16" t="inlineStr"/>
    </row>
    <row r="89">
      <c r="A89" s="13" t="inlineStr">
        <is>
          <t>ДГП</t>
        </is>
      </c>
      <c r="B89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9" s="13" t="inlineStr"/>
      <c r="D89" s="13" t="inlineStr"/>
      <c r="E89" s="13" t="inlineStr">
        <is>
          <t>Оля</t>
        </is>
      </c>
      <c r="F89" s="13" t="inlineStr">
        <is>
          <t>BE</t>
        </is>
      </c>
      <c r="G89" s="13" t="inlineStr"/>
      <c r="H89" s="14">
        <f>IF(COUNTA(M89:AM89)=0,"",INDEX($M$1:$AM$1,AGGREGATE(15,6,(COLUMN($M$1:$AM$1)-COLUMN($M$1)+1)/(M89:AM89&lt;&gt;""),1)))</f>
        <v/>
      </c>
      <c r="I89" s="14">
        <f>IF(COUNTA(M89:AM89)=0,"",INDEX($M$1:$AM$1,AGGREGATE(14,6,(COLUMN($M$1:$AM$1)-COLUMN($M$1)+1)/(M89:AM89&lt;&gt;""),1))+MAX(0,IFERROR(LOOKUP(2,1/(M89:AM89&lt;&gt;""),M89:AM89),1)-1))</f>
        <v/>
      </c>
      <c r="J89" s="14">
        <f>IF(I89="","",WORKDAY(I89,1))</f>
        <v/>
      </c>
      <c r="K89" s="15">
        <f>IF(COUNTA(M89:AM89),SUM(M89:AM89),IF(AND(H89&lt;&gt;"",I89&lt;&gt;""),NETWORKDAYS(H89,I89),""))</f>
        <v/>
      </c>
      <c r="L89" s="13" t="inlineStr"/>
      <c r="M89" s="16" t="n">
        <v>1</v>
      </c>
      <c r="N89" s="16" t="n">
        <v>1</v>
      </c>
      <c r="O89" s="16" t="n">
        <v>1</v>
      </c>
      <c r="P89" s="16" t="n">
        <v>1</v>
      </c>
      <c r="Q89" s="16" t="inlineStr"/>
      <c r="R89" s="16" t="inlineStr"/>
      <c r="S89" s="16" t="inlineStr"/>
      <c r="T89" s="16" t="n">
        <v>1</v>
      </c>
      <c r="U89" s="16" t="inlineStr"/>
      <c r="V89" s="16" t="inlineStr"/>
      <c r="W89" s="16" t="inlineStr"/>
      <c r="X89" s="16" t="inlineStr"/>
      <c r="Y89" s="16" t="inlineStr"/>
      <c r="Z89" s="16" t="inlineStr"/>
      <c r="AA89" s="16" t="inlineStr"/>
      <c r="AB89" s="16" t="inlineStr"/>
      <c r="AC89" s="16" t="inlineStr"/>
      <c r="AD89" s="16" t="inlineStr"/>
      <c r="AE89" s="16" t="inlineStr"/>
      <c r="AF89" s="16" t="inlineStr"/>
      <c r="AG89" s="16" t="inlineStr"/>
      <c r="AH89" s="16" t="inlineStr"/>
      <c r="AI89" s="16" t="inlineStr"/>
      <c r="AJ89" s="16" t="inlineStr"/>
      <c r="AK89" s="16" t="inlineStr"/>
      <c r="AL89" s="16" t="inlineStr"/>
      <c r="AM89" s="16" t="inlineStr"/>
    </row>
    <row r="90">
      <c r="A90" s="13" t="inlineStr">
        <is>
          <t>ДГП</t>
        </is>
      </c>
      <c r="B90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0" s="13" t="inlineStr"/>
      <c r="D90" s="13" t="inlineStr"/>
      <c r="E90" s="13" t="inlineStr">
        <is>
          <t>Ваня</t>
        </is>
      </c>
      <c r="F90" s="13" t="inlineStr">
        <is>
          <t>FE</t>
        </is>
      </c>
      <c r="G90" s="13" t="inlineStr"/>
      <c r="H90" s="14">
        <f>IF(COUNTA(M90:AM90)=0,"",INDEX($M$1:$AM$1,AGGREGATE(15,6,(COLUMN($M$1:$AM$1)-COLUMN($M$1)+1)/(M90:AM90&lt;&gt;""),1)))</f>
        <v/>
      </c>
      <c r="I90" s="14">
        <f>IF(COUNTA(M90:AM90)=0,"",INDEX($M$1:$AM$1,AGGREGATE(14,6,(COLUMN($M$1:$AM$1)-COLUMN($M$1)+1)/(M90:AM90&lt;&gt;""),1))+MAX(0,IFERROR(LOOKUP(2,1/(M90:AM90&lt;&gt;""),M90:AM90),1)-1))</f>
        <v/>
      </c>
      <c r="J90" s="14">
        <f>IF(I90="","",WORKDAY(I90,1))</f>
        <v/>
      </c>
      <c r="K90" s="15">
        <f>IF(COUNTA(M90:AM90),SUM(M90:AM90),IF(AND(H90&lt;&gt;"",I90&lt;&gt;""),NETWORKDAYS(H90,I90),""))</f>
        <v/>
      </c>
      <c r="L90" s="13" t="inlineStr"/>
      <c r="M90" s="16" t="inlineStr"/>
      <c r="N90" s="16" t="n">
        <v>3</v>
      </c>
      <c r="O90" s="16" t="n">
        <v>2</v>
      </c>
      <c r="P90" s="16" t="n">
        <v>1</v>
      </c>
      <c r="Q90" s="16" t="n">
        <v>5</v>
      </c>
      <c r="R90" s="16" t="inlineStr"/>
      <c r="S90" s="16" t="inlineStr"/>
      <c r="T90" s="16" t="n">
        <v>1</v>
      </c>
      <c r="U90" s="16" t="inlineStr"/>
      <c r="V90" s="16" t="inlineStr"/>
      <c r="W90" s="16" t="inlineStr"/>
      <c r="X90" s="16" t="inlineStr"/>
      <c r="Y90" s="16" t="inlineStr"/>
      <c r="Z90" s="16" t="inlineStr"/>
      <c r="AA90" s="16" t="inlineStr"/>
      <c r="AB90" s="16" t="inlineStr"/>
      <c r="AC90" s="16" t="inlineStr"/>
      <c r="AD90" s="16" t="inlineStr"/>
      <c r="AE90" s="16" t="inlineStr"/>
      <c r="AF90" s="16" t="inlineStr"/>
      <c r="AG90" s="16" t="inlineStr"/>
      <c r="AH90" s="16" t="inlineStr"/>
      <c r="AI90" s="16" t="inlineStr"/>
      <c r="AJ90" s="16" t="inlineStr"/>
      <c r="AK90" s="16" t="inlineStr"/>
      <c r="AL90" s="16" t="inlineStr"/>
      <c r="AM90" s="16" t="inlineStr"/>
    </row>
    <row r="91">
      <c r="A91" s="13" t="inlineStr">
        <is>
          <t>ДГП</t>
        </is>
      </c>
      <c r="B91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1" s="13" t="inlineStr"/>
      <c r="D91" s="13" t="inlineStr"/>
      <c r="E91" s="13" t="inlineStr">
        <is>
          <t>Ваня</t>
        </is>
      </c>
      <c r="F91" s="13" t="inlineStr">
        <is>
          <t>FE</t>
        </is>
      </c>
      <c r="G91" s="13" t="inlineStr">
        <is>
          <t>да</t>
        </is>
      </c>
      <c r="H91" s="14">
        <f>IF(COUNTA(M91:AM91)=0,"",INDEX($M$1:$AM$1,AGGREGATE(15,6,(COLUMN($M$1:$AM$1)-COLUMN($M$1)+1)/(M91:AM91&lt;&gt;""),1)))</f>
        <v/>
      </c>
      <c r="I91" s="14">
        <f>IF(COUNTA(M91:AM91)=0,"",INDEX($M$1:$AM$1,AGGREGATE(14,6,(COLUMN($M$1:$AM$1)-COLUMN($M$1)+1)/(M91:AM91&lt;&gt;""),1))+MAX(0,IFERROR(LOOKUP(2,1/(M91:AM91&lt;&gt;""),M91:AM91),1)-1))</f>
        <v/>
      </c>
      <c r="J91" s="14">
        <f>IF(I91="","",WORKDAY(I91,1))</f>
        <v/>
      </c>
      <c r="K91" s="15">
        <f>IF(COUNTA(M91:AM91),SUM(M91:AM91),IF(AND(H91&lt;&gt;"",I91&lt;&gt;""),NETWORKDAYS(H91,I91),""))</f>
        <v/>
      </c>
      <c r="L91" s="13" t="inlineStr"/>
      <c r="M91" s="16" t="inlineStr"/>
      <c r="N91" s="16" t="inlineStr"/>
      <c r="O91" s="16" t="inlineStr"/>
      <c r="P91" s="16" t="inlineStr"/>
      <c r="Q91" s="16" t="inlineStr"/>
      <c r="R91" s="16" t="inlineStr"/>
      <c r="S91" s="16" t="inlineStr"/>
      <c r="T91" s="16" t="inlineStr"/>
      <c r="U91" s="16" t="inlineStr"/>
      <c r="V91" s="16" t="inlineStr"/>
      <c r="W91" s="16" t="inlineStr"/>
      <c r="X91" s="16" t="inlineStr"/>
      <c r="Y91" s="16" t="inlineStr"/>
      <c r="Z91" s="16" t="n">
        <v>5</v>
      </c>
      <c r="AA91" s="16" t="n">
        <v>5</v>
      </c>
      <c r="AB91" s="16" t="n">
        <v>5</v>
      </c>
      <c r="AC91" s="16" t="inlineStr"/>
      <c r="AD91" s="16" t="inlineStr"/>
      <c r="AE91" s="16" t="inlineStr"/>
      <c r="AF91" s="16" t="inlineStr"/>
      <c r="AG91" s="16" t="inlineStr"/>
      <c r="AH91" s="16" t="inlineStr"/>
      <c r="AI91" s="16" t="inlineStr"/>
      <c r="AJ91" s="16" t="inlineStr"/>
      <c r="AK91" s="16" t="inlineStr"/>
      <c r="AL91" s="16" t="inlineStr"/>
      <c r="AM91" s="16" t="inlineStr"/>
    </row>
    <row r="92">
      <c r="A92" s="13" t="inlineStr">
        <is>
          <t>ДГП</t>
        </is>
      </c>
      <c r="B92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2" s="13" t="inlineStr"/>
      <c r="D92" s="13" t="inlineStr"/>
      <c r="E92" s="13" t="inlineStr">
        <is>
          <t>Богдан</t>
        </is>
      </c>
      <c r="F92" s="13" t="inlineStr">
        <is>
          <t>FE</t>
        </is>
      </c>
      <c r="G92" s="13" t="inlineStr"/>
      <c r="H92" s="14">
        <f>IF(COUNTA(M92:AM92)=0,"",INDEX($M$1:$AM$1,AGGREGATE(15,6,(COLUMN($M$1:$AM$1)-COLUMN($M$1)+1)/(M92:AM92&lt;&gt;""),1)))</f>
        <v/>
      </c>
      <c r="I92" s="14">
        <f>IF(COUNTA(M92:AM92)=0,"",INDEX($M$1:$AM$1,AGGREGATE(14,6,(COLUMN($M$1:$AM$1)-COLUMN($M$1)+1)/(M92:AM92&lt;&gt;""),1))+MAX(0,IFERROR(LOOKUP(2,1/(M92:AM92&lt;&gt;""),M92:AM92),1)-1))</f>
        <v/>
      </c>
      <c r="J92" s="14">
        <f>IF(I92="","",WORKDAY(I92,1))</f>
        <v/>
      </c>
      <c r="K92" s="15">
        <f>IF(COUNTA(M92:AM92),SUM(M92:AM92),IF(AND(H92&lt;&gt;"",I92&lt;&gt;""),NETWORKDAYS(H92,I92),""))</f>
        <v/>
      </c>
      <c r="L92" s="13" t="inlineStr"/>
      <c r="M92" s="16" t="n">
        <v>1</v>
      </c>
      <c r="N92" s="16" t="n">
        <v>4</v>
      </c>
      <c r="O92" s="16" t="n">
        <v>1</v>
      </c>
      <c r="P92" s="16" t="n">
        <v>1</v>
      </c>
      <c r="Q92" s="16" t="inlineStr"/>
      <c r="R92" s="16" t="inlineStr"/>
      <c r="S92" s="16" t="inlineStr"/>
      <c r="T92" s="16" t="n">
        <v>1</v>
      </c>
      <c r="U92" s="16" t="inlineStr"/>
      <c r="V92" s="16" t="inlineStr"/>
      <c r="W92" s="16" t="inlineStr"/>
      <c r="X92" s="16" t="inlineStr"/>
      <c r="Y92" s="16" t="inlineStr"/>
      <c r="Z92" s="16" t="inlineStr"/>
      <c r="AA92" s="16" t="inlineStr"/>
      <c r="AB92" s="16" t="inlineStr"/>
      <c r="AC92" s="16" t="inlineStr"/>
      <c r="AD92" s="16" t="inlineStr"/>
      <c r="AE92" s="16" t="inlineStr"/>
      <c r="AF92" s="16" t="inlineStr"/>
      <c r="AG92" s="16" t="inlineStr"/>
      <c r="AH92" s="16" t="inlineStr"/>
      <c r="AI92" s="16" t="inlineStr"/>
      <c r="AJ92" s="16" t="inlineStr"/>
      <c r="AK92" s="16" t="inlineStr"/>
      <c r="AL92" s="16" t="inlineStr"/>
      <c r="AM92" s="16" t="inlineStr"/>
    </row>
    <row r="93">
      <c r="A93" s="13" t="inlineStr">
        <is>
          <t>ДГП</t>
        </is>
      </c>
      <c r="B93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3" s="13" t="inlineStr"/>
      <c r="D93" s="13" t="inlineStr"/>
      <c r="E93" s="13" t="inlineStr">
        <is>
          <t>Кирилл</t>
        </is>
      </c>
      <c r="F93" s="13" t="inlineStr">
        <is>
          <t>FE</t>
        </is>
      </c>
      <c r="G93" s="13" t="inlineStr"/>
      <c r="H93" s="14">
        <f>IF(COUNTA(M93:AM93)=0,"",INDEX($M$1:$AM$1,AGGREGATE(15,6,(COLUMN($M$1:$AM$1)-COLUMN($M$1)+1)/(M93:AM93&lt;&gt;""),1)))</f>
        <v/>
      </c>
      <c r="I93" s="14">
        <f>IF(COUNTA(M93:AM93)=0,"",INDEX($M$1:$AM$1,AGGREGATE(14,6,(COLUMN($M$1:$AM$1)-COLUMN($M$1)+1)/(M93:AM93&lt;&gt;""),1))+MAX(0,IFERROR(LOOKUP(2,1/(M93:AM93&lt;&gt;""),M93:AM93),1)-1))</f>
        <v/>
      </c>
      <c r="J93" s="14">
        <f>IF(I93="","",WORKDAY(I93,1))</f>
        <v/>
      </c>
      <c r="K93" s="15">
        <f>IF(COUNTA(M93:AM93),SUM(M93:AM93),IF(AND(H93&lt;&gt;"",I93&lt;&gt;""),NETWORKDAYS(H93,I93),""))</f>
        <v/>
      </c>
      <c r="L93" s="13" t="inlineStr"/>
      <c r="M93" s="16" t="inlineStr"/>
      <c r="N93" s="16" t="inlineStr"/>
      <c r="O93" s="16" t="n">
        <v>1</v>
      </c>
      <c r="P93" s="16" t="n">
        <v>1</v>
      </c>
      <c r="Q93" s="16" t="inlineStr"/>
      <c r="R93" s="16" t="inlineStr"/>
      <c r="S93" s="16" t="inlineStr"/>
      <c r="T93" s="16" t="n">
        <v>1</v>
      </c>
      <c r="U93" s="16" t="inlineStr"/>
      <c r="V93" s="16" t="inlineStr"/>
      <c r="W93" s="16" t="inlineStr"/>
      <c r="X93" s="16" t="inlineStr"/>
      <c r="Y93" s="16" t="inlineStr"/>
      <c r="Z93" s="16" t="inlineStr"/>
      <c r="AA93" s="16" t="inlineStr"/>
      <c r="AB93" s="16" t="inlineStr"/>
      <c r="AC93" s="16" t="inlineStr"/>
      <c r="AD93" s="16" t="inlineStr"/>
      <c r="AE93" s="16" t="inlineStr"/>
      <c r="AF93" s="16" t="inlineStr"/>
      <c r="AG93" s="16" t="inlineStr"/>
      <c r="AH93" s="16" t="inlineStr"/>
      <c r="AI93" s="16" t="inlineStr"/>
      <c r="AJ93" s="16" t="inlineStr"/>
      <c r="AK93" s="16" t="inlineStr"/>
      <c r="AL93" s="16" t="inlineStr"/>
      <c r="AM93" s="16" t="inlineStr"/>
    </row>
    <row r="94">
      <c r="A94" s="13" t="inlineStr">
        <is>
          <t>ДГП</t>
        </is>
      </c>
      <c r="B94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4" s="13" t="inlineStr"/>
      <c r="D94" s="13" t="inlineStr"/>
      <c r="E94" s="13" t="inlineStr">
        <is>
          <t>Миша Б</t>
        </is>
      </c>
      <c r="F94" s="13" t="inlineStr">
        <is>
          <t>QA</t>
        </is>
      </c>
      <c r="G94" s="13" t="inlineStr"/>
      <c r="H94" s="14">
        <f>IF(COUNTA(M94:AM94)=0,"",INDEX($M$1:$AM$1,AGGREGATE(15,6,(COLUMN($M$1:$AM$1)-COLUMN($M$1)+1)/(M94:AM94&lt;&gt;""),1)))</f>
        <v/>
      </c>
      <c r="I94" s="14">
        <f>IF(COUNTA(M94:AM94)=0,"",INDEX($M$1:$AM$1,AGGREGATE(14,6,(COLUMN($M$1:$AM$1)-COLUMN($M$1)+1)/(M94:AM94&lt;&gt;""),1))+MAX(0,IFERROR(LOOKUP(2,1/(M94:AM94&lt;&gt;""),M94:AM94),1)-1))</f>
        <v/>
      </c>
      <c r="J94" s="14">
        <f>IF(I94="","",WORKDAY(I94,1))</f>
        <v/>
      </c>
      <c r="K94" s="15">
        <f>IF(COUNTA(M94:AM94),SUM(M94:AM94),IF(AND(H94&lt;&gt;"",I94&lt;&gt;""),NETWORKDAYS(H94,I94),""))</f>
        <v/>
      </c>
      <c r="L94" s="13" t="inlineStr"/>
      <c r="M94" s="16" t="n">
        <v>4</v>
      </c>
      <c r="N94" s="16" t="n">
        <v>5</v>
      </c>
      <c r="O94" s="16" t="n">
        <v>5</v>
      </c>
      <c r="P94" s="16" t="n">
        <v>2</v>
      </c>
      <c r="Q94" s="16" t="n">
        <v>5</v>
      </c>
      <c r="R94" s="16" t="inlineStr"/>
      <c r="S94" s="16" t="n">
        <v>5</v>
      </c>
      <c r="T94" s="16" t="n">
        <v>3</v>
      </c>
      <c r="U94" s="16" t="inlineStr"/>
      <c r="V94" s="16" t="inlineStr"/>
      <c r="W94" s="16" t="inlineStr"/>
      <c r="X94" s="16" t="inlineStr"/>
      <c r="Y94" s="16" t="inlineStr"/>
      <c r="Z94" s="16" t="inlineStr"/>
      <c r="AA94" s="16" t="inlineStr"/>
      <c r="AB94" s="16" t="inlineStr"/>
      <c r="AC94" s="16" t="inlineStr"/>
      <c r="AD94" s="16" t="inlineStr"/>
      <c r="AE94" s="16" t="inlineStr"/>
      <c r="AF94" s="16" t="inlineStr"/>
      <c r="AG94" s="16" t="inlineStr"/>
      <c r="AH94" s="16" t="inlineStr"/>
      <c r="AI94" s="16" t="inlineStr"/>
      <c r="AJ94" s="16" t="inlineStr"/>
      <c r="AK94" s="16" t="inlineStr"/>
      <c r="AL94" s="16" t="inlineStr"/>
      <c r="AM94" s="16" t="inlineStr"/>
    </row>
    <row r="95">
      <c r="A95" s="13" t="inlineStr">
        <is>
          <t>ДГП</t>
        </is>
      </c>
      <c r="B95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5" s="13" t="inlineStr"/>
      <c r="D95" s="13" t="inlineStr"/>
      <c r="E95" s="13" t="inlineStr">
        <is>
          <t>Миша Б</t>
        </is>
      </c>
      <c r="F95" s="13" t="inlineStr">
        <is>
          <t>QA</t>
        </is>
      </c>
      <c r="G95" s="13" t="inlineStr">
        <is>
          <t>да</t>
        </is>
      </c>
      <c r="H95" s="14">
        <f>IF(COUNTA(M95:AM95)=0,"",INDEX($M$1:$AM$1,AGGREGATE(15,6,(COLUMN($M$1:$AM$1)-COLUMN($M$1)+1)/(M95:AM95&lt;&gt;""),1)))</f>
        <v/>
      </c>
      <c r="I95" s="14">
        <f>IF(COUNTA(M95:AM95)=0,"",INDEX($M$1:$AM$1,AGGREGATE(14,6,(COLUMN($M$1:$AM$1)-COLUMN($M$1)+1)/(M95:AM95&lt;&gt;""),1))+MAX(0,IFERROR(LOOKUP(2,1/(M95:AM95&lt;&gt;""),M95:AM95),1)-1))</f>
        <v/>
      </c>
      <c r="J95" s="14">
        <f>IF(I95="","",WORKDAY(I95,1))</f>
        <v/>
      </c>
      <c r="K95" s="15">
        <f>IF(COUNTA(M95:AM95),SUM(M95:AM95),IF(AND(H95&lt;&gt;"",I95&lt;&gt;""),NETWORKDAYS(H95,I95),""))</f>
        <v/>
      </c>
      <c r="L95" s="13" t="inlineStr"/>
      <c r="M95" s="16" t="inlineStr"/>
      <c r="N95" s="16" t="inlineStr"/>
      <c r="O95" s="16" t="inlineStr"/>
      <c r="P95" s="16" t="inlineStr"/>
      <c r="Q95" s="16" t="inlineStr"/>
      <c r="R95" s="16" t="n">
        <v>5</v>
      </c>
      <c r="S95" s="16" t="inlineStr"/>
      <c r="T95" s="16" t="inlineStr"/>
      <c r="U95" s="16" t="inlineStr"/>
      <c r="V95" s="16" t="inlineStr"/>
      <c r="W95" s="16" t="inlineStr"/>
      <c r="X95" s="16" t="inlineStr"/>
      <c r="Y95" s="16" t="inlineStr"/>
      <c r="Z95" s="16" t="inlineStr"/>
      <c r="AA95" s="16" t="inlineStr"/>
      <c r="AB95" s="16" t="inlineStr"/>
      <c r="AC95" s="16" t="inlineStr"/>
      <c r="AD95" s="16" t="inlineStr"/>
      <c r="AE95" s="16" t="inlineStr"/>
      <c r="AF95" s="16" t="inlineStr"/>
      <c r="AG95" s="16" t="inlineStr"/>
      <c r="AH95" s="16" t="inlineStr"/>
      <c r="AI95" s="16" t="inlineStr"/>
      <c r="AJ95" s="16" t="inlineStr"/>
      <c r="AK95" s="16" t="inlineStr"/>
      <c r="AL95" s="16" t="inlineStr"/>
      <c r="AM95" s="16" t="inlineStr"/>
    </row>
    <row r="96">
      <c r="A96" s="13" t="inlineStr">
        <is>
          <t>ДГП</t>
        </is>
      </c>
      <c r="B96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6" s="13" t="inlineStr"/>
      <c r="D96" s="13" t="inlineStr"/>
      <c r="E96" s="13" t="inlineStr">
        <is>
          <t>Миша К</t>
        </is>
      </c>
      <c r="F96" s="13" t="inlineStr">
        <is>
          <t>QA</t>
        </is>
      </c>
      <c r="G96" s="13" t="inlineStr"/>
      <c r="H96" s="14">
        <f>IF(COUNTA(M96:AM96)=0,"",INDEX($M$1:$AM$1,AGGREGATE(15,6,(COLUMN($M$1:$AM$1)-COLUMN($M$1)+1)/(M96:AM96&lt;&gt;""),1)))</f>
        <v/>
      </c>
      <c r="I96" s="14">
        <f>IF(COUNTA(M96:AM96)=0,"",INDEX($M$1:$AM$1,AGGREGATE(14,6,(COLUMN($M$1:$AM$1)-COLUMN($M$1)+1)/(M96:AM96&lt;&gt;""),1))+MAX(0,IFERROR(LOOKUP(2,1/(M96:AM96&lt;&gt;""),M96:AM96),1)-1))</f>
        <v/>
      </c>
      <c r="J96" s="14">
        <f>IF(I96="","",WORKDAY(I96,1))</f>
        <v/>
      </c>
      <c r="K96" s="15">
        <f>IF(COUNTA(M96:AM96),SUM(M96:AM96),IF(AND(H96&lt;&gt;"",I96&lt;&gt;""),NETWORKDAYS(H96,I96),""))</f>
        <v/>
      </c>
      <c r="L96" s="13" t="inlineStr"/>
      <c r="M96" s="16" t="n">
        <v>4</v>
      </c>
      <c r="N96" s="16" t="n">
        <v>5</v>
      </c>
      <c r="O96" s="16" t="n">
        <v>5</v>
      </c>
      <c r="P96" s="16" t="n">
        <v>1</v>
      </c>
      <c r="Q96" s="16" t="n">
        <v>5</v>
      </c>
      <c r="R96" s="16" t="n">
        <v>2</v>
      </c>
      <c r="S96" s="16" t="n">
        <v>4</v>
      </c>
      <c r="T96" s="16" t="inlineStr"/>
      <c r="U96" s="16" t="inlineStr"/>
      <c r="V96" s="16" t="inlineStr"/>
      <c r="W96" s="16" t="inlineStr"/>
      <c r="X96" s="16" t="inlineStr"/>
      <c r="Y96" s="16" t="inlineStr"/>
      <c r="Z96" s="16" t="inlineStr"/>
      <c r="AA96" s="16" t="inlineStr"/>
      <c r="AB96" s="16" t="inlineStr"/>
      <c r="AC96" s="16" t="inlineStr"/>
      <c r="AD96" s="16" t="inlineStr"/>
      <c r="AE96" s="16" t="inlineStr"/>
      <c r="AF96" s="16" t="inlineStr"/>
      <c r="AG96" s="16" t="inlineStr"/>
      <c r="AH96" s="16" t="inlineStr"/>
      <c r="AI96" s="16" t="inlineStr"/>
      <c r="AJ96" s="16" t="inlineStr"/>
      <c r="AK96" s="16" t="inlineStr"/>
      <c r="AL96" s="16" t="inlineStr"/>
      <c r="AM96" s="16" t="inlineStr"/>
    </row>
    <row r="97">
      <c r="A97" s="13" t="inlineStr">
        <is>
          <t>ДГП</t>
        </is>
      </c>
      <c r="B97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7" s="13" t="inlineStr"/>
      <c r="D97" s="13" t="inlineStr"/>
      <c r="E97" s="13" t="inlineStr">
        <is>
          <t>Миша К</t>
        </is>
      </c>
      <c r="F97" s="13" t="inlineStr">
        <is>
          <t>QA</t>
        </is>
      </c>
      <c r="G97" s="13" t="inlineStr">
        <is>
          <t>да</t>
        </is>
      </c>
      <c r="H97" s="14">
        <f>IF(COUNTA(M97:AM97)=0,"",INDEX($M$1:$AM$1,AGGREGATE(15,6,(COLUMN($M$1:$AM$1)-COLUMN($M$1)+1)/(M97:AM97&lt;&gt;""),1)))</f>
        <v/>
      </c>
      <c r="I97" s="14">
        <f>IF(COUNTA(M97:AM97)=0,"",INDEX($M$1:$AM$1,AGGREGATE(14,6,(COLUMN($M$1:$AM$1)-COLUMN($M$1)+1)/(M97:AM97&lt;&gt;""),1))+MAX(0,IFERROR(LOOKUP(2,1/(M97:AM97&lt;&gt;""),M97:AM97),1)-1))</f>
        <v/>
      </c>
      <c r="J97" s="14">
        <f>IF(I97="","",WORKDAY(I97,1))</f>
        <v/>
      </c>
      <c r="K97" s="15">
        <f>IF(COUNTA(M97:AM97),SUM(M97:AM97),IF(AND(H97&lt;&gt;"",I97&lt;&gt;""),NETWORKDAYS(H97,I97),""))</f>
        <v/>
      </c>
      <c r="L97" s="13" t="inlineStr"/>
      <c r="M97" s="16" t="inlineStr"/>
      <c r="N97" s="16" t="inlineStr"/>
      <c r="O97" s="16" t="inlineStr"/>
      <c r="P97" s="16" t="inlineStr"/>
      <c r="Q97" s="16" t="inlineStr"/>
      <c r="R97" s="16" t="inlineStr"/>
      <c r="S97" s="16" t="inlineStr"/>
      <c r="T97" s="16" t="n">
        <v>5</v>
      </c>
      <c r="U97" s="16" t="inlineStr"/>
      <c r="V97" s="16" t="inlineStr"/>
      <c r="W97" s="16" t="inlineStr"/>
      <c r="X97" s="16" t="inlineStr"/>
      <c r="Y97" s="16" t="n">
        <v>5</v>
      </c>
      <c r="Z97" s="16" t="n">
        <v>5</v>
      </c>
      <c r="AA97" s="16" t="inlineStr"/>
      <c r="AB97" s="16" t="inlineStr"/>
      <c r="AC97" s="16" t="inlineStr"/>
      <c r="AD97" s="16" t="inlineStr"/>
      <c r="AE97" s="16" t="inlineStr"/>
      <c r="AF97" s="16" t="inlineStr"/>
      <c r="AG97" s="16" t="inlineStr"/>
      <c r="AH97" s="16" t="inlineStr"/>
      <c r="AI97" s="16" t="inlineStr"/>
      <c r="AJ97" s="16" t="inlineStr"/>
      <c r="AK97" s="16" t="inlineStr"/>
      <c r="AL97" s="16" t="inlineStr"/>
      <c r="AM97" s="16" t="inlineStr"/>
    </row>
    <row r="98">
      <c r="A98" s="13" t="inlineStr">
        <is>
          <t>ДГП</t>
        </is>
      </c>
      <c r="B98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8" s="13" t="inlineStr"/>
      <c r="D98" s="13" t="inlineStr"/>
      <c r="E98" s="13" t="inlineStr">
        <is>
          <t>Антон</t>
        </is>
      </c>
      <c r="F98" s="13" t="inlineStr">
        <is>
          <t>QA</t>
        </is>
      </c>
      <c r="G98" s="13" t="inlineStr"/>
      <c r="H98" s="14">
        <f>IF(COUNTA(M98:AM98)=0,"",INDEX($M$1:$AM$1,AGGREGATE(15,6,(COLUMN($M$1:$AM$1)-COLUMN($M$1)+1)/(M98:AM98&lt;&gt;""),1)))</f>
        <v/>
      </c>
      <c r="I98" s="14">
        <f>IF(COUNTA(M98:AM98)=0,"",INDEX($M$1:$AM$1,AGGREGATE(14,6,(COLUMN($M$1:$AM$1)-COLUMN($M$1)+1)/(M98:AM98&lt;&gt;""),1))+MAX(0,IFERROR(LOOKUP(2,1/(M98:AM98&lt;&gt;""),M98:AM98),1)-1))</f>
        <v/>
      </c>
      <c r="J98" s="14">
        <f>IF(I98="","",WORKDAY(I98,1))</f>
        <v/>
      </c>
      <c r="K98" s="15">
        <f>IF(COUNTA(M98:AM98),SUM(M98:AM98),IF(AND(H98&lt;&gt;"",I98&lt;&gt;""),NETWORKDAYS(H98,I98),""))</f>
        <v/>
      </c>
      <c r="L98" s="13" t="inlineStr"/>
      <c r="M98" s="16" t="n">
        <v>5</v>
      </c>
      <c r="N98" s="16" t="n">
        <v>5</v>
      </c>
      <c r="O98" s="16" t="n">
        <v>5</v>
      </c>
      <c r="P98" s="16" t="n">
        <v>1</v>
      </c>
      <c r="Q98" s="16" t="inlineStr"/>
      <c r="R98" s="16" t="inlineStr"/>
      <c r="S98" s="16" t="inlineStr"/>
      <c r="T98" s="16" t="n">
        <v>1</v>
      </c>
      <c r="U98" s="16" t="inlineStr"/>
      <c r="V98" s="16" t="inlineStr"/>
      <c r="W98" s="16" t="inlineStr"/>
      <c r="X98" s="16" t="inlineStr"/>
      <c r="Y98" s="16" t="inlineStr"/>
      <c r="Z98" s="16" t="inlineStr"/>
      <c r="AA98" s="16" t="inlineStr"/>
      <c r="AB98" s="16" t="inlineStr"/>
      <c r="AC98" s="16" t="inlineStr"/>
      <c r="AD98" s="16" t="inlineStr"/>
      <c r="AE98" s="16" t="inlineStr"/>
      <c r="AF98" s="16" t="inlineStr"/>
      <c r="AG98" s="16" t="inlineStr"/>
      <c r="AH98" s="16" t="inlineStr"/>
      <c r="AI98" s="16" t="inlineStr"/>
      <c r="AJ98" s="16" t="inlineStr"/>
      <c r="AK98" s="16" t="inlineStr"/>
      <c r="AL98" s="16" t="inlineStr"/>
      <c r="AM98" s="16" t="inlineStr"/>
    </row>
    <row r="99">
      <c r="A99" s="13" t="inlineStr">
        <is>
          <t>ДГП</t>
        </is>
      </c>
      <c r="B99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9" s="13" t="inlineStr"/>
      <c r="D99" s="13" t="inlineStr"/>
      <c r="E99" s="13" t="inlineStr">
        <is>
          <t>Антон</t>
        </is>
      </c>
      <c r="F99" s="13" t="inlineStr">
        <is>
          <t>QA</t>
        </is>
      </c>
      <c r="G99" s="13" t="inlineStr">
        <is>
          <t>да</t>
        </is>
      </c>
      <c r="H99" s="14">
        <f>IF(COUNTA(M99:AM99)=0,"",INDEX($M$1:$AM$1,AGGREGATE(15,6,(COLUMN($M$1:$AM$1)-COLUMN($M$1)+1)/(M99:AM99&lt;&gt;""),1)))</f>
        <v/>
      </c>
      <c r="I99" s="14">
        <f>IF(COUNTA(M99:AM99)=0,"",INDEX($M$1:$AM$1,AGGREGATE(14,6,(COLUMN($M$1:$AM$1)-COLUMN($M$1)+1)/(M99:AM99&lt;&gt;""),1))+MAX(0,IFERROR(LOOKUP(2,1/(M99:AM99&lt;&gt;""),M99:AM99),1)-1))</f>
        <v/>
      </c>
      <c r="J99" s="14">
        <f>IF(I99="","",WORKDAY(I99,1))</f>
        <v/>
      </c>
      <c r="K99" s="15">
        <f>IF(COUNTA(M99:AM99),SUM(M99:AM99),IF(AND(H99&lt;&gt;"",I99&lt;&gt;""),NETWORKDAYS(H99,I99),""))</f>
        <v/>
      </c>
      <c r="L99" s="13" t="inlineStr"/>
      <c r="M99" s="16" t="inlineStr"/>
      <c r="N99" s="16" t="inlineStr"/>
      <c r="O99" s="16" t="inlineStr"/>
      <c r="P99" s="16" t="inlineStr"/>
      <c r="Q99" s="16" t="n">
        <v>5</v>
      </c>
      <c r="R99" s="16" t="inlineStr"/>
      <c r="S99" s="16" t="inlineStr"/>
      <c r="T99" s="16" t="inlineStr"/>
      <c r="U99" s="16" t="inlineStr"/>
      <c r="V99" s="16" t="inlineStr"/>
      <c r="W99" s="16" t="inlineStr"/>
      <c r="X99" s="16" t="inlineStr"/>
      <c r="Y99" s="16" t="inlineStr"/>
      <c r="Z99" s="16" t="inlineStr"/>
      <c r="AA99" s="16" t="inlineStr"/>
      <c r="AB99" s="16" t="inlineStr"/>
      <c r="AC99" s="16" t="inlineStr"/>
      <c r="AD99" s="16" t="inlineStr"/>
      <c r="AE99" s="16" t="inlineStr"/>
      <c r="AF99" s="16" t="inlineStr"/>
      <c r="AG99" s="16" t="inlineStr"/>
      <c r="AH99" s="16" t="inlineStr"/>
      <c r="AI99" s="16" t="inlineStr"/>
      <c r="AJ99" s="16" t="inlineStr"/>
      <c r="AK99" s="16" t="inlineStr"/>
      <c r="AL99" s="16" t="inlineStr"/>
      <c r="AM99" s="16" t="inlineStr"/>
    </row>
    <row r="100">
      <c r="A100" s="13" t="inlineStr">
        <is>
          <t>ДГП</t>
        </is>
      </c>
      <c r="B100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100" s="13" t="inlineStr"/>
      <c r="D100" s="13" t="inlineStr"/>
      <c r="E100" s="13" t="inlineStr">
        <is>
          <t>Ваня Ш</t>
        </is>
      </c>
      <c r="F100" s="13" t="inlineStr">
        <is>
          <t>QA</t>
        </is>
      </c>
      <c r="G100" s="13" t="inlineStr"/>
      <c r="H100" s="14">
        <f>IF(COUNTA(M100:AM100)=0,"",INDEX($M$1:$AM$1,AGGREGATE(15,6,(COLUMN($M$1:$AM$1)-COLUMN($M$1)+1)/(M100:AM100&lt;&gt;""),1)))</f>
        <v/>
      </c>
      <c r="I100" s="14">
        <f>IF(COUNTA(M100:AM100)=0,"",INDEX($M$1:$AM$1,AGGREGATE(14,6,(COLUMN($M$1:$AM$1)-COLUMN($M$1)+1)/(M100:AM100&lt;&gt;""),1))+MAX(0,IFERROR(LOOKUP(2,1/(M100:AM100&lt;&gt;""),M100:AM100),1)-1))</f>
        <v/>
      </c>
      <c r="J100" s="14">
        <f>IF(I100="","",WORKDAY(I100,1))</f>
        <v/>
      </c>
      <c r="K100" s="15">
        <f>IF(COUNTA(M100:AM100),SUM(M100:AM100),IF(AND(H100&lt;&gt;"",I100&lt;&gt;""),NETWORKDAYS(H100,I100),""))</f>
        <v/>
      </c>
      <c r="L100" s="13" t="inlineStr"/>
      <c r="M100" s="16" t="inlineStr"/>
      <c r="N100" s="16" t="inlineStr"/>
      <c r="O100" s="16" t="n">
        <v>2</v>
      </c>
      <c r="P100" s="16" t="n">
        <v>1</v>
      </c>
      <c r="Q100" s="16" t="inlineStr"/>
      <c r="R100" s="16" t="inlineStr"/>
      <c r="S100" s="16" t="inlineStr"/>
      <c r="T100" s="16" t="n">
        <v>1</v>
      </c>
      <c r="U100" s="16" t="inlineStr"/>
      <c r="V100" s="16" t="inlineStr"/>
      <c r="W100" s="16" t="inlineStr"/>
      <c r="X100" s="16" t="inlineStr"/>
      <c r="Y100" s="16" t="inlineStr"/>
      <c r="Z100" s="16" t="inlineStr"/>
      <c r="AA100" s="16" t="inlineStr"/>
      <c r="AB100" s="16" t="inlineStr"/>
      <c r="AC100" s="16" t="inlineStr"/>
      <c r="AD100" s="16" t="inlineStr"/>
      <c r="AE100" s="16" t="inlineStr"/>
      <c r="AF100" s="16" t="inlineStr"/>
      <c r="AG100" s="16" t="inlineStr"/>
      <c r="AH100" s="16" t="inlineStr"/>
      <c r="AI100" s="16" t="inlineStr"/>
      <c r="AJ100" s="16" t="inlineStr"/>
      <c r="AK100" s="16" t="inlineStr"/>
      <c r="AL100" s="16" t="inlineStr"/>
      <c r="AM100" s="16" t="inlineStr"/>
    </row>
    <row r="101">
      <c r="A101" s="13" t="inlineStr">
        <is>
          <t>ДГП</t>
        </is>
      </c>
      <c r="B101" s="13" t="inlineStr">
        <is>
          <t>ДГП целевая шаринг МегаСемья 2.0 - реализация шаринга в МегаСемье 2.0 для перехода на целевое решение</t>
        </is>
      </c>
      <c r="C101" s="13" t="inlineStr"/>
      <c r="D101" s="13" t="inlineStr"/>
      <c r="E101" s="13" t="inlineStr">
        <is>
          <t>Настя</t>
        </is>
      </c>
      <c r="F101" s="13" t="inlineStr">
        <is>
          <t>Дизайн</t>
        </is>
      </c>
      <c r="G101" s="13" t="inlineStr"/>
      <c r="H101" s="14">
        <f>IF(COUNTA(M101:AM101)=0,"",INDEX($M$1:$AM$1,AGGREGATE(15,6,(COLUMN($M$1:$AM$1)-COLUMN($M$1)+1)/(M101:AM101&lt;&gt;""),1)))</f>
        <v/>
      </c>
      <c r="I101" s="14">
        <f>IF(COUNTA(M101:AM101)=0,"",INDEX($M$1:$AM$1,AGGREGATE(14,6,(COLUMN($M$1:$AM$1)-COLUMN($M$1)+1)/(M101:AM101&lt;&gt;""),1))+MAX(0,IFERROR(LOOKUP(2,1/(M101:AM101&lt;&gt;""),M101:AM101),1)-1))</f>
        <v/>
      </c>
      <c r="J101" s="14">
        <f>IF(I101="","",WORKDAY(I101,1))</f>
        <v/>
      </c>
      <c r="K101" s="15">
        <f>IF(COUNTA(M101:AM101),SUM(M101:AM101),IF(AND(H101&lt;&gt;"",I101&lt;&gt;""),NETWORKDAYS(H101,I101),""))</f>
        <v/>
      </c>
      <c r="L101" s="13" t="inlineStr"/>
      <c r="M101" s="16" t="inlineStr"/>
      <c r="N101" s="16" t="n">
        <v>3</v>
      </c>
      <c r="O101" s="16" t="n">
        <v>5</v>
      </c>
      <c r="P101" s="16" t="n">
        <v>5</v>
      </c>
      <c r="Q101" s="16" t="n">
        <v>5</v>
      </c>
      <c r="R101" s="16" t="inlineStr"/>
      <c r="S101" s="16" t="n">
        <v>5</v>
      </c>
      <c r="T101" s="16" t="n">
        <v>5</v>
      </c>
      <c r="U101" s="16" t="n">
        <v>5</v>
      </c>
      <c r="V101" s="16" t="inlineStr"/>
      <c r="W101" s="16" t="inlineStr"/>
      <c r="X101" s="16" t="inlineStr"/>
      <c r="Y101" s="16" t="inlineStr"/>
      <c r="Z101" s="16" t="inlineStr"/>
      <c r="AA101" s="16" t="inlineStr"/>
      <c r="AB101" s="16" t="inlineStr"/>
      <c r="AC101" s="16" t="inlineStr"/>
      <c r="AD101" s="16" t="inlineStr"/>
      <c r="AE101" s="16" t="inlineStr"/>
      <c r="AF101" s="16" t="inlineStr"/>
      <c r="AG101" s="16" t="inlineStr"/>
      <c r="AH101" s="16" t="inlineStr"/>
      <c r="AI101" s="16" t="inlineStr"/>
      <c r="AJ101" s="16" t="inlineStr"/>
      <c r="AK101" s="16" t="inlineStr"/>
      <c r="AL101" s="16" t="inlineStr"/>
      <c r="AM101" s="16" t="inlineStr"/>
    </row>
    <row r="102">
      <c r="A102" s="13" t="inlineStr">
        <is>
          <t>ДГП</t>
        </is>
      </c>
      <c r="B102" s="13" t="inlineStr">
        <is>
          <t>ДГП целевая шаринг МегаСемья 2.0 - реализация шаринга в МегаСемье 2.0 для перехода на целевое решение</t>
        </is>
      </c>
      <c r="C102" s="13" t="inlineStr"/>
      <c r="D102" s="13" t="inlineStr"/>
      <c r="E102" s="13" t="inlineStr">
        <is>
          <t>Настя</t>
        </is>
      </c>
      <c r="F102" s="13" t="inlineStr">
        <is>
          <t>Дизайн</t>
        </is>
      </c>
      <c r="G102" s="13" t="inlineStr">
        <is>
          <t>да</t>
        </is>
      </c>
      <c r="H102" s="14">
        <f>IF(COUNTA(M102:AM102)=0,"",INDEX($M$1:$AM$1,AGGREGATE(15,6,(COLUMN($M$1:$AM$1)-COLUMN($M$1)+1)/(M102:AM102&lt;&gt;""),1)))</f>
        <v/>
      </c>
      <c r="I102" s="14">
        <f>IF(COUNTA(M102:AM102)=0,"",INDEX($M$1:$AM$1,AGGREGATE(14,6,(COLUMN($M$1:$AM$1)-COLUMN($M$1)+1)/(M102:AM102&lt;&gt;""),1))+MAX(0,IFERROR(LOOKUP(2,1/(M102:AM102&lt;&gt;""),M102:AM102),1)-1))</f>
        <v/>
      </c>
      <c r="J102" s="14">
        <f>IF(I102="","",WORKDAY(I102,1))</f>
        <v/>
      </c>
      <c r="K102" s="15">
        <f>IF(COUNTA(M102:AM102),SUM(M102:AM102),IF(AND(H102&lt;&gt;"",I102&lt;&gt;""),NETWORKDAYS(H102,I102),""))</f>
        <v/>
      </c>
      <c r="L102" s="13" t="inlineStr"/>
      <c r="M102" s="16" t="inlineStr"/>
      <c r="N102" s="16" t="inlineStr"/>
      <c r="O102" s="16" t="inlineStr"/>
      <c r="P102" s="16" t="inlineStr"/>
      <c r="Q102" s="16" t="inlineStr"/>
      <c r="R102" s="16" t="n">
        <v>5</v>
      </c>
      <c r="S102" s="16" t="inlineStr"/>
      <c r="T102" s="16" t="inlineStr"/>
      <c r="U102" s="16" t="inlineStr"/>
      <c r="V102" s="16" t="inlineStr"/>
      <c r="W102" s="16" t="inlineStr"/>
      <c r="X102" s="16" t="inlineStr"/>
      <c r="Y102" s="16" t="inlineStr"/>
      <c r="Z102" s="16" t="inlineStr"/>
      <c r="AA102" s="16" t="inlineStr"/>
      <c r="AB102" s="16" t="inlineStr"/>
      <c r="AC102" s="16" t="inlineStr"/>
      <c r="AD102" s="16" t="inlineStr"/>
      <c r="AE102" s="16" t="inlineStr"/>
      <c r="AF102" s="16" t="inlineStr"/>
      <c r="AG102" s="16" t="inlineStr"/>
      <c r="AH102" s="16" t="inlineStr"/>
      <c r="AI102" s="16" t="inlineStr"/>
      <c r="AJ102" s="16" t="inlineStr"/>
      <c r="AK102" s="16" t="inlineStr"/>
      <c r="AL102" s="16" t="inlineStr"/>
      <c r="AM102" s="16" t="inlineStr"/>
    </row>
    <row r="103">
      <c r="A103" s="13" t="inlineStr">
        <is>
          <t>ДГП</t>
        </is>
      </c>
      <c r="B103" s="13" t="inlineStr">
        <is>
          <t>ДГП целевая шаринг МегаСемья 2.0 - реализация шаринга в МегаСемье 2.0 для перехода на целевое решение</t>
        </is>
      </c>
      <c r="C103" s="13" t="inlineStr"/>
      <c r="D103" s="13" t="inlineStr"/>
      <c r="E103" s="13" t="inlineStr">
        <is>
          <t>Гоголюк Георгий</t>
        </is>
      </c>
      <c r="F103" s="13" t="inlineStr">
        <is>
          <t>SA</t>
        </is>
      </c>
      <c r="G103" s="13" t="inlineStr"/>
      <c r="H103" s="14">
        <f>IF(COUNTA(M103:AM103)=0,"",INDEX($M$1:$AM$1,AGGREGATE(15,6,(COLUMN($M$1:$AM$1)-COLUMN($M$1)+1)/(M103:AM103&lt;&gt;""),1)))</f>
        <v/>
      </c>
      <c r="I103" s="14">
        <f>IF(COUNTA(M103:AM103)=0,"",INDEX($M$1:$AM$1,AGGREGATE(14,6,(COLUMN($M$1:$AM$1)-COLUMN($M$1)+1)/(M103:AM103&lt;&gt;""),1))+MAX(0,IFERROR(LOOKUP(2,1/(M103:AM103&lt;&gt;""),M103:AM103),1)-1))</f>
        <v/>
      </c>
      <c r="J103" s="14">
        <f>IF(I103="","",WORKDAY(I103,1))</f>
        <v/>
      </c>
      <c r="K103" s="15">
        <f>IF(COUNTA(M103:AM103),SUM(M103:AM103),IF(AND(H103&lt;&gt;"",I103&lt;&gt;""),NETWORKDAYS(H103,I103),""))</f>
        <v/>
      </c>
      <c r="L103" s="13" t="inlineStr"/>
      <c r="M103" s="16" t="inlineStr"/>
      <c r="N103" s="16" t="n">
        <v>3</v>
      </c>
      <c r="O103" s="16" t="n">
        <v>2</v>
      </c>
      <c r="P103" s="16" t="n">
        <v>3</v>
      </c>
      <c r="Q103" s="16" t="n">
        <v>3</v>
      </c>
      <c r="R103" s="16" t="inlineStr"/>
      <c r="S103" s="16" t="inlineStr"/>
      <c r="T103" s="16" t="n">
        <v>5</v>
      </c>
      <c r="U103" s="16" t="n">
        <v>5</v>
      </c>
      <c r="V103" s="16" t="n">
        <v>4</v>
      </c>
      <c r="W103" s="16" t="n">
        <v>5</v>
      </c>
      <c r="X103" s="16" t="n">
        <v>5</v>
      </c>
      <c r="Y103" s="16" t="n">
        <v>3</v>
      </c>
      <c r="Z103" s="16" t="n">
        <v>3</v>
      </c>
      <c r="AA103" s="16" t="n">
        <v>3</v>
      </c>
      <c r="AB103" s="16" t="inlineStr"/>
      <c r="AC103" s="16" t="inlineStr"/>
      <c r="AD103" s="16" t="inlineStr"/>
      <c r="AE103" s="16" t="inlineStr"/>
      <c r="AF103" s="16" t="inlineStr"/>
      <c r="AG103" s="16" t="inlineStr"/>
      <c r="AH103" s="16" t="inlineStr"/>
      <c r="AI103" s="16" t="inlineStr"/>
      <c r="AJ103" s="16" t="inlineStr"/>
      <c r="AK103" s="16" t="inlineStr"/>
      <c r="AL103" s="16" t="inlineStr"/>
      <c r="AM103" s="16" t="inlineStr"/>
    </row>
    <row r="104">
      <c r="A104" s="13" t="inlineStr">
        <is>
          <t>ДГП</t>
        </is>
      </c>
      <c r="B104" s="13" t="inlineStr">
        <is>
          <t>ДГП целевая шаринг МегаСемья 2.0 - реализация шаринга в МегаСемье 2.0 для перехода на целевое решение</t>
        </is>
      </c>
      <c r="C104" s="13" t="inlineStr"/>
      <c r="D104" s="13" t="inlineStr"/>
      <c r="E104" s="13" t="inlineStr">
        <is>
          <t>Гоголюк Георгий</t>
        </is>
      </c>
      <c r="F104" s="13" t="inlineStr">
        <is>
          <t>SA</t>
        </is>
      </c>
      <c r="G104" s="13" t="inlineStr">
        <is>
          <t>да</t>
        </is>
      </c>
      <c r="H104" s="14">
        <f>IF(COUNTA(M104:AM104)=0,"",INDEX($M$1:$AM$1,AGGREGATE(15,6,(COLUMN($M$1:$AM$1)-COLUMN($M$1)+1)/(M104:AM104&lt;&gt;""),1)))</f>
        <v/>
      </c>
      <c r="I104" s="14">
        <f>IF(COUNTA(M104:AM104)=0,"",INDEX($M$1:$AM$1,AGGREGATE(14,6,(COLUMN($M$1:$AM$1)-COLUMN($M$1)+1)/(M104:AM104&lt;&gt;""),1))+MAX(0,IFERROR(LOOKUP(2,1/(M104:AM104&lt;&gt;""),M104:AM104),1)-1))</f>
        <v/>
      </c>
      <c r="J104" s="14">
        <f>IF(I104="","",WORKDAY(I104,1))</f>
        <v/>
      </c>
      <c r="K104" s="15">
        <f>IF(COUNTA(M104:AM104),SUM(M104:AM104),IF(AND(H104&lt;&gt;"",I104&lt;&gt;""),NETWORKDAYS(H104,I104),""))</f>
        <v/>
      </c>
      <c r="L104" s="13" t="inlineStr"/>
      <c r="M104" s="16" t="inlineStr"/>
      <c r="N104" s="16" t="inlineStr"/>
      <c r="O104" s="16" t="inlineStr"/>
      <c r="P104" s="16" t="inlineStr"/>
      <c r="Q104" s="16" t="inlineStr"/>
      <c r="R104" s="16" t="n">
        <v>5</v>
      </c>
      <c r="S104" s="16" t="n">
        <v>5</v>
      </c>
      <c r="T104" s="16" t="inlineStr"/>
      <c r="U104" s="16" t="inlineStr"/>
      <c r="V104" s="16" t="inlineStr"/>
      <c r="W104" s="16" t="inlineStr"/>
      <c r="X104" s="16" t="inlineStr"/>
      <c r="Y104" s="16" t="inlineStr"/>
      <c r="Z104" s="16" t="inlineStr"/>
      <c r="AA104" s="16" t="inlineStr"/>
      <c r="AB104" s="16" t="inlineStr"/>
      <c r="AC104" s="16" t="inlineStr"/>
      <c r="AD104" s="16" t="inlineStr"/>
      <c r="AE104" s="16" t="inlineStr"/>
      <c r="AF104" s="16" t="inlineStr"/>
      <c r="AG104" s="16" t="inlineStr"/>
      <c r="AH104" s="16" t="inlineStr"/>
      <c r="AI104" s="16" t="inlineStr"/>
      <c r="AJ104" s="16" t="inlineStr"/>
      <c r="AK104" s="16" t="inlineStr"/>
      <c r="AL104" s="16" t="inlineStr"/>
      <c r="AM104" s="16" t="inlineStr"/>
    </row>
    <row r="105">
      <c r="A105" s="13" t="inlineStr">
        <is>
          <t>ДГП</t>
        </is>
      </c>
      <c r="B105" s="13" t="inlineStr">
        <is>
          <t>ДГП целевая шаринг МегаСемья 2.0 - реализация шаринга в МегаСемье 2.0 для перехода на целевое решение</t>
        </is>
      </c>
      <c r="C105" s="13" t="inlineStr"/>
      <c r="D105" s="13" t="inlineStr"/>
      <c r="E105" s="13" t="inlineStr">
        <is>
          <t>Кирилл</t>
        </is>
      </c>
      <c r="F105" s="13" t="inlineStr">
        <is>
          <t>FE</t>
        </is>
      </c>
      <c r="G105" s="13" t="inlineStr"/>
      <c r="H105" s="14">
        <f>IF(COUNTA(M105:AM105)=0,"",INDEX($M$1:$AM$1,AGGREGATE(15,6,(COLUMN($M$1:$AM$1)-COLUMN($M$1)+1)/(M105:AM105&lt;&gt;""),1)))</f>
        <v/>
      </c>
      <c r="I105" s="14">
        <f>IF(COUNTA(M105:AM105)=0,"",INDEX($M$1:$AM$1,AGGREGATE(14,6,(COLUMN($M$1:$AM$1)-COLUMN($M$1)+1)/(M105:AM105&lt;&gt;""),1))+MAX(0,IFERROR(LOOKUP(2,1/(M105:AM105&lt;&gt;""),M105:AM105),1)-1))</f>
        <v/>
      </c>
      <c r="J105" s="14">
        <f>IF(I105="","",WORKDAY(I105,1))</f>
        <v/>
      </c>
      <c r="K105" s="15">
        <f>IF(COUNTA(M105:AM105),SUM(M105:AM105),IF(AND(H105&lt;&gt;"",I105&lt;&gt;""),NETWORKDAYS(H105,I105),""))</f>
        <v/>
      </c>
      <c r="L105" s="13" t="inlineStr"/>
      <c r="M105" s="16" t="inlineStr"/>
      <c r="N105" s="16" t="n">
        <v>3</v>
      </c>
      <c r="O105" s="16" t="n">
        <v>2</v>
      </c>
      <c r="P105" s="16" t="inlineStr"/>
      <c r="Q105" s="16" t="inlineStr"/>
      <c r="R105" s="16" t="inlineStr"/>
      <c r="S105" s="16" t="inlineStr"/>
      <c r="T105" s="16" t="inlineStr"/>
      <c r="U105" s="16" t="inlineStr"/>
      <c r="V105" s="16" t="n">
        <v>1</v>
      </c>
      <c r="W105" s="16" t="n">
        <v>5</v>
      </c>
      <c r="X105" s="16" t="inlineStr"/>
      <c r="Y105" s="16" t="n">
        <v>5</v>
      </c>
      <c r="Z105" s="16" t="n">
        <v>4</v>
      </c>
      <c r="AA105" s="16" t="n">
        <v>5</v>
      </c>
      <c r="AB105" s="16" t="n">
        <v>5</v>
      </c>
      <c r="AC105" s="16" t="inlineStr"/>
      <c r="AD105" s="16" t="inlineStr"/>
      <c r="AE105" s="16" t="inlineStr"/>
      <c r="AF105" s="16" t="inlineStr"/>
      <c r="AG105" s="16" t="inlineStr"/>
      <c r="AH105" s="16" t="inlineStr"/>
      <c r="AI105" s="16" t="inlineStr"/>
      <c r="AJ105" s="16" t="inlineStr"/>
      <c r="AK105" s="16" t="inlineStr"/>
      <c r="AL105" s="16" t="inlineStr"/>
      <c r="AM105" s="16" t="inlineStr"/>
    </row>
    <row r="106">
      <c r="A106" s="13" t="inlineStr">
        <is>
          <t>ДГП</t>
        </is>
      </c>
      <c r="B106" s="13" t="inlineStr">
        <is>
          <t>ДГП целевая шаринг МегаСемья 2.0 - реализация шаринга в МегаСемье 2.0 для перехода на целевое решение</t>
        </is>
      </c>
      <c r="C106" s="13" t="inlineStr"/>
      <c r="D106" s="13" t="inlineStr"/>
      <c r="E106" s="13" t="inlineStr">
        <is>
          <t>Иван</t>
        </is>
      </c>
      <c r="F106" s="13" t="inlineStr">
        <is>
          <t>FE</t>
        </is>
      </c>
      <c r="G106" s="13" t="inlineStr"/>
      <c r="H106" s="14">
        <f>IF(COUNTA(M106:AM106)=0,"",INDEX($M$1:$AM$1,AGGREGATE(15,6,(COLUMN($M$1:$AM$1)-COLUMN($M$1)+1)/(M106:AM106&lt;&gt;""),1)))</f>
        <v/>
      </c>
      <c r="I106" s="14">
        <f>IF(COUNTA(M106:AM106)=0,"",INDEX($M$1:$AM$1,AGGREGATE(14,6,(COLUMN($M$1:$AM$1)-COLUMN($M$1)+1)/(M106:AM106&lt;&gt;""),1))+MAX(0,IFERROR(LOOKUP(2,1/(M106:AM106&lt;&gt;""),M106:AM106),1)-1))</f>
        <v/>
      </c>
      <c r="J106" s="14">
        <f>IF(I106="","",WORKDAY(I106,1))</f>
        <v/>
      </c>
      <c r="K106" s="15">
        <f>IF(COUNTA(M106:AM106),SUM(M106:AM106),IF(AND(H106&lt;&gt;"",I106&lt;&gt;""),NETWORKDAYS(H106,I106),""))</f>
        <v/>
      </c>
      <c r="L106" s="13" t="inlineStr"/>
      <c r="M106" s="16" t="inlineStr"/>
      <c r="N106" s="16" t="inlineStr"/>
      <c r="O106" s="16" t="inlineStr"/>
      <c r="P106" s="16" t="inlineStr"/>
      <c r="Q106" s="16" t="inlineStr"/>
      <c r="R106" s="16" t="inlineStr"/>
      <c r="S106" s="16" t="inlineStr"/>
      <c r="T106" s="16" t="inlineStr"/>
      <c r="U106" s="16" t="inlineStr"/>
      <c r="V106" s="16" t="inlineStr"/>
      <c r="W106" s="16" t="inlineStr"/>
      <c r="X106" s="16" t="inlineStr"/>
      <c r="Y106" s="16" t="n">
        <v>5</v>
      </c>
      <c r="Z106" s="16" t="n">
        <v>1</v>
      </c>
      <c r="AA106" s="16" t="inlineStr"/>
      <c r="AB106" s="16" t="inlineStr"/>
      <c r="AC106" s="16" t="inlineStr"/>
      <c r="AD106" s="16" t="inlineStr"/>
      <c r="AE106" s="16" t="n">
        <v>3</v>
      </c>
      <c r="AF106" s="16" t="inlineStr"/>
      <c r="AG106" s="16" t="inlineStr"/>
      <c r="AH106" s="16" t="inlineStr"/>
      <c r="AI106" s="16" t="inlineStr"/>
      <c r="AJ106" s="16" t="inlineStr"/>
      <c r="AK106" s="16" t="inlineStr"/>
      <c r="AL106" s="16" t="inlineStr"/>
      <c r="AM106" s="16" t="inlineStr"/>
    </row>
    <row r="107">
      <c r="A107" s="13" t="inlineStr">
        <is>
          <t>ДГП</t>
        </is>
      </c>
      <c r="B107" s="13" t="inlineStr">
        <is>
          <t>ДГП целевая шаринг МегаСемья 2.0 - реализация шаринга в МегаСемье 2.0 для перехода на целевое решение</t>
        </is>
      </c>
      <c r="C107" s="13" t="inlineStr"/>
      <c r="D107" s="13" t="inlineStr"/>
      <c r="E107" s="13" t="inlineStr">
        <is>
          <t>Иван</t>
        </is>
      </c>
      <c r="F107" s="13" t="inlineStr">
        <is>
          <t>FE</t>
        </is>
      </c>
      <c r="G107" s="13" t="inlineStr">
        <is>
          <t>да</t>
        </is>
      </c>
      <c r="H107" s="14">
        <f>IF(COUNTA(M107:AM107)=0,"",INDEX($M$1:$AM$1,AGGREGATE(15,6,(COLUMN($M$1:$AM$1)-COLUMN($M$1)+1)/(M107:AM107&lt;&gt;""),1)))</f>
        <v/>
      </c>
      <c r="I107" s="14">
        <f>IF(COUNTA(M107:AM107)=0,"",INDEX($M$1:$AM$1,AGGREGATE(14,6,(COLUMN($M$1:$AM$1)-COLUMN($M$1)+1)/(M107:AM107&lt;&gt;""),1))+MAX(0,IFERROR(LOOKUP(2,1/(M107:AM107&lt;&gt;""),M107:AM107),1)-1))</f>
        <v/>
      </c>
      <c r="J107" s="14">
        <f>IF(I107="","",WORKDAY(I107,1))</f>
        <v/>
      </c>
      <c r="K107" s="15">
        <f>IF(COUNTA(M107:AM107),SUM(M107:AM107),IF(AND(H107&lt;&gt;"",I107&lt;&gt;""),NETWORKDAYS(H107,I107),""))</f>
        <v/>
      </c>
      <c r="L107" s="13" t="inlineStr"/>
      <c r="M107" s="16" t="inlineStr"/>
      <c r="N107" s="16" t="inlineStr"/>
      <c r="O107" s="16" t="inlineStr"/>
      <c r="P107" s="16" t="inlineStr"/>
      <c r="Q107" s="16" t="inlineStr"/>
      <c r="R107" s="16" t="inlineStr"/>
      <c r="S107" s="16" t="inlineStr"/>
      <c r="T107" s="16" t="inlineStr"/>
      <c r="U107" s="16" t="inlineStr"/>
      <c r="V107" s="16" t="inlineStr"/>
      <c r="W107" s="16" t="inlineStr"/>
      <c r="X107" s="16" t="inlineStr"/>
      <c r="Y107" s="16" t="inlineStr"/>
      <c r="Z107" s="16" t="inlineStr"/>
      <c r="AA107" s="16" t="n">
        <v>5</v>
      </c>
      <c r="AB107" s="16" t="n">
        <v>5</v>
      </c>
      <c r="AC107" s="16" t="inlineStr"/>
      <c r="AD107" s="16" t="inlineStr"/>
      <c r="AE107" s="16" t="inlineStr"/>
      <c r="AF107" s="16" t="inlineStr"/>
      <c r="AG107" s="16" t="inlineStr"/>
      <c r="AH107" s="16" t="inlineStr"/>
      <c r="AI107" s="16" t="inlineStr"/>
      <c r="AJ107" s="16" t="inlineStr"/>
      <c r="AK107" s="16" t="inlineStr"/>
      <c r="AL107" s="16" t="inlineStr"/>
      <c r="AM107" s="16" t="inlineStr"/>
    </row>
    <row r="108">
      <c r="A108" s="13" t="inlineStr">
        <is>
          <t>ДГП</t>
        </is>
      </c>
      <c r="B108" s="13" t="inlineStr">
        <is>
          <t>ДГП целевая шаринг МегаСемья 2.0 - реализация шаринга в МегаСемье 2.0 для перехода на целевое решение</t>
        </is>
      </c>
      <c r="C108" s="13" t="inlineStr"/>
      <c r="D108" s="13" t="inlineStr"/>
      <c r="E108" s="13" t="inlineStr">
        <is>
          <t>Никита</t>
        </is>
      </c>
      <c r="F108" s="13" t="inlineStr">
        <is>
          <t>BE</t>
        </is>
      </c>
      <c r="G108" s="13" t="inlineStr"/>
      <c r="H108" s="14">
        <f>IF(COUNTA(M108:AM108)=0,"",INDEX($M$1:$AM$1,AGGREGATE(15,6,(COLUMN($M$1:$AM$1)-COLUMN($M$1)+1)/(M108:AM108&lt;&gt;""),1)))</f>
        <v/>
      </c>
      <c r="I108" s="14">
        <f>IF(COUNTA(M108:AM108)=0,"",INDEX($M$1:$AM$1,AGGREGATE(14,6,(COLUMN($M$1:$AM$1)-COLUMN($M$1)+1)/(M108:AM108&lt;&gt;""),1))+MAX(0,IFERROR(LOOKUP(2,1/(M108:AM108&lt;&gt;""),M108:AM108),1)-1))</f>
        <v/>
      </c>
      <c r="J108" s="14">
        <f>IF(I108="","",WORKDAY(I108,1))</f>
        <v/>
      </c>
      <c r="K108" s="15">
        <f>IF(COUNTA(M108:AM108),SUM(M108:AM108),IF(AND(H108&lt;&gt;"",I108&lt;&gt;""),NETWORKDAYS(H108,I108),""))</f>
        <v/>
      </c>
      <c r="L108" s="13" t="inlineStr"/>
      <c r="M108" s="16" t="inlineStr"/>
      <c r="N108" s="16" t="inlineStr"/>
      <c r="O108" s="16" t="inlineStr"/>
      <c r="P108" s="16" t="inlineStr"/>
      <c r="Q108" s="16" t="inlineStr"/>
      <c r="R108" s="16" t="inlineStr"/>
      <c r="S108" s="16" t="inlineStr"/>
      <c r="T108" s="16" t="inlineStr"/>
      <c r="U108" s="16" t="inlineStr"/>
      <c r="V108" s="16" t="inlineStr"/>
      <c r="W108" s="16" t="n">
        <v>5</v>
      </c>
      <c r="X108" s="16" t="n">
        <v>5</v>
      </c>
      <c r="Y108" s="16" t="n">
        <v>5</v>
      </c>
      <c r="Z108" s="16" t="n">
        <v>4</v>
      </c>
      <c r="AA108" s="16" t="n">
        <v>2</v>
      </c>
      <c r="AB108" s="16" t="n">
        <v>2</v>
      </c>
      <c r="AC108" s="16" t="n">
        <v>2</v>
      </c>
      <c r="AD108" s="16" t="inlineStr"/>
      <c r="AE108" s="16" t="inlineStr"/>
      <c r="AF108" s="16" t="inlineStr"/>
      <c r="AG108" s="16" t="inlineStr"/>
      <c r="AH108" s="16" t="inlineStr"/>
      <c r="AI108" s="16" t="inlineStr"/>
      <c r="AJ108" s="16" t="inlineStr"/>
      <c r="AK108" s="16" t="inlineStr"/>
      <c r="AL108" s="16" t="inlineStr"/>
      <c r="AM108" s="16" t="inlineStr"/>
    </row>
    <row r="109">
      <c r="A109" s="13" t="inlineStr">
        <is>
          <t>ДГП</t>
        </is>
      </c>
      <c r="B109" s="13" t="inlineStr">
        <is>
          <t>ДГП целевая шаринг МегаСемья 2.0 - реализация шаринга в МегаСемье 2.0 для перехода на целевое решение</t>
        </is>
      </c>
      <c r="C109" s="13" t="inlineStr"/>
      <c r="D109" s="13" t="inlineStr"/>
      <c r="E109" s="13" t="inlineStr">
        <is>
          <t>Никита</t>
        </is>
      </c>
      <c r="F109" s="13" t="inlineStr">
        <is>
          <t>BE</t>
        </is>
      </c>
      <c r="G109" s="13" t="inlineStr">
        <is>
          <t>да</t>
        </is>
      </c>
      <c r="H109" s="14">
        <f>IF(COUNTA(M109:AM109)=0,"",INDEX($M$1:$AM$1,AGGREGATE(15,6,(COLUMN($M$1:$AM$1)-COLUMN($M$1)+1)/(M109:AM109&lt;&gt;""),1)))</f>
        <v/>
      </c>
      <c r="I109" s="14">
        <f>IF(COUNTA(M109:AM109)=0,"",INDEX($M$1:$AM$1,AGGREGATE(14,6,(COLUMN($M$1:$AM$1)-COLUMN($M$1)+1)/(M109:AM109&lt;&gt;""),1))+MAX(0,IFERROR(LOOKUP(2,1/(M109:AM109&lt;&gt;""),M109:AM109),1)-1))</f>
        <v/>
      </c>
      <c r="J109" s="14">
        <f>IF(I109="","",WORKDAY(I109,1))</f>
        <v/>
      </c>
      <c r="K109" s="15">
        <f>IF(COUNTA(M109:AM109),SUM(M109:AM109),IF(AND(H109&lt;&gt;"",I109&lt;&gt;""),NETWORKDAYS(H109,I109),""))</f>
        <v/>
      </c>
      <c r="L109" s="13" t="inlineStr"/>
      <c r="M109" s="16" t="inlineStr"/>
      <c r="N109" s="16" t="inlineStr"/>
      <c r="O109" s="16" t="inlineStr"/>
      <c r="P109" s="16" t="inlineStr"/>
      <c r="Q109" s="16" t="inlineStr"/>
      <c r="R109" s="16" t="inlineStr"/>
      <c r="S109" s="16" t="inlineStr"/>
      <c r="T109" s="16" t="n">
        <v>5</v>
      </c>
      <c r="U109" s="16" t="n">
        <v>5</v>
      </c>
      <c r="V109" s="16" t="n">
        <v>5</v>
      </c>
      <c r="W109" s="16" t="inlineStr"/>
      <c r="X109" s="16" t="inlineStr"/>
      <c r="Y109" s="16" t="inlineStr"/>
      <c r="Z109" s="16" t="inlineStr"/>
      <c r="AA109" s="16" t="inlineStr"/>
      <c r="AB109" s="16" t="inlineStr"/>
      <c r="AC109" s="16" t="inlineStr"/>
      <c r="AD109" s="16" t="inlineStr"/>
      <c r="AE109" s="16" t="inlineStr"/>
      <c r="AF109" s="16" t="inlineStr"/>
      <c r="AG109" s="16" t="inlineStr"/>
      <c r="AH109" s="16" t="inlineStr"/>
      <c r="AI109" s="16" t="inlineStr"/>
      <c r="AJ109" s="16" t="inlineStr"/>
      <c r="AK109" s="16" t="inlineStr"/>
      <c r="AL109" s="16" t="inlineStr"/>
      <c r="AM109" s="16" t="inlineStr"/>
    </row>
    <row r="110">
      <c r="A110" s="13" t="inlineStr">
        <is>
          <t>ДГП</t>
        </is>
      </c>
      <c r="B110" s="13" t="inlineStr">
        <is>
          <t>ДГП целевая шаринг МегаСемья 2.0 - реализация шаринга в МегаСемье 2.0 для перехода на целевое решение</t>
        </is>
      </c>
      <c r="C110" s="13" t="inlineStr"/>
      <c r="D110" s="13" t="inlineStr"/>
      <c r="E110" s="13" t="inlineStr">
        <is>
          <t>Миша К</t>
        </is>
      </c>
      <c r="F110" s="13" t="inlineStr">
        <is>
          <t>QA</t>
        </is>
      </c>
      <c r="G110" s="13" t="inlineStr"/>
      <c r="H110" s="14">
        <f>IF(COUNTA(M110:AM110)=0,"",INDEX($M$1:$AM$1,AGGREGATE(15,6,(COLUMN($M$1:$AM$1)-COLUMN($M$1)+1)/(M110:AM110&lt;&gt;""),1)))</f>
        <v/>
      </c>
      <c r="I110" s="14">
        <f>IF(COUNTA(M110:AM110)=0,"",INDEX($M$1:$AM$1,AGGREGATE(14,6,(COLUMN($M$1:$AM$1)-COLUMN($M$1)+1)/(M110:AM110&lt;&gt;""),1))+MAX(0,IFERROR(LOOKUP(2,1/(M110:AM110&lt;&gt;""),M110:AM110),1)-1))</f>
        <v/>
      </c>
      <c r="J110" s="14">
        <f>IF(I110="","",WORKDAY(I110,1))</f>
        <v/>
      </c>
      <c r="K110" s="15">
        <f>IF(COUNTA(M110:AM110),SUM(M110:AM110),IF(AND(H110&lt;&gt;"",I110&lt;&gt;""),NETWORKDAYS(H110,I110),""))</f>
        <v/>
      </c>
      <c r="L110" s="13" t="inlineStr"/>
      <c r="M110" s="16" t="inlineStr"/>
      <c r="N110" s="16" t="inlineStr"/>
      <c r="O110" s="16" t="inlineStr"/>
      <c r="P110" s="16" t="inlineStr"/>
      <c r="Q110" s="16" t="inlineStr"/>
      <c r="R110" s="16" t="inlineStr"/>
      <c r="S110" s="16" t="inlineStr"/>
      <c r="T110" s="16" t="inlineStr"/>
      <c r="U110" s="16" t="inlineStr"/>
      <c r="V110" s="16" t="inlineStr"/>
      <c r="W110" s="16" t="inlineStr"/>
      <c r="X110" s="16" t="inlineStr"/>
      <c r="Y110" s="16" t="inlineStr"/>
      <c r="Z110" s="16" t="inlineStr"/>
      <c r="AA110" s="16" t="n">
        <v>4</v>
      </c>
      <c r="AB110" s="16" t="n">
        <v>4</v>
      </c>
      <c r="AC110" s="16" t="n">
        <v>5</v>
      </c>
      <c r="AD110" s="16" t="n">
        <v>5</v>
      </c>
      <c r="AE110" s="16" t="n">
        <v>4</v>
      </c>
      <c r="AF110" s="16" t="n">
        <v>5</v>
      </c>
      <c r="AG110" s="16" t="inlineStr"/>
      <c r="AH110" s="16" t="inlineStr"/>
      <c r="AI110" s="16" t="inlineStr"/>
      <c r="AJ110" s="16" t="inlineStr"/>
      <c r="AK110" s="16" t="inlineStr"/>
      <c r="AL110" s="16" t="inlineStr"/>
      <c r="AM110" s="16" t="inlineStr"/>
    </row>
    <row r="111">
      <c r="A111" s="13" t="inlineStr">
        <is>
          <t>ДГП</t>
        </is>
      </c>
      <c r="B111" s="13" t="inlineStr">
        <is>
          <t>ДГП целевая шаринг МегаСемья 2.0 - реализация шаринга в МегаСемье 2.0 для перехода на целевое решение</t>
        </is>
      </c>
      <c r="C111" s="13" t="inlineStr"/>
      <c r="D111" s="13" t="inlineStr"/>
      <c r="E111" s="13" t="inlineStr">
        <is>
          <t>Миша К</t>
        </is>
      </c>
      <c r="F111" s="13" t="inlineStr">
        <is>
          <t>QA</t>
        </is>
      </c>
      <c r="G111" s="13" t="inlineStr">
        <is>
          <t>да</t>
        </is>
      </c>
      <c r="H111" s="14">
        <f>IF(COUNTA(M111:AM111)=0,"",INDEX($M$1:$AM$1,AGGREGATE(15,6,(COLUMN($M$1:$AM$1)-COLUMN($M$1)+1)/(M111:AM111&lt;&gt;""),1)))</f>
        <v/>
      </c>
      <c r="I111" s="14">
        <f>IF(COUNTA(M111:AM111)=0,"",INDEX($M$1:$AM$1,AGGREGATE(14,6,(COLUMN($M$1:$AM$1)-COLUMN($M$1)+1)/(M111:AM111&lt;&gt;""),1))+MAX(0,IFERROR(LOOKUP(2,1/(M111:AM111&lt;&gt;""),M111:AM111),1)-1))</f>
        <v/>
      </c>
      <c r="J111" s="14">
        <f>IF(I111="","",WORKDAY(I111,1))</f>
        <v/>
      </c>
      <c r="K111" s="15">
        <f>IF(COUNTA(M111:AM111),SUM(M111:AM111),IF(AND(H111&lt;&gt;"",I111&lt;&gt;""),NETWORKDAYS(H111,I111),""))</f>
        <v/>
      </c>
      <c r="L111" s="13" t="inlineStr"/>
      <c r="M111" s="16" t="inlineStr"/>
      <c r="N111" s="16" t="inlineStr"/>
      <c r="O111" s="16" t="inlineStr"/>
      <c r="P111" s="16" t="inlineStr"/>
      <c r="Q111" s="16" t="inlineStr"/>
      <c r="R111" s="16" t="inlineStr"/>
      <c r="S111" s="16" t="inlineStr"/>
      <c r="T111" s="16" t="inlineStr"/>
      <c r="U111" s="16" t="inlineStr"/>
      <c r="V111" s="16" t="inlineStr"/>
      <c r="W111" s="16" t="inlineStr"/>
      <c r="X111" s="16" t="inlineStr"/>
      <c r="Y111" s="16" t="n">
        <v>5</v>
      </c>
      <c r="Z111" s="16" t="n">
        <v>5</v>
      </c>
      <c r="AA111" s="16" t="inlineStr"/>
      <c r="AB111" s="16" t="inlineStr"/>
      <c r="AC111" s="16" t="inlineStr"/>
      <c r="AD111" s="16" t="inlineStr"/>
      <c r="AE111" s="16" t="inlineStr"/>
      <c r="AF111" s="16" t="inlineStr"/>
      <c r="AG111" s="16" t="inlineStr"/>
      <c r="AH111" s="16" t="inlineStr"/>
      <c r="AI111" s="16" t="inlineStr"/>
      <c r="AJ111" s="16" t="inlineStr"/>
      <c r="AK111" s="16" t="inlineStr"/>
      <c r="AL111" s="16" t="inlineStr"/>
      <c r="AM111" s="16" t="inlineStr"/>
    </row>
    <row r="112">
      <c r="A112" s="13" t="inlineStr">
        <is>
          <t>ДГП</t>
        </is>
      </c>
      <c r="B112" s="13" t="inlineStr">
        <is>
          <t>ДГП целевая шаринг МегаСемья 2.0 - реализация шаринга в МегаСемье 2.0 для перехода на целевое решение</t>
        </is>
      </c>
      <c r="C112" s="13" t="inlineStr"/>
      <c r="D112" s="13" t="inlineStr"/>
      <c r="E112" s="13" t="inlineStr">
        <is>
          <t>Миша Б</t>
        </is>
      </c>
      <c r="F112" s="13" t="inlineStr">
        <is>
          <t>QA</t>
        </is>
      </c>
      <c r="G112" s="13" t="inlineStr"/>
      <c r="H112" s="14">
        <f>IF(COUNTA(M112:AM112)=0,"",INDEX($M$1:$AM$1,AGGREGATE(15,6,(COLUMN($M$1:$AM$1)-COLUMN($M$1)+1)/(M112:AM112&lt;&gt;""),1)))</f>
        <v/>
      </c>
      <c r="I112" s="14">
        <f>IF(COUNTA(M112:AM112)=0,"",INDEX($M$1:$AM$1,AGGREGATE(14,6,(COLUMN($M$1:$AM$1)-COLUMN($M$1)+1)/(M112:AM112&lt;&gt;""),1))+MAX(0,IFERROR(LOOKUP(2,1/(M112:AM112&lt;&gt;""),M112:AM112),1)-1))</f>
        <v/>
      </c>
      <c r="J112" s="14">
        <f>IF(I112="","",WORKDAY(I112,1))</f>
        <v/>
      </c>
      <c r="K112" s="15">
        <f>IF(COUNTA(M112:AM112),SUM(M112:AM112),IF(AND(H112&lt;&gt;"",I112&lt;&gt;""),NETWORKDAYS(H112,I112),""))</f>
        <v/>
      </c>
      <c r="L112" s="13" t="inlineStr"/>
      <c r="M112" s="16" t="inlineStr"/>
      <c r="N112" s="16" t="inlineStr"/>
      <c r="O112" s="16" t="inlineStr"/>
      <c r="P112" s="16" t="inlineStr"/>
      <c r="Q112" s="16" t="inlineStr"/>
      <c r="R112" s="16" t="inlineStr"/>
      <c r="S112" s="16" t="inlineStr"/>
      <c r="T112" s="16" t="inlineStr"/>
      <c r="U112" s="16" t="inlineStr"/>
      <c r="V112" s="16" t="inlineStr"/>
      <c r="W112" s="16" t="n">
        <v>5</v>
      </c>
      <c r="X112" s="16" t="n">
        <v>5</v>
      </c>
      <c r="Y112" s="16" t="n">
        <v>5</v>
      </c>
      <c r="Z112" s="16" t="n">
        <v>4</v>
      </c>
      <c r="AA112" s="16" t="n">
        <v>4</v>
      </c>
      <c r="AB112" s="16" t="n">
        <v>5</v>
      </c>
      <c r="AC112" s="16" t="n">
        <v>5</v>
      </c>
      <c r="AD112" s="16" t="n">
        <v>5</v>
      </c>
      <c r="AE112" s="16" t="inlineStr"/>
      <c r="AF112" s="16" t="n">
        <v>5</v>
      </c>
      <c r="AG112" s="16" t="inlineStr"/>
      <c r="AH112" s="16" t="inlineStr"/>
      <c r="AI112" s="16" t="inlineStr"/>
      <c r="AJ112" s="16" t="inlineStr"/>
      <c r="AK112" s="16" t="inlineStr"/>
      <c r="AL112" s="16" t="inlineStr"/>
      <c r="AM112" s="16" t="inlineStr"/>
    </row>
    <row r="113">
      <c r="A113" s="13" t="inlineStr">
        <is>
          <t>ДГП</t>
        </is>
      </c>
      <c r="B113" s="13" t="inlineStr">
        <is>
          <t>ДГП Проработка реализации "Плати за близких" в ССМ</t>
        </is>
      </c>
      <c r="C113" s="13" t="inlineStr"/>
      <c r="D113" s="13" t="inlineStr"/>
      <c r="E113" s="13" t="inlineStr">
        <is>
          <t>Настя</t>
        </is>
      </c>
      <c r="F113" s="13" t="inlineStr">
        <is>
          <t>Дизайн</t>
        </is>
      </c>
      <c r="G113" s="13" t="inlineStr"/>
      <c r="H113" s="14">
        <f>IF(COUNTA(M113:AM113)=0,"",INDEX($M$1:$AM$1,AGGREGATE(15,6,(COLUMN($M$1:$AM$1)-COLUMN($M$1)+1)/(M113:AM113&lt;&gt;""),1)))</f>
        <v/>
      </c>
      <c r="I113" s="14">
        <f>IF(COUNTA(M113:AM113)=0,"",INDEX($M$1:$AM$1,AGGREGATE(14,6,(COLUMN($M$1:$AM$1)-COLUMN($M$1)+1)/(M113:AM113&lt;&gt;""),1))+MAX(0,IFERROR(LOOKUP(2,1/(M113:AM113&lt;&gt;""),M113:AM113),1)-1))</f>
        <v/>
      </c>
      <c r="J113" s="14">
        <f>IF(I113="","",WORKDAY(I113,1))</f>
        <v/>
      </c>
      <c r="K113" s="15">
        <f>IF(COUNTA(M113:AM113),SUM(M113:AM113),IF(AND(H113&lt;&gt;"",I113&lt;&gt;""),NETWORKDAYS(H113,I113),""))</f>
        <v/>
      </c>
      <c r="L113" s="13" t="inlineStr"/>
      <c r="M113" s="16" t="inlineStr"/>
      <c r="N113" s="16" t="inlineStr"/>
      <c r="O113" s="16" t="inlineStr"/>
      <c r="P113" s="16" t="inlineStr"/>
      <c r="Q113" s="16" t="inlineStr"/>
      <c r="R113" s="16" t="inlineStr"/>
      <c r="S113" s="16" t="inlineStr"/>
      <c r="T113" s="16" t="inlineStr"/>
      <c r="U113" s="16" t="inlineStr"/>
      <c r="V113" s="16" t="n">
        <v>4</v>
      </c>
      <c r="W113" s="16" t="inlineStr"/>
      <c r="X113" s="16" t="inlineStr"/>
      <c r="Y113" s="16" t="inlineStr"/>
      <c r="Z113" s="16" t="inlineStr"/>
      <c r="AA113" s="16" t="inlineStr"/>
      <c r="AB113" s="16" t="inlineStr"/>
      <c r="AC113" s="16" t="inlineStr"/>
      <c r="AD113" s="16" t="inlineStr"/>
      <c r="AE113" s="16" t="inlineStr"/>
      <c r="AF113" s="16" t="inlineStr"/>
      <c r="AG113" s="16" t="inlineStr"/>
      <c r="AH113" s="16" t="inlineStr"/>
      <c r="AI113" s="16" t="inlineStr"/>
      <c r="AJ113" s="16" t="inlineStr"/>
      <c r="AK113" s="16" t="inlineStr"/>
      <c r="AL113" s="16" t="inlineStr"/>
      <c r="AM113" s="16" t="inlineStr"/>
    </row>
    <row r="114">
      <c r="A114" s="13" t="inlineStr">
        <is>
          <t>ДГП</t>
        </is>
      </c>
      <c r="B114" s="13" t="inlineStr">
        <is>
          <t>ДГП Проработка реализации "Плати за близких" в ССМ</t>
        </is>
      </c>
      <c r="C114" s="13" t="inlineStr"/>
      <c r="D114" s="13" t="inlineStr"/>
      <c r="E114" s="13" t="inlineStr">
        <is>
          <t>Андрей</t>
        </is>
      </c>
      <c r="F114" s="13" t="inlineStr">
        <is>
          <t>SA</t>
        </is>
      </c>
      <c r="G114" s="13" t="inlineStr"/>
      <c r="H114" s="14">
        <f>IF(COUNTA(M114:AM114)=0,"",INDEX($M$1:$AM$1,AGGREGATE(15,6,(COLUMN($M$1:$AM$1)-COLUMN($M$1)+1)/(M114:AM114&lt;&gt;""),1)))</f>
        <v/>
      </c>
      <c r="I114" s="14">
        <f>IF(COUNTA(M114:AM114)=0,"",INDEX($M$1:$AM$1,AGGREGATE(14,6,(COLUMN($M$1:$AM$1)-COLUMN($M$1)+1)/(M114:AM114&lt;&gt;""),1))+MAX(0,IFERROR(LOOKUP(2,1/(M114:AM114&lt;&gt;""),M114:AM114),1)-1))</f>
        <v/>
      </c>
      <c r="J114" s="14">
        <f>IF(I114="","",WORKDAY(I114,1))</f>
        <v/>
      </c>
      <c r="K114" s="15">
        <f>IF(COUNTA(M114:AM114),SUM(M114:AM114),IF(AND(H114&lt;&gt;"",I114&lt;&gt;""),NETWORKDAYS(H114,I114),""))</f>
        <v/>
      </c>
      <c r="L114" s="13" t="inlineStr"/>
      <c r="M114" s="16" t="inlineStr"/>
      <c r="N114" s="16" t="inlineStr"/>
      <c r="O114" s="16" t="inlineStr"/>
      <c r="P114" s="16" t="inlineStr"/>
      <c r="Q114" s="16" t="inlineStr"/>
      <c r="R114" s="16" t="inlineStr"/>
      <c r="S114" s="16" t="inlineStr"/>
      <c r="T114" s="16" t="n">
        <v>5</v>
      </c>
      <c r="U114" s="16" t="n">
        <v>5</v>
      </c>
      <c r="V114" s="16" t="inlineStr"/>
      <c r="W114" s="16" t="inlineStr"/>
      <c r="X114" s="16" t="inlineStr"/>
      <c r="Y114" s="16" t="n">
        <v>5</v>
      </c>
      <c r="Z114" s="16" t="n">
        <v>4</v>
      </c>
      <c r="AA114" s="16" t="n">
        <v>5</v>
      </c>
      <c r="AB114" s="16" t="inlineStr"/>
      <c r="AC114" s="16" t="inlineStr"/>
      <c r="AD114" s="16" t="inlineStr"/>
      <c r="AE114" s="16" t="inlineStr"/>
      <c r="AF114" s="16" t="n">
        <v>3</v>
      </c>
      <c r="AG114" s="16" t="n">
        <v>3</v>
      </c>
      <c r="AH114" s="16" t="n">
        <v>3</v>
      </c>
      <c r="AI114" s="16" t="inlineStr"/>
      <c r="AJ114" s="16" t="inlineStr"/>
      <c r="AK114" s="16" t="inlineStr"/>
      <c r="AL114" s="16" t="inlineStr"/>
      <c r="AM114" s="16" t="inlineStr"/>
    </row>
    <row r="115">
      <c r="A115" s="13" t="inlineStr">
        <is>
          <t>ДГП</t>
        </is>
      </c>
      <c r="B115" s="13" t="inlineStr">
        <is>
          <t>ДГП Проработка реализации "Плати за близких" в ССМ</t>
        </is>
      </c>
      <c r="C115" s="13" t="inlineStr"/>
      <c r="D115" s="13" t="inlineStr"/>
      <c r="E115" s="13" t="inlineStr">
        <is>
          <t>Иван</t>
        </is>
      </c>
      <c r="F115" s="13" t="inlineStr">
        <is>
          <t>FE</t>
        </is>
      </c>
      <c r="G115" s="13" t="inlineStr"/>
      <c r="H115" s="14">
        <f>IF(COUNTA(M115:AM115)=0,"",INDEX($M$1:$AM$1,AGGREGATE(15,6,(COLUMN($M$1:$AM$1)-COLUMN($M$1)+1)/(M115:AM115&lt;&gt;""),1)))</f>
        <v/>
      </c>
      <c r="I115" s="14">
        <f>IF(COUNTA(M115:AM115)=0,"",INDEX($M$1:$AM$1,AGGREGATE(14,6,(COLUMN($M$1:$AM$1)-COLUMN($M$1)+1)/(M115:AM115&lt;&gt;""),1))+MAX(0,IFERROR(LOOKUP(2,1/(M115:AM115&lt;&gt;""),M115:AM115),1)-1))</f>
        <v/>
      </c>
      <c r="J115" s="14">
        <f>IF(I115="","",WORKDAY(I115,1))</f>
        <v/>
      </c>
      <c r="K115" s="15">
        <f>IF(COUNTA(M115:AM115),SUM(M115:AM115),IF(AND(H115&lt;&gt;"",I115&lt;&gt;""),NETWORKDAYS(H115,I115),""))</f>
        <v/>
      </c>
      <c r="L115" s="13" t="inlineStr"/>
      <c r="M115" s="16" t="inlineStr"/>
      <c r="N115" s="16" t="inlineStr"/>
      <c r="O115" s="16" t="inlineStr"/>
      <c r="P115" s="16" t="inlineStr"/>
      <c r="Q115" s="16" t="inlineStr"/>
      <c r="R115" s="16" t="inlineStr"/>
      <c r="S115" s="16" t="inlineStr"/>
      <c r="T115" s="16" t="inlineStr"/>
      <c r="U115" s="16" t="inlineStr"/>
      <c r="V115" s="16" t="inlineStr"/>
      <c r="W115" s="16" t="inlineStr"/>
      <c r="X115" s="16" t="inlineStr"/>
      <c r="Y115" s="16" t="inlineStr"/>
      <c r="Z115" s="16" t="inlineStr"/>
      <c r="AA115" s="16" t="inlineStr"/>
      <c r="AB115" s="16" t="inlineStr"/>
      <c r="AC115" s="16" t="inlineStr"/>
      <c r="AD115" s="16" t="inlineStr"/>
      <c r="AE115" s="16" t="n">
        <v>4</v>
      </c>
      <c r="AF115" s="16" t="n">
        <v>5</v>
      </c>
      <c r="AG115" s="16" t="n">
        <v>5</v>
      </c>
      <c r="AH115" s="16" t="inlineStr"/>
      <c r="AI115" s="16" t="inlineStr"/>
      <c r="AJ115" s="16" t="inlineStr"/>
      <c r="AK115" s="16" t="inlineStr"/>
      <c r="AL115" s="16" t="inlineStr"/>
      <c r="AM115" s="16" t="inlineStr"/>
    </row>
    <row r="116">
      <c r="A116" s="13" t="inlineStr">
        <is>
          <t>ДГП</t>
        </is>
      </c>
      <c r="B116" s="13" t="inlineStr">
        <is>
          <t>ДГП Проработка реализации "Плати за близких" в ССМ</t>
        </is>
      </c>
      <c r="C116" s="13" t="inlineStr"/>
      <c r="D116" s="13" t="inlineStr"/>
      <c r="E116" s="13" t="inlineStr">
        <is>
          <t>Вова</t>
        </is>
      </c>
      <c r="F116" s="13" t="inlineStr">
        <is>
          <t>BE</t>
        </is>
      </c>
      <c r="G116" s="13" t="inlineStr"/>
      <c r="H116" s="14">
        <f>IF(COUNTA(M116:AM116)=0,"",INDEX($M$1:$AM$1,AGGREGATE(15,6,(COLUMN($M$1:$AM$1)-COLUMN($M$1)+1)/(M116:AM116&lt;&gt;""),1)))</f>
        <v/>
      </c>
      <c r="I116" s="14">
        <f>IF(COUNTA(M116:AM116)=0,"",INDEX($M$1:$AM$1,AGGREGATE(14,6,(COLUMN($M$1:$AM$1)-COLUMN($M$1)+1)/(M116:AM116&lt;&gt;""),1))+MAX(0,IFERROR(LOOKUP(2,1/(M116:AM116&lt;&gt;""),M116:AM116),1)-1))</f>
        <v/>
      </c>
      <c r="J116" s="14">
        <f>IF(I116="","",WORKDAY(I116,1))</f>
        <v/>
      </c>
      <c r="K116" s="15">
        <f>IF(COUNTA(M116:AM116),SUM(M116:AM116),IF(AND(H116&lt;&gt;"",I116&lt;&gt;""),NETWORKDAYS(H116,I116),""))</f>
        <v/>
      </c>
      <c r="L116" s="13" t="inlineStr"/>
      <c r="M116" s="16" t="inlineStr"/>
      <c r="N116" s="16" t="inlineStr"/>
      <c r="O116" s="16" t="inlineStr"/>
      <c r="P116" s="16" t="inlineStr"/>
      <c r="Q116" s="16" t="inlineStr"/>
      <c r="R116" s="16" t="inlineStr"/>
      <c r="S116" s="16" t="inlineStr"/>
      <c r="T116" s="16" t="inlineStr"/>
      <c r="U116" s="16" t="inlineStr"/>
      <c r="V116" s="16" t="inlineStr"/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/>
      <c r="AD116" s="16" t="n">
        <v>3</v>
      </c>
      <c r="AE116" s="16" t="n">
        <v>4</v>
      </c>
      <c r="AF116" s="16" t="n">
        <v>5</v>
      </c>
      <c r="AG116" s="16" t="inlineStr"/>
      <c r="AH116" s="16" t="inlineStr"/>
      <c r="AI116" s="16" t="inlineStr"/>
      <c r="AJ116" s="16" t="inlineStr"/>
      <c r="AK116" s="16" t="n">
        <v>5</v>
      </c>
      <c r="AL116" s="16" t="n">
        <v>5</v>
      </c>
      <c r="AM116" s="16" t="inlineStr"/>
    </row>
    <row r="117">
      <c r="A117" s="13" t="inlineStr">
        <is>
          <t>ДГП</t>
        </is>
      </c>
      <c r="B117" s="13" t="inlineStr">
        <is>
          <t>ДГП Проработка реализации "Плати за близких" в ССМ</t>
        </is>
      </c>
      <c r="C117" s="13" t="inlineStr"/>
      <c r="D117" s="13" t="inlineStr"/>
      <c r="E117" s="13" t="inlineStr">
        <is>
          <t>Миша К</t>
        </is>
      </c>
      <c r="F117" s="13" t="inlineStr">
        <is>
          <t>QA</t>
        </is>
      </c>
      <c r="G117" s="13" t="inlineStr"/>
      <c r="H117" s="14">
        <f>IF(COUNTA(M117:AM117)=0,"",INDEX($M$1:$AM$1,AGGREGATE(15,6,(COLUMN($M$1:$AM$1)-COLUMN($M$1)+1)/(M117:AM117&lt;&gt;""),1)))</f>
        <v/>
      </c>
      <c r="I117" s="14">
        <f>IF(COUNTA(M117:AM117)=0,"",INDEX($M$1:$AM$1,AGGREGATE(14,6,(COLUMN($M$1:$AM$1)-COLUMN($M$1)+1)/(M117:AM117&lt;&gt;""),1))+MAX(0,IFERROR(LOOKUP(2,1/(M117:AM117&lt;&gt;""),M117:AM117),1)-1))</f>
        <v/>
      </c>
      <c r="J117" s="14">
        <f>IF(I117="","",WORKDAY(I117,1))</f>
        <v/>
      </c>
      <c r="K117" s="15">
        <f>IF(COUNTA(M117:AM117),SUM(M117:AM117),IF(AND(H117&lt;&gt;"",I117&lt;&gt;""),NETWORKDAYS(H117,I117),""))</f>
        <v/>
      </c>
      <c r="L117" s="13" t="inlineStr"/>
      <c r="M117" s="16" t="inlineStr"/>
      <c r="N117" s="16" t="inlineStr"/>
      <c r="O117" s="16" t="inlineStr"/>
      <c r="P117" s="16" t="inlineStr"/>
      <c r="Q117" s="16" t="inlineStr"/>
      <c r="R117" s="16" t="inlineStr"/>
      <c r="S117" s="16" t="inlineStr"/>
      <c r="T117" s="16" t="inlineStr"/>
      <c r="U117" s="16" t="inlineStr"/>
      <c r="V117" s="16" t="inlineStr"/>
      <c r="W117" s="16" t="inlineStr"/>
      <c r="X117" s="16" t="inlineStr"/>
      <c r="Y117" s="16" t="inlineStr"/>
      <c r="Z117" s="16" t="inlineStr"/>
      <c r="AA117" s="16" t="inlineStr"/>
      <c r="AB117" s="16" t="inlineStr"/>
      <c r="AC117" s="16" t="inlineStr"/>
      <c r="AD117" s="16" t="inlineStr"/>
      <c r="AE117" s="16" t="inlineStr"/>
      <c r="AF117" s="16" t="inlineStr"/>
      <c r="AG117" s="16" t="n">
        <v>5</v>
      </c>
      <c r="AH117" s="16" t="n">
        <v>5</v>
      </c>
      <c r="AI117" s="16" t="n">
        <v>4</v>
      </c>
      <c r="AJ117" s="16" t="inlineStr"/>
      <c r="AK117" s="16" t="inlineStr"/>
      <c r="AL117" s="16" t="inlineStr"/>
      <c r="AM117" s="16" t="inlineStr"/>
    </row>
    <row r="118">
      <c r="A118" s="13" t="inlineStr">
        <is>
          <t>ДГП</t>
        </is>
      </c>
      <c r="B118" s="13" t="inlineStr">
        <is>
          <t>ДГП Проработка реализации "Плати за близких" в ССМ</t>
        </is>
      </c>
      <c r="C118" s="13" t="inlineStr"/>
      <c r="D118" s="13" t="inlineStr"/>
      <c r="E118" s="13" t="inlineStr">
        <is>
          <t>Миша К</t>
        </is>
      </c>
      <c r="F118" s="13" t="inlineStr">
        <is>
          <t>QA</t>
        </is>
      </c>
      <c r="G118" s="13" t="inlineStr">
        <is>
          <t>да</t>
        </is>
      </c>
      <c r="H118" s="14">
        <f>IF(COUNTA(M118:AM118)=0,"",INDEX($M$1:$AM$1,AGGREGATE(15,6,(COLUMN($M$1:$AM$1)-COLUMN($M$1)+1)/(M118:AM118&lt;&gt;""),1)))</f>
        <v/>
      </c>
      <c r="I118" s="14">
        <f>IF(COUNTA(M118:AM118)=0,"",INDEX($M$1:$AM$1,AGGREGATE(14,6,(COLUMN($M$1:$AM$1)-COLUMN($M$1)+1)/(M118:AM118&lt;&gt;""),1))+MAX(0,IFERROR(LOOKUP(2,1/(M118:AM118&lt;&gt;""),M118:AM118),1)-1))</f>
        <v/>
      </c>
      <c r="J118" s="14">
        <f>IF(I118="","",WORKDAY(I118,1))</f>
        <v/>
      </c>
      <c r="K118" s="15">
        <f>IF(COUNTA(M118:AM118),SUM(M118:AM118),IF(AND(H118&lt;&gt;"",I118&lt;&gt;""),NETWORKDAYS(H118,I118),""))</f>
        <v/>
      </c>
      <c r="L118" s="13" t="inlineStr"/>
      <c r="M118" s="16" t="inlineStr"/>
      <c r="N118" s="16" t="inlineStr"/>
      <c r="O118" s="16" t="inlineStr"/>
      <c r="P118" s="16" t="inlineStr"/>
      <c r="Q118" s="16" t="inlineStr"/>
      <c r="R118" s="16" t="inlineStr"/>
      <c r="S118" s="16" t="inlineStr"/>
      <c r="T118" s="16" t="inlineStr"/>
      <c r="U118" s="16" t="inlineStr"/>
      <c r="V118" s="16" t="inlineStr"/>
      <c r="W118" s="16" t="inlineStr"/>
      <c r="X118" s="16" t="inlineStr"/>
      <c r="Y118" s="16" t="n">
        <v>5</v>
      </c>
      <c r="Z118" s="16" t="n">
        <v>5</v>
      </c>
      <c r="AA118" s="16" t="inlineStr"/>
      <c r="AB118" s="16" t="inlineStr"/>
      <c r="AC118" s="16" t="inlineStr"/>
      <c r="AD118" s="16" t="inlineStr"/>
      <c r="AE118" s="16" t="inlineStr"/>
      <c r="AF118" s="16" t="inlineStr"/>
      <c r="AG118" s="16" t="inlineStr"/>
      <c r="AH118" s="16" t="inlineStr"/>
      <c r="AI118" s="16" t="inlineStr"/>
      <c r="AJ118" s="16" t="inlineStr"/>
      <c r="AK118" s="16" t="inlineStr"/>
      <c r="AL118" s="16" t="inlineStr"/>
      <c r="AM118" s="16" t="inlineStr"/>
    </row>
    <row r="119">
      <c r="A119" s="13" t="inlineStr">
        <is>
          <t>ДГП</t>
        </is>
      </c>
      <c r="B119" s="13" t="inlineStr">
        <is>
          <t>ДГП Проработка реализации "Плати за близких" в ССМ</t>
        </is>
      </c>
      <c r="C119" s="13" t="inlineStr"/>
      <c r="D119" s="13" t="inlineStr"/>
      <c r="E119" s="13" t="inlineStr">
        <is>
          <t>Миша Б</t>
        </is>
      </c>
      <c r="F119" s="13" t="inlineStr">
        <is>
          <t>QA</t>
        </is>
      </c>
      <c r="G119" s="13" t="inlineStr"/>
      <c r="H119" s="14">
        <f>IF(COUNTA(M119:AM119)=0,"",INDEX($M$1:$AM$1,AGGREGATE(15,6,(COLUMN($M$1:$AM$1)-COLUMN($M$1)+1)/(M119:AM119&lt;&gt;""),1)))</f>
        <v/>
      </c>
      <c r="I119" s="14">
        <f>IF(COUNTA(M119:AM119)=0,"",INDEX($M$1:$AM$1,AGGREGATE(14,6,(COLUMN($M$1:$AM$1)-COLUMN($M$1)+1)/(M119:AM119&lt;&gt;""),1))+MAX(0,IFERROR(LOOKUP(2,1/(M119:AM119&lt;&gt;""),M119:AM119),1)-1))</f>
        <v/>
      </c>
      <c r="J119" s="14">
        <f>IF(I119="","",WORKDAY(I119,1))</f>
        <v/>
      </c>
      <c r="K119" s="15">
        <f>IF(COUNTA(M119:AM119),SUM(M119:AM119),IF(AND(H119&lt;&gt;"",I119&lt;&gt;""),NETWORKDAYS(H119,I119),""))</f>
        <v/>
      </c>
      <c r="L119" s="13" t="inlineStr"/>
      <c r="M119" s="16" t="inlineStr"/>
      <c r="N119" s="16" t="inlineStr"/>
      <c r="O119" s="16" t="inlineStr"/>
      <c r="P119" s="16" t="inlineStr"/>
      <c r="Q119" s="16" t="inlineStr"/>
      <c r="R119" s="16" t="inlineStr"/>
      <c r="S119" s="16" t="inlineStr"/>
      <c r="T119" s="16" t="inlineStr"/>
      <c r="U119" s="16" t="inlineStr"/>
      <c r="V119" s="16" t="inlineStr"/>
      <c r="W119" s="16" t="inlineStr"/>
      <c r="X119" s="16" t="inlineStr"/>
      <c r="Y119" s="16" t="inlineStr"/>
      <c r="Z119" s="16" t="inlineStr"/>
      <c r="AA119" s="16" t="inlineStr"/>
      <c r="AB119" s="16" t="inlineStr"/>
      <c r="AC119" s="16" t="inlineStr"/>
      <c r="AD119" s="16" t="inlineStr"/>
      <c r="AE119" s="16" t="inlineStr"/>
      <c r="AF119" s="16" t="inlineStr"/>
      <c r="AG119" s="16" t="n">
        <v>5</v>
      </c>
      <c r="AH119" s="16" t="n">
        <v>5</v>
      </c>
      <c r="AI119" s="16" t="n">
        <v>4</v>
      </c>
      <c r="AJ119" s="16" t="inlineStr"/>
      <c r="AK119" s="16" t="inlineStr"/>
      <c r="AL119" s="16" t="inlineStr"/>
      <c r="AM119" s="16" t="inlineStr"/>
    </row>
    <row r="120">
      <c r="A120" s="13" t="inlineStr">
        <is>
          <t>ДГП</t>
        </is>
      </c>
      <c r="B120" s="13" t="inlineStr">
        <is>
          <t>[B2CPROD-1390] [Discovery] Любимые номера в МегаСемье 2.0 - MegaFon JIRA</t>
        </is>
      </c>
      <c r="C120" s="13" t="inlineStr">
        <is>
          <t>B2CPROD-1390</t>
        </is>
      </c>
      <c r="D120" s="13" t="inlineStr"/>
      <c r="E120" s="13" t="inlineStr">
        <is>
          <t>Настя</t>
        </is>
      </c>
      <c r="F120" s="13" t="inlineStr">
        <is>
          <t>Дизайн</t>
        </is>
      </c>
      <c r="G120" s="13" t="inlineStr"/>
      <c r="H120" s="14">
        <f>IF(COUNTA(M120:AM120)=0,"",INDEX($M$1:$AM$1,AGGREGATE(15,6,(COLUMN($M$1:$AM$1)-COLUMN($M$1)+1)/(M120:AM120&lt;&gt;""),1)))</f>
        <v/>
      </c>
      <c r="I120" s="14">
        <f>IF(COUNTA(M120:AM120)=0,"",INDEX($M$1:$AM$1,AGGREGATE(14,6,(COLUMN($M$1:$AM$1)-COLUMN($M$1)+1)/(M120:AM120&lt;&gt;""),1))+MAX(0,IFERROR(LOOKUP(2,1/(M120:AM120&lt;&gt;""),M120:AM120),1)-1))</f>
        <v/>
      </c>
      <c r="J120" s="14">
        <f>IF(I120="","",WORKDAY(I120,1))</f>
        <v/>
      </c>
      <c r="K120" s="15">
        <f>IF(COUNTA(M120:AM120),SUM(M120:AM120),IF(AND(H120&lt;&gt;"",I120&lt;&gt;""),NETWORKDAYS(H120,I120),""))</f>
        <v/>
      </c>
      <c r="L120" s="13" t="inlineStr"/>
      <c r="M120" s="16" t="inlineStr"/>
      <c r="N120" s="16" t="inlineStr"/>
      <c r="O120" s="16" t="inlineStr"/>
      <c r="P120" s="16" t="inlineStr"/>
      <c r="Q120" s="16" t="inlineStr"/>
      <c r="R120" s="16" t="inlineStr"/>
      <c r="S120" s="16" t="inlineStr"/>
      <c r="T120" s="16" t="inlineStr"/>
      <c r="U120" s="16" t="inlineStr"/>
      <c r="V120" s="16" t="inlineStr"/>
      <c r="W120" s="16" t="n">
        <v>5</v>
      </c>
      <c r="X120" s="16" t="n">
        <v>5</v>
      </c>
      <c r="Y120" s="16" t="n">
        <v>5</v>
      </c>
      <c r="Z120" s="16" t="inlineStr"/>
      <c r="AA120" s="16" t="inlineStr"/>
      <c r="AB120" s="16" t="inlineStr"/>
      <c r="AC120" s="16" t="inlineStr"/>
      <c r="AD120" s="16" t="inlineStr"/>
      <c r="AE120" s="16" t="inlineStr"/>
      <c r="AF120" s="16" t="inlineStr"/>
      <c r="AG120" s="16" t="inlineStr"/>
      <c r="AH120" s="16" t="inlineStr"/>
      <c r="AI120" s="16" t="inlineStr"/>
      <c r="AJ120" s="16" t="inlineStr"/>
      <c r="AK120" s="16" t="inlineStr"/>
      <c r="AL120" s="16" t="inlineStr"/>
      <c r="AM120" s="16" t="inlineStr"/>
    </row>
    <row r="121">
      <c r="A121" s="13" t="inlineStr">
        <is>
          <t>ДГП</t>
        </is>
      </c>
      <c r="B121" s="13" t="inlineStr">
        <is>
          <t>[B2CPROD-1390] [Discovery] Любимые номера в МегаСемье 2.0 - MegaFon JIRA</t>
        </is>
      </c>
      <c r="C121" s="13" t="inlineStr">
        <is>
          <t>B2CPROD-1390</t>
        </is>
      </c>
      <c r="D121" s="13" t="inlineStr"/>
      <c r="E121" s="13" t="inlineStr">
        <is>
          <t>Андрей</t>
        </is>
      </c>
      <c r="F121" s="13" t="inlineStr">
        <is>
          <t>SA</t>
        </is>
      </c>
      <c r="G121" s="13" t="inlineStr"/>
      <c r="H121" s="14">
        <f>IF(COUNTA(M121:AM121)=0,"",INDEX($M$1:$AM$1,AGGREGATE(15,6,(COLUMN($M$1:$AM$1)-COLUMN($M$1)+1)/(M121:AM121&lt;&gt;""),1)))</f>
        <v/>
      </c>
      <c r="I121" s="14">
        <f>IF(COUNTA(M121:AM121)=0,"",INDEX($M$1:$AM$1,AGGREGATE(14,6,(COLUMN($M$1:$AM$1)-COLUMN($M$1)+1)/(M121:AM121&lt;&gt;""),1))+MAX(0,IFERROR(LOOKUP(2,1/(M121:AM121&lt;&gt;""),M121:AM121),1)-1))</f>
        <v/>
      </c>
      <c r="J121" s="14">
        <f>IF(I121="","",WORKDAY(I121,1))</f>
        <v/>
      </c>
      <c r="K121" s="15">
        <f>IF(COUNTA(M121:AM121),SUM(M121:AM121),IF(AND(H121&lt;&gt;"",I121&lt;&gt;""),NETWORKDAYS(H121,I121),""))</f>
        <v/>
      </c>
      <c r="L121" s="13" t="inlineStr"/>
      <c r="M121" s="16" t="inlineStr"/>
      <c r="N121" s="16" t="inlineStr"/>
      <c r="O121" s="16" t="inlineStr"/>
      <c r="P121" s="16" t="inlineStr"/>
      <c r="Q121" s="16" t="inlineStr"/>
      <c r="R121" s="16" t="inlineStr"/>
      <c r="S121" s="16" t="inlineStr"/>
      <c r="T121" s="16" t="inlineStr"/>
      <c r="U121" s="16" t="inlineStr"/>
      <c r="V121" s="16" t="inlineStr"/>
      <c r="W121" s="16" t="inlineStr"/>
      <c r="X121" s="16" t="n">
        <v>5</v>
      </c>
      <c r="Y121" s="16" t="n">
        <v>5</v>
      </c>
      <c r="Z121" s="16" t="inlineStr"/>
      <c r="AA121" s="16" t="inlineStr"/>
      <c r="AB121" s="16" t="inlineStr"/>
      <c r="AC121" s="16" t="inlineStr"/>
      <c r="AD121" s="16" t="inlineStr"/>
      <c r="AE121" s="16" t="inlineStr"/>
      <c r="AF121" s="16" t="inlineStr"/>
      <c r="AG121" s="16" t="inlineStr"/>
      <c r="AH121" s="16" t="inlineStr"/>
      <c r="AI121" s="16" t="inlineStr"/>
      <c r="AJ121" s="16" t="inlineStr"/>
      <c r="AK121" s="16" t="inlineStr"/>
      <c r="AL121" s="16" t="inlineStr"/>
      <c r="AM121" s="16" t="inlineStr"/>
    </row>
    <row r="122">
      <c r="A122" s="13" t="inlineStr">
        <is>
          <t>ДГП</t>
        </is>
      </c>
      <c r="B122" s="13" t="inlineStr">
        <is>
          <t>Срок действия скидки участникам МС</t>
        </is>
      </c>
      <c r="C122" s="13" t="inlineStr"/>
      <c r="D122" s="13" t="inlineStr"/>
      <c r="E122" s="13" t="inlineStr">
        <is>
          <t>Настя</t>
        </is>
      </c>
      <c r="F122" s="13" t="inlineStr">
        <is>
          <t>Дизайн</t>
        </is>
      </c>
      <c r="G122" s="13" t="inlineStr"/>
      <c r="H122" s="14">
        <f>IF(COUNTA(M122:AM122)=0,"",INDEX($M$1:$AM$1,AGGREGATE(15,6,(COLUMN($M$1:$AM$1)-COLUMN($M$1)+1)/(M122:AM122&lt;&gt;""),1)))</f>
        <v/>
      </c>
      <c r="I122" s="14">
        <f>IF(COUNTA(M122:AM122)=0,"",INDEX($M$1:$AM$1,AGGREGATE(14,6,(COLUMN($M$1:$AM$1)-COLUMN($M$1)+1)/(M122:AM122&lt;&gt;""),1))+MAX(0,IFERROR(LOOKUP(2,1/(M122:AM122&lt;&gt;""),M122:AM122),1)-1))</f>
        <v/>
      </c>
      <c r="J122" s="14">
        <f>IF(I122="","",WORKDAY(I122,1))</f>
        <v/>
      </c>
      <c r="K122" s="15">
        <f>IF(COUNTA(M122:AM122),SUM(M122:AM122),IF(AND(H122&lt;&gt;"",I122&lt;&gt;""),NETWORKDAYS(H122,I122),""))</f>
        <v/>
      </c>
      <c r="L122" s="13" t="inlineStr"/>
      <c r="M122" s="16" t="inlineStr"/>
      <c r="N122" s="16" t="inlineStr"/>
      <c r="O122" s="16" t="inlineStr"/>
      <c r="P122" s="16" t="inlineStr"/>
      <c r="Q122" s="16" t="inlineStr"/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6" t="inlineStr"/>
      <c r="AC122" s="16" t="n">
        <v>2</v>
      </c>
      <c r="AD122" s="16" t="inlineStr"/>
      <c r="AE122" s="16" t="inlineStr"/>
      <c r="AF122" s="16" t="inlineStr"/>
      <c r="AG122" s="16" t="inlineStr"/>
      <c r="AH122" s="16" t="inlineStr"/>
      <c r="AI122" s="16" t="inlineStr"/>
      <c r="AJ122" s="16" t="inlineStr"/>
      <c r="AK122" s="16" t="inlineStr"/>
      <c r="AL122" s="16" t="inlineStr"/>
      <c r="AM122" s="16" t="inlineStr"/>
    </row>
    <row r="123">
      <c r="A123" s="13" t="inlineStr">
        <is>
          <t>ДГП</t>
        </is>
      </c>
      <c r="B123" s="13" t="inlineStr">
        <is>
          <t>Срок действия скидки участникам МС</t>
        </is>
      </c>
      <c r="C123" s="13" t="inlineStr"/>
      <c r="D123" s="13" t="inlineStr"/>
      <c r="E123" s="13" t="inlineStr">
        <is>
          <t>Гоголюк Георгий</t>
        </is>
      </c>
      <c r="F123" s="13" t="inlineStr">
        <is>
          <t>SA</t>
        </is>
      </c>
      <c r="G123" s="13" t="inlineStr"/>
      <c r="H123" s="14">
        <f>IF(COUNTA(M123:AM123)=0,"",INDEX($M$1:$AM$1,AGGREGATE(15,6,(COLUMN($M$1:$AM$1)-COLUMN($M$1)+1)/(M123:AM123&lt;&gt;""),1)))</f>
        <v/>
      </c>
      <c r="I123" s="14">
        <f>IF(COUNTA(M123:AM123)=0,"",INDEX($M$1:$AM$1,AGGREGATE(14,6,(COLUMN($M$1:$AM$1)-COLUMN($M$1)+1)/(M123:AM123&lt;&gt;""),1))+MAX(0,IFERROR(LOOKUP(2,1/(M123:AM123&lt;&gt;""),M123:AM123),1)-1))</f>
        <v/>
      </c>
      <c r="J123" s="14">
        <f>IF(I123="","",WORKDAY(I123,1))</f>
        <v/>
      </c>
      <c r="K123" s="15">
        <f>IF(COUNTA(M123:AM123),SUM(M123:AM123),IF(AND(H123&lt;&gt;"",I123&lt;&gt;""),NETWORKDAYS(H123,I123),""))</f>
        <v/>
      </c>
      <c r="L123" s="13" t="inlineStr"/>
      <c r="M123" s="16" t="inlineStr"/>
      <c r="N123" s="16" t="inlineStr"/>
      <c r="O123" s="16" t="inlineStr"/>
      <c r="P123" s="16" t="inlineStr"/>
      <c r="Q123" s="16" t="inlineStr"/>
      <c r="R123" s="16" t="inlineStr"/>
      <c r="S123" s="16" t="inlineStr"/>
      <c r="T123" s="16" t="inlineStr"/>
      <c r="U123" s="16" t="inlineStr"/>
      <c r="V123" s="16" t="inlineStr"/>
      <c r="W123" s="16" t="inlineStr"/>
      <c r="X123" s="16" t="inlineStr"/>
      <c r="Y123" s="16" t="inlineStr"/>
      <c r="Z123" s="16" t="inlineStr"/>
      <c r="AA123" s="16" t="inlineStr"/>
      <c r="AB123" s="16" t="inlineStr"/>
      <c r="AC123" s="16" t="n">
        <v>2</v>
      </c>
      <c r="AD123" s="16" t="inlineStr"/>
      <c r="AE123" s="16" t="inlineStr"/>
      <c r="AF123" s="16" t="inlineStr"/>
      <c r="AG123" s="16" t="inlineStr"/>
      <c r="AH123" s="16" t="inlineStr"/>
      <c r="AI123" s="16" t="inlineStr"/>
      <c r="AJ123" s="16" t="inlineStr"/>
      <c r="AK123" s="16" t="inlineStr"/>
      <c r="AL123" s="16" t="inlineStr"/>
      <c r="AM123" s="16" t="inlineStr"/>
    </row>
    <row r="124">
      <c r="A124" s="13" t="inlineStr">
        <is>
          <t>ДГП</t>
        </is>
      </c>
      <c r="B124" s="13" t="inlineStr">
        <is>
          <t>Срок действия скидки участникам МС</t>
        </is>
      </c>
      <c r="C124" s="13" t="inlineStr"/>
      <c r="D124" s="13" t="inlineStr"/>
      <c r="E124" s="13" t="inlineStr">
        <is>
          <t>Иван</t>
        </is>
      </c>
      <c r="F124" s="13" t="inlineStr">
        <is>
          <t>FE</t>
        </is>
      </c>
      <c r="G124" s="13" t="inlineStr"/>
      <c r="H124" s="14">
        <f>IF(COUNTA(M124:AM124)=0,"",INDEX($M$1:$AM$1,AGGREGATE(15,6,(COLUMN($M$1:$AM$1)-COLUMN($M$1)+1)/(M124:AM124&lt;&gt;""),1)))</f>
        <v/>
      </c>
      <c r="I124" s="14">
        <f>IF(COUNTA(M124:AM124)=0,"",INDEX($M$1:$AM$1,AGGREGATE(14,6,(COLUMN($M$1:$AM$1)-COLUMN($M$1)+1)/(M124:AM124&lt;&gt;""),1))+MAX(0,IFERROR(LOOKUP(2,1/(M124:AM124&lt;&gt;""),M124:AM124),1)-1))</f>
        <v/>
      </c>
      <c r="J124" s="14">
        <f>IF(I124="","",WORKDAY(I124,1))</f>
        <v/>
      </c>
      <c r="K124" s="15">
        <f>IF(COUNTA(M124:AM124),SUM(M124:AM124),IF(AND(H124&lt;&gt;"",I124&lt;&gt;""),NETWORKDAYS(H124,I124),""))</f>
        <v/>
      </c>
      <c r="L124" s="13" t="inlineStr"/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inlineStr"/>
      <c r="V124" s="16" t="inlineStr"/>
      <c r="W124" s="16" t="inlineStr"/>
      <c r="X124" s="16" t="inlineStr"/>
      <c r="Y124" s="16" t="inlineStr"/>
      <c r="Z124" s="16" t="inlineStr"/>
      <c r="AA124" s="16" t="inlineStr"/>
      <c r="AB124" s="16" t="inlineStr"/>
      <c r="AC124" s="16" t="n">
        <v>1</v>
      </c>
      <c r="AD124" s="16" t="inlineStr"/>
      <c r="AE124" s="16" t="inlineStr"/>
      <c r="AF124" s="16" t="inlineStr"/>
      <c r="AG124" s="16" t="inlineStr"/>
      <c r="AH124" s="16" t="inlineStr"/>
      <c r="AI124" s="16" t="inlineStr"/>
      <c r="AJ124" s="16" t="inlineStr"/>
      <c r="AK124" s="16" t="inlineStr"/>
      <c r="AL124" s="16" t="inlineStr"/>
      <c r="AM124" s="16" t="inlineStr"/>
    </row>
    <row r="125">
      <c r="A125" s="13" t="inlineStr">
        <is>
          <t>ДГП</t>
        </is>
      </c>
      <c r="B125" s="13" t="inlineStr">
        <is>
          <t>Срок действия скидки участникам МС</t>
        </is>
      </c>
      <c r="C125" s="13" t="inlineStr"/>
      <c r="D125" s="13" t="inlineStr"/>
      <c r="E125" s="13" t="inlineStr">
        <is>
          <t>Никита</t>
        </is>
      </c>
      <c r="F125" s="13" t="inlineStr">
        <is>
          <t>BE</t>
        </is>
      </c>
      <c r="G125" s="13" t="inlineStr"/>
      <c r="H125" s="14">
        <f>IF(COUNTA(M125:AM125)=0,"",INDEX($M$1:$AM$1,AGGREGATE(15,6,(COLUMN($M$1:$AM$1)-COLUMN($M$1)+1)/(M125:AM125&lt;&gt;""),1)))</f>
        <v/>
      </c>
      <c r="I125" s="14">
        <f>IF(COUNTA(M125:AM125)=0,"",INDEX($M$1:$AM$1,AGGREGATE(14,6,(COLUMN($M$1:$AM$1)-COLUMN($M$1)+1)/(M125:AM125&lt;&gt;""),1))+MAX(0,IFERROR(LOOKUP(2,1/(M125:AM125&lt;&gt;""),M125:AM125),1)-1))</f>
        <v/>
      </c>
      <c r="J125" s="14">
        <f>IF(I125="","",WORKDAY(I125,1))</f>
        <v/>
      </c>
      <c r="K125" s="15">
        <f>IF(COUNTA(M125:AM125),SUM(M125:AM125),IF(AND(H125&lt;&gt;"",I125&lt;&gt;""),NETWORKDAYS(H125,I125),""))</f>
        <v/>
      </c>
      <c r="L125" s="13" t="inlineStr"/>
      <c r="M125" s="16" t="inlineStr"/>
      <c r="N125" s="16" t="inlineStr"/>
      <c r="O125" s="16" t="inlineStr"/>
      <c r="P125" s="16" t="inlineStr"/>
      <c r="Q125" s="16" t="inlineStr"/>
      <c r="R125" s="16" t="inlineStr"/>
      <c r="S125" s="16" t="inlineStr"/>
      <c r="T125" s="16" t="inlineStr"/>
      <c r="U125" s="16" t="inlineStr"/>
      <c r="V125" s="16" t="inlineStr"/>
      <c r="W125" s="16" t="inlineStr"/>
      <c r="X125" s="16" t="inlineStr"/>
      <c r="Y125" s="16" t="inlineStr"/>
      <c r="Z125" s="16" t="inlineStr"/>
      <c r="AA125" s="16" t="inlineStr"/>
      <c r="AB125" s="16" t="inlineStr"/>
      <c r="AC125" s="16" t="n">
        <v>1</v>
      </c>
      <c r="AD125" s="16" t="inlineStr"/>
      <c r="AE125" s="16" t="inlineStr"/>
      <c r="AF125" s="16" t="inlineStr"/>
      <c r="AG125" s="16" t="inlineStr"/>
      <c r="AH125" s="16" t="inlineStr"/>
      <c r="AI125" s="16" t="inlineStr"/>
      <c r="AJ125" s="16" t="inlineStr"/>
      <c r="AK125" s="16" t="inlineStr"/>
      <c r="AL125" s="16" t="inlineStr"/>
      <c r="AM125" s="16" t="inlineStr"/>
    </row>
    <row r="126">
      <c r="A126" s="13" t="inlineStr">
        <is>
          <t>ДГП</t>
        </is>
      </c>
      <c r="B126" s="13" t="inlineStr">
        <is>
          <t>№2 Роли не МФ без ГЕО</t>
        </is>
      </c>
      <c r="C126" s="13" t="inlineStr"/>
      <c r="D126" s="13" t="inlineStr"/>
      <c r="E126" s="13" t="inlineStr">
        <is>
          <t>Миша Б</t>
        </is>
      </c>
      <c r="F126" s="13" t="inlineStr">
        <is>
          <t>Дизайн</t>
        </is>
      </c>
      <c r="G126" s="13" t="inlineStr"/>
      <c r="H126" s="14">
        <f>IF(COUNTA(M126:AM126)=0,"",INDEX($M$1:$AM$1,AGGREGATE(15,6,(COLUMN($M$1:$AM$1)-COLUMN($M$1)+1)/(M126:AM126&lt;&gt;""),1)))</f>
        <v/>
      </c>
      <c r="I126" s="14">
        <f>IF(COUNTA(M126:AM126)=0,"",INDEX($M$1:$AM$1,AGGREGATE(14,6,(COLUMN($M$1:$AM$1)-COLUMN($M$1)+1)/(M126:AM126&lt;&gt;""),1))+MAX(0,IFERROR(LOOKUP(2,1/(M126:AM126&lt;&gt;""),M126:AM126),1)-1))</f>
        <v/>
      </c>
      <c r="J126" s="14">
        <f>IF(I126="","",WORKDAY(I126,1))</f>
        <v/>
      </c>
      <c r="K126" s="15">
        <f>IF(COUNTA(M126:AM126),SUM(M126:AM126),IF(AND(H126&lt;&gt;"",I126&lt;&gt;""),NETWORKDAYS(H126,I126),""))</f>
        <v/>
      </c>
      <c r="L126" s="13" t="inlineStr"/>
      <c r="M126" s="16" t="inlineStr"/>
      <c r="N126" s="16" t="inlineStr"/>
      <c r="O126" s="16" t="n">
        <v>1</v>
      </c>
      <c r="P126" s="16" t="n">
        <v>1</v>
      </c>
      <c r="Q126" s="16" t="inlineStr"/>
      <c r="R126" s="16" t="inlineStr"/>
      <c r="S126" s="16" t="inlineStr"/>
      <c r="T126" s="16" t="inlineStr"/>
      <c r="U126" s="16" t="inlineStr"/>
      <c r="V126" s="16" t="inlineStr"/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/>
      <c r="AD126" s="16" t="inlineStr"/>
      <c r="AE126" s="16" t="inlineStr"/>
      <c r="AF126" s="16" t="inlineStr"/>
      <c r="AG126" s="16" t="inlineStr"/>
      <c r="AH126" s="16" t="inlineStr"/>
      <c r="AI126" s="16" t="inlineStr"/>
      <c r="AJ126" s="16" t="inlineStr"/>
      <c r="AK126" s="16" t="inlineStr"/>
      <c r="AL126" s="16" t="inlineStr"/>
      <c r="AM126" s="16" t="inlineStr"/>
    </row>
    <row r="127">
      <c r="A127" s="13" t="inlineStr">
        <is>
          <t>ДГП</t>
        </is>
      </c>
      <c r="B127" s="13" t="inlineStr">
        <is>
          <t>№2 Роли не МФ без ГЕО</t>
        </is>
      </c>
      <c r="C127" s="13" t="inlineStr"/>
      <c r="D127" s="13" t="inlineStr"/>
      <c r="E127" s="13" t="inlineStr">
        <is>
          <t>Гоголюк Георгий</t>
        </is>
      </c>
      <c r="F127" s="13" t="inlineStr">
        <is>
          <t>SA</t>
        </is>
      </c>
      <c r="G127" s="13" t="inlineStr"/>
      <c r="H127" s="14">
        <f>IF(COUNTA(M127:AM127)=0,"",INDEX($M$1:$AM$1,AGGREGATE(15,6,(COLUMN($M$1:$AM$1)-COLUMN($M$1)+1)/(M127:AM127&lt;&gt;""),1)))</f>
        <v/>
      </c>
      <c r="I127" s="14">
        <f>IF(COUNTA(M127:AM127)=0,"",INDEX($M$1:$AM$1,AGGREGATE(14,6,(COLUMN($M$1:$AM$1)-COLUMN($M$1)+1)/(M127:AM127&lt;&gt;""),1))+MAX(0,IFERROR(LOOKUP(2,1/(M127:AM127&lt;&gt;""),M127:AM127),1)-1))</f>
        <v/>
      </c>
      <c r="J127" s="14">
        <f>IF(I127="","",WORKDAY(I127,1))</f>
        <v/>
      </c>
      <c r="K127" s="15">
        <f>IF(COUNTA(M127:AM127),SUM(M127:AM127),IF(AND(H127&lt;&gt;"",I127&lt;&gt;""),NETWORKDAYS(H127,I127),""))</f>
        <v/>
      </c>
      <c r="L127" s="13" t="inlineStr"/>
      <c r="M127" s="16" t="inlineStr"/>
      <c r="N127" s="16" t="inlineStr"/>
      <c r="O127" s="16" t="n">
        <v>1</v>
      </c>
      <c r="P127" s="16" t="n">
        <v>1</v>
      </c>
      <c r="Q127" s="16" t="inlineStr"/>
      <c r="R127" s="16" t="inlineStr"/>
      <c r="S127" s="16" t="inlineStr"/>
      <c r="T127" s="16" t="inlineStr"/>
      <c r="U127" s="16" t="inlineStr"/>
      <c r="V127" s="16" t="inlineStr"/>
      <c r="W127" s="16" t="inlineStr"/>
      <c r="X127" s="16" t="inlineStr"/>
      <c r="Y127" s="16" t="inlineStr"/>
      <c r="Z127" s="16" t="inlineStr"/>
      <c r="AA127" s="16" t="inlineStr"/>
      <c r="AB127" s="16" t="inlineStr"/>
      <c r="AC127" s="16" t="inlineStr"/>
      <c r="AD127" s="16" t="inlineStr"/>
      <c r="AE127" s="16" t="inlineStr"/>
      <c r="AF127" s="16" t="inlineStr"/>
      <c r="AG127" s="16" t="inlineStr"/>
      <c r="AH127" s="16" t="inlineStr"/>
      <c r="AI127" s="16" t="inlineStr"/>
      <c r="AJ127" s="16" t="inlineStr"/>
      <c r="AK127" s="16" t="inlineStr"/>
      <c r="AL127" s="16" t="inlineStr"/>
      <c r="AM127" s="16" t="inlineStr"/>
    </row>
    <row r="128">
      <c r="A128" s="13" t="inlineStr">
        <is>
          <t>ДГП</t>
        </is>
      </c>
      <c r="B128" s="13" t="inlineStr">
        <is>
          <t>№2 Роли не МФ без ГЕО</t>
        </is>
      </c>
      <c r="C128" s="13" t="inlineStr"/>
      <c r="D128" s="13" t="inlineStr"/>
      <c r="E128" s="13" t="inlineStr">
        <is>
          <t>Никита</t>
        </is>
      </c>
      <c r="F128" s="13" t="inlineStr">
        <is>
          <t>BE</t>
        </is>
      </c>
      <c r="G128" s="13" t="inlineStr"/>
      <c r="H128" s="14">
        <f>IF(COUNTA(M128:AM128)=0,"",INDEX($M$1:$AM$1,AGGREGATE(15,6,(COLUMN($M$1:$AM$1)-COLUMN($M$1)+1)/(M128:AM128&lt;&gt;""),1)))</f>
        <v/>
      </c>
      <c r="I128" s="14">
        <f>IF(COUNTA(M128:AM128)=0,"",INDEX($M$1:$AM$1,AGGREGATE(14,6,(COLUMN($M$1:$AM$1)-COLUMN($M$1)+1)/(M128:AM128&lt;&gt;""),1))+MAX(0,IFERROR(LOOKUP(2,1/(M128:AM128&lt;&gt;""),M128:AM128),1)-1))</f>
        <v/>
      </c>
      <c r="J128" s="14">
        <f>IF(I128="","",WORKDAY(I128,1))</f>
        <v/>
      </c>
      <c r="K128" s="15">
        <f>IF(COUNTA(M128:AM128),SUM(M128:AM128),IF(AND(H128&lt;&gt;"",I128&lt;&gt;""),NETWORKDAYS(H128,I128),""))</f>
        <v/>
      </c>
      <c r="L128" s="13" t="inlineStr"/>
      <c r="M128" s="16" t="inlineStr"/>
      <c r="N128" s="16" t="inlineStr"/>
      <c r="O128" s="16" t="n">
        <v>1</v>
      </c>
      <c r="P128" s="16" t="n">
        <v>1</v>
      </c>
      <c r="Q128" s="16" t="inlineStr"/>
      <c r="R128" s="16" t="inlineStr"/>
      <c r="S128" s="16" t="inlineStr"/>
      <c r="T128" s="16" t="inlineStr"/>
      <c r="U128" s="16" t="inlineStr"/>
      <c r="V128" s="16" t="inlineStr"/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/>
      <c r="AD128" s="16" t="inlineStr"/>
      <c r="AE128" s="16" t="inlineStr"/>
      <c r="AF128" s="16" t="inlineStr"/>
      <c r="AG128" s="16" t="inlineStr"/>
      <c r="AH128" s="16" t="inlineStr"/>
      <c r="AI128" s="16" t="inlineStr"/>
      <c r="AJ128" s="16" t="inlineStr"/>
      <c r="AK128" s="16" t="inlineStr"/>
      <c r="AL128" s="16" t="inlineStr"/>
      <c r="AM128" s="16" t="inlineStr"/>
    </row>
    <row r="129">
      <c r="A129" s="13" t="inlineStr">
        <is>
          <t>ДГП</t>
        </is>
      </c>
      <c r="B129" s="13" t="inlineStr">
        <is>
          <t>№2 Роли не МФ без ГЕО</t>
        </is>
      </c>
      <c r="C129" s="13" t="inlineStr"/>
      <c r="D129" s="13" t="inlineStr"/>
      <c r="E129" s="13" t="inlineStr">
        <is>
          <t>Ваня</t>
        </is>
      </c>
      <c r="F129" s="13" t="inlineStr">
        <is>
          <t>FE</t>
        </is>
      </c>
      <c r="G129" s="13" t="inlineStr"/>
      <c r="H129" s="14">
        <f>IF(COUNTA(M129:AM129)=0,"",INDEX($M$1:$AM$1,AGGREGATE(15,6,(COLUMN($M$1:$AM$1)-COLUMN($M$1)+1)/(M129:AM129&lt;&gt;""),1)))</f>
        <v/>
      </c>
      <c r="I129" s="14">
        <f>IF(COUNTA(M129:AM129)=0,"",INDEX($M$1:$AM$1,AGGREGATE(14,6,(COLUMN($M$1:$AM$1)-COLUMN($M$1)+1)/(M129:AM129&lt;&gt;""),1))+MAX(0,IFERROR(LOOKUP(2,1/(M129:AM129&lt;&gt;""),M129:AM129),1)-1))</f>
        <v/>
      </c>
      <c r="J129" s="14">
        <f>IF(I129="","",WORKDAY(I129,1))</f>
        <v/>
      </c>
      <c r="K129" s="15">
        <f>IF(COUNTA(M129:AM129),SUM(M129:AM129),IF(AND(H129&lt;&gt;"",I129&lt;&gt;""),NETWORKDAYS(H129,I129),""))</f>
        <v/>
      </c>
      <c r="L129" s="13" t="inlineStr"/>
      <c r="M129" s="16" t="n">
        <v>1</v>
      </c>
      <c r="N129" s="16" t="inlineStr"/>
      <c r="O129" s="16" t="n">
        <v>1</v>
      </c>
      <c r="P129" s="16" t="n">
        <v>1</v>
      </c>
      <c r="Q129" s="16" t="inlineStr"/>
      <c r="R129" s="16" t="inlineStr"/>
      <c r="S129" s="16" t="inlineStr"/>
      <c r="T129" s="16" t="inlineStr"/>
      <c r="U129" s="16" t="inlineStr"/>
      <c r="V129" s="16" t="inlineStr"/>
      <c r="W129" s="16" t="inlineStr"/>
      <c r="X129" s="16" t="inlineStr"/>
      <c r="Y129" s="16" t="inlineStr"/>
      <c r="Z129" s="16" t="inlineStr"/>
      <c r="AA129" s="16" t="inlineStr"/>
      <c r="AB129" s="16" t="inlineStr"/>
      <c r="AC129" s="16" t="inlineStr"/>
      <c r="AD129" s="16" t="inlineStr"/>
      <c r="AE129" s="16" t="inlineStr"/>
      <c r="AF129" s="16" t="inlineStr"/>
      <c r="AG129" s="16" t="inlineStr"/>
      <c r="AH129" s="16" t="inlineStr"/>
      <c r="AI129" s="16" t="inlineStr"/>
      <c r="AJ129" s="16" t="inlineStr"/>
      <c r="AK129" s="16" t="inlineStr"/>
      <c r="AL129" s="16" t="inlineStr"/>
      <c r="AM129" s="16" t="inlineStr"/>
    </row>
    <row r="130">
      <c r="A130" s="13" t="inlineStr">
        <is>
          <t>ДГП</t>
        </is>
      </c>
      <c r="B130" s="13" t="inlineStr">
        <is>
          <t>№2 Роли не МФ без ГЕО</t>
        </is>
      </c>
      <c r="C130" s="13" t="inlineStr"/>
      <c r="D130" s="13" t="inlineStr"/>
      <c r="E130" s="13" t="inlineStr">
        <is>
          <t>Миша Б</t>
        </is>
      </c>
      <c r="F130" s="13" t="inlineStr">
        <is>
          <t>QA</t>
        </is>
      </c>
      <c r="G130" s="13" t="inlineStr"/>
      <c r="H130" s="14">
        <f>IF(COUNTA(M130:AM130)=0,"",INDEX($M$1:$AM$1,AGGREGATE(15,6,(COLUMN($M$1:$AM$1)-COLUMN($M$1)+1)/(M130:AM130&lt;&gt;""),1)))</f>
        <v/>
      </c>
      <c r="I130" s="14">
        <f>IF(COUNTA(M130:AM130)=0,"",INDEX($M$1:$AM$1,AGGREGATE(14,6,(COLUMN($M$1:$AM$1)-COLUMN($M$1)+1)/(M130:AM130&lt;&gt;""),1))+MAX(0,IFERROR(LOOKUP(2,1/(M130:AM130&lt;&gt;""),M130:AM130),1)-1))</f>
        <v/>
      </c>
      <c r="J130" s="14">
        <f>IF(I130="","",WORKDAY(I130,1))</f>
        <v/>
      </c>
      <c r="K130" s="15">
        <f>IF(COUNTA(M130:AM130),SUM(M130:AM130),IF(AND(H130&lt;&gt;"",I130&lt;&gt;""),NETWORKDAYS(H130,I130),""))</f>
        <v/>
      </c>
      <c r="L130" s="13" t="inlineStr"/>
      <c r="M130" s="16" t="inlineStr"/>
      <c r="N130" s="16" t="inlineStr"/>
      <c r="O130" s="16" t="n">
        <v>1</v>
      </c>
      <c r="P130" s="16" t="n">
        <v>1</v>
      </c>
      <c r="Q130" s="16" t="inlineStr"/>
      <c r="R130" s="16" t="inlineStr"/>
      <c r="S130" s="16" t="inlineStr"/>
      <c r="T130" s="16" t="inlineStr"/>
      <c r="U130" s="16" t="inlineStr"/>
      <c r="V130" s="16" t="inlineStr"/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/>
      <c r="AD130" s="16" t="inlineStr"/>
      <c r="AE130" s="16" t="inlineStr"/>
      <c r="AF130" s="16" t="inlineStr"/>
      <c r="AG130" s="16" t="inlineStr"/>
      <c r="AH130" s="16" t="inlineStr"/>
      <c r="AI130" s="16" t="inlineStr"/>
      <c r="AJ130" s="16" t="inlineStr"/>
      <c r="AK130" s="16" t="inlineStr"/>
      <c r="AL130" s="16" t="inlineStr"/>
      <c r="AM130" s="16" t="inlineStr"/>
    </row>
    <row r="131">
      <c r="A131" s="13" t="inlineStr">
        <is>
          <t>ДГП</t>
        </is>
      </c>
      <c r="B131" s="13" t="inlineStr">
        <is>
          <t>№2 Роли не МФ без ГЕО</t>
        </is>
      </c>
      <c r="C131" s="13" t="inlineStr"/>
      <c r="D131" s="13" t="inlineStr"/>
      <c r="E131" s="13" t="inlineStr">
        <is>
          <t>Антон</t>
        </is>
      </c>
      <c r="F131" s="13" t="inlineStr">
        <is>
          <t>QA</t>
        </is>
      </c>
      <c r="G131" s="13" t="inlineStr"/>
      <c r="H131" s="14">
        <f>IF(COUNTA(M131:AM131)=0,"",INDEX($M$1:$AM$1,AGGREGATE(15,6,(COLUMN($M$1:$AM$1)-COLUMN($M$1)+1)/(M131:AM131&lt;&gt;""),1)))</f>
        <v/>
      </c>
      <c r="I131" s="14">
        <f>IF(COUNTA(M131:AM131)=0,"",INDEX($M$1:$AM$1,AGGREGATE(14,6,(COLUMN($M$1:$AM$1)-COLUMN($M$1)+1)/(M131:AM131&lt;&gt;""),1))+MAX(0,IFERROR(LOOKUP(2,1/(M131:AM131&lt;&gt;""),M131:AM131),1)-1))</f>
        <v/>
      </c>
      <c r="J131" s="14">
        <f>IF(I131="","",WORKDAY(I131,1))</f>
        <v/>
      </c>
      <c r="K131" s="15">
        <f>IF(COUNTA(M131:AM131),SUM(M131:AM131),IF(AND(H131&lt;&gt;"",I131&lt;&gt;""),NETWORKDAYS(H131,I131),""))</f>
        <v/>
      </c>
      <c r="L131" s="13" t="inlineStr"/>
      <c r="M131" s="16" t="n">
        <v>2</v>
      </c>
      <c r="N131" s="16" t="inlineStr"/>
      <c r="O131" s="16" t="n">
        <v>1</v>
      </c>
      <c r="P131" s="16" t="n">
        <v>1</v>
      </c>
      <c r="Q131" s="16" t="inlineStr"/>
      <c r="R131" s="16" t="inlineStr"/>
      <c r="S131" s="16" t="inlineStr"/>
      <c r="T131" s="16" t="inlineStr"/>
      <c r="U131" s="16" t="inlineStr"/>
      <c r="V131" s="16" t="inlineStr"/>
      <c r="W131" s="16" t="inlineStr"/>
      <c r="X131" s="16" t="inlineStr"/>
      <c r="Y131" s="16" t="inlineStr"/>
      <c r="Z131" s="16" t="inlineStr"/>
      <c r="AA131" s="16" t="inlineStr"/>
      <c r="AB131" s="16" t="inlineStr"/>
      <c r="AC131" s="16" t="inlineStr"/>
      <c r="AD131" s="16" t="inlineStr"/>
      <c r="AE131" s="16" t="inlineStr"/>
      <c r="AF131" s="16" t="inlineStr"/>
      <c r="AG131" s="16" t="inlineStr"/>
      <c r="AH131" s="16" t="inlineStr"/>
      <c r="AI131" s="16" t="inlineStr"/>
      <c r="AJ131" s="16" t="inlineStr"/>
      <c r="AK131" s="16" t="inlineStr"/>
      <c r="AL131" s="16" t="inlineStr"/>
      <c r="AM131" s="16" t="inlineStr"/>
    </row>
    <row r="132">
      <c r="A132" s="13" t="inlineStr">
        <is>
          <t>ДГП</t>
        </is>
      </c>
      <c r="B132" s="13" t="inlineStr">
        <is>
          <t>№2 Роли не МФ без ГЕО</t>
        </is>
      </c>
      <c r="C132" s="13" t="inlineStr"/>
      <c r="D132" s="13" t="inlineStr"/>
      <c r="E132" s="13" t="inlineStr">
        <is>
          <t>Миша К</t>
        </is>
      </c>
      <c r="F132" s="13" t="inlineStr">
        <is>
          <t>QA</t>
        </is>
      </c>
      <c r="G132" s="13" t="inlineStr"/>
      <c r="H132" s="14">
        <f>IF(COUNTA(M132:AM132)=0,"",INDEX($M$1:$AM$1,AGGREGATE(15,6,(COLUMN($M$1:$AM$1)-COLUMN($M$1)+1)/(M132:AM132&lt;&gt;""),1)))</f>
        <v/>
      </c>
      <c r="I132" s="14">
        <f>IF(COUNTA(M132:AM132)=0,"",INDEX($M$1:$AM$1,AGGREGATE(14,6,(COLUMN($M$1:$AM$1)-COLUMN($M$1)+1)/(M132:AM132&lt;&gt;""),1))+MAX(0,IFERROR(LOOKUP(2,1/(M132:AM132&lt;&gt;""),M132:AM132),1)-1))</f>
        <v/>
      </c>
      <c r="J132" s="14">
        <f>IF(I132="","",WORKDAY(I132,1))</f>
        <v/>
      </c>
      <c r="K132" s="15">
        <f>IF(COUNTA(M132:AM132),SUM(M132:AM132),IF(AND(H132&lt;&gt;"",I132&lt;&gt;""),NETWORKDAYS(H132,I132),""))</f>
        <v/>
      </c>
      <c r="L132" s="13" t="inlineStr"/>
      <c r="M132" s="16" t="n">
        <v>4</v>
      </c>
      <c r="N132" s="16" t="inlineStr"/>
      <c r="O132" s="16" t="n">
        <v>1</v>
      </c>
      <c r="P132" s="16" t="n">
        <v>1</v>
      </c>
      <c r="Q132" s="16" t="inlineStr"/>
      <c r="R132" s="16" t="inlineStr"/>
      <c r="S132" s="16" t="inlineStr"/>
      <c r="T132" s="16" t="inlineStr"/>
      <c r="U132" s="16" t="inlineStr"/>
      <c r="V132" s="16" t="inlineStr"/>
      <c r="W132" s="16" t="inlineStr"/>
      <c r="X132" s="16" t="inlineStr"/>
      <c r="Y132" s="16" t="inlineStr"/>
      <c r="Z132" s="16" t="inlineStr"/>
      <c r="AA132" s="16" t="inlineStr"/>
      <c r="AB132" s="16" t="inlineStr"/>
      <c r="AC132" s="16" t="inlineStr"/>
      <c r="AD132" s="16" t="inlineStr"/>
      <c r="AE132" s="16" t="inlineStr"/>
      <c r="AF132" s="16" t="inlineStr"/>
      <c r="AG132" s="16" t="inlineStr"/>
      <c r="AH132" s="16" t="inlineStr"/>
      <c r="AI132" s="16" t="inlineStr"/>
      <c r="AJ132" s="16" t="inlineStr"/>
      <c r="AK132" s="16" t="inlineStr"/>
      <c r="AL132" s="16" t="inlineStr"/>
      <c r="AM132" s="16" t="inlineStr"/>
    </row>
    <row r="133">
      <c r="A133" s="13" t="inlineStr">
        <is>
          <t>ДГП</t>
        </is>
      </c>
      <c r="B133" s="13" t="inlineStr">
        <is>
          <t>№6 ГЕО у детей: Создание бесплатной подписки Радар+Мегасемья для детского профиля</t>
        </is>
      </c>
      <c r="C133" s="13" t="inlineStr"/>
      <c r="D133" s="13" t="inlineStr"/>
      <c r="E133" s="13" t="inlineStr">
        <is>
          <t>Миша Б</t>
        </is>
      </c>
      <c r="F133" s="13" t="inlineStr">
        <is>
          <t>Дизайн</t>
        </is>
      </c>
      <c r="G133" s="13" t="inlineStr"/>
      <c r="H133" s="14">
        <f>IF(COUNTA(M133:AM133)=0,"",INDEX($M$1:$AM$1,AGGREGATE(15,6,(COLUMN($M$1:$AM$1)-COLUMN($M$1)+1)/(M133:AM133&lt;&gt;""),1)))</f>
        <v/>
      </c>
      <c r="I133" s="14">
        <f>IF(COUNTA(M133:AM133)=0,"",INDEX($M$1:$AM$1,AGGREGATE(14,6,(COLUMN($M$1:$AM$1)-COLUMN($M$1)+1)/(M133:AM133&lt;&gt;""),1))+MAX(0,IFERROR(LOOKUP(2,1/(M133:AM133&lt;&gt;""),M133:AM133),1)-1))</f>
        <v/>
      </c>
      <c r="J133" s="14">
        <f>IF(I133="","",WORKDAY(I133,1))</f>
        <v/>
      </c>
      <c r="K133" s="15">
        <f>IF(COUNTA(M133:AM133),SUM(M133:AM133),IF(AND(H133&lt;&gt;"",I133&lt;&gt;""),NETWORKDAYS(H133,I133),""))</f>
        <v/>
      </c>
      <c r="L133" s="13" t="inlineStr"/>
      <c r="M133" s="16" t="inlineStr"/>
      <c r="N133" s="16" t="inlineStr"/>
      <c r="O133" s="16" t="n">
        <v>1</v>
      </c>
      <c r="P133" s="16" t="n">
        <v>1</v>
      </c>
      <c r="Q133" s="16" t="inlineStr"/>
      <c r="R133" s="16" t="inlineStr"/>
      <c r="S133" s="16" t="inlineStr"/>
      <c r="T133" s="16" t="inlineStr"/>
      <c r="U133" s="16" t="inlineStr"/>
      <c r="V133" s="16" t="inlineStr"/>
      <c r="W133" s="16" t="inlineStr"/>
      <c r="X133" s="16" t="inlineStr"/>
      <c r="Y133" s="16" t="inlineStr"/>
      <c r="Z133" s="16" t="inlineStr"/>
      <c r="AA133" s="16" t="inlineStr"/>
      <c r="AB133" s="16" t="inlineStr"/>
      <c r="AC133" s="16" t="inlineStr"/>
      <c r="AD133" s="16" t="inlineStr"/>
      <c r="AE133" s="16" t="inlineStr"/>
      <c r="AF133" s="16" t="inlineStr"/>
      <c r="AG133" s="16" t="inlineStr"/>
      <c r="AH133" s="16" t="inlineStr"/>
      <c r="AI133" s="16" t="inlineStr"/>
      <c r="AJ133" s="16" t="inlineStr"/>
      <c r="AK133" s="16" t="inlineStr"/>
      <c r="AL133" s="16" t="inlineStr"/>
      <c r="AM133" s="16" t="inlineStr"/>
    </row>
    <row r="134">
      <c r="A134" s="13" t="inlineStr">
        <is>
          <t>ДГП</t>
        </is>
      </c>
      <c r="B134" s="13" t="inlineStr">
        <is>
          <t>№6 ГЕО у детей: Создание бесплатной подписки Радар+Мегасемья для детского профиля</t>
        </is>
      </c>
      <c r="C134" s="13" t="inlineStr"/>
      <c r="D134" s="13" t="inlineStr"/>
      <c r="E134" s="13" t="inlineStr">
        <is>
          <t>Гоголюк Георгий</t>
        </is>
      </c>
      <c r="F134" s="13" t="inlineStr">
        <is>
          <t>SA</t>
        </is>
      </c>
      <c r="G134" s="13" t="inlineStr"/>
      <c r="H134" s="14">
        <f>IF(COUNTA(M134:AM134)=0,"",INDEX($M$1:$AM$1,AGGREGATE(15,6,(COLUMN($M$1:$AM$1)-COLUMN($M$1)+1)/(M134:AM134&lt;&gt;""),1)))</f>
        <v/>
      </c>
      <c r="I134" s="14">
        <f>IF(COUNTA(M134:AM134)=0,"",INDEX($M$1:$AM$1,AGGREGATE(14,6,(COLUMN($M$1:$AM$1)-COLUMN($M$1)+1)/(M134:AM134&lt;&gt;""),1))+MAX(0,IFERROR(LOOKUP(2,1/(M134:AM134&lt;&gt;""),M134:AM134),1)-1))</f>
        <v/>
      </c>
      <c r="J134" s="14">
        <f>IF(I134="","",WORKDAY(I134,1))</f>
        <v/>
      </c>
      <c r="K134" s="15">
        <f>IF(COUNTA(M134:AM134),SUM(M134:AM134),IF(AND(H134&lt;&gt;"",I134&lt;&gt;""),NETWORKDAYS(H134,I134),""))</f>
        <v/>
      </c>
      <c r="L134" s="13" t="inlineStr"/>
      <c r="M134" s="16" t="n">
        <v>2</v>
      </c>
      <c r="N134" s="16" t="inlineStr"/>
      <c r="O134" s="16" t="n">
        <v>1</v>
      </c>
      <c r="P134" s="16" t="n">
        <v>1</v>
      </c>
      <c r="Q134" s="16" t="n">
        <v>1</v>
      </c>
      <c r="R134" s="16" t="inlineStr"/>
      <c r="S134" s="16" t="inlineStr"/>
      <c r="T134" s="16" t="inlineStr"/>
      <c r="U134" s="16" t="inlineStr"/>
      <c r="V134" s="16" t="inlineStr"/>
      <c r="W134" s="16" t="inlineStr"/>
      <c r="X134" s="16" t="inlineStr"/>
      <c r="Y134" s="16" t="inlineStr"/>
      <c r="Z134" s="16" t="inlineStr"/>
      <c r="AA134" s="16" t="inlineStr"/>
      <c r="AB134" s="16" t="inlineStr"/>
      <c r="AC134" s="16" t="inlineStr"/>
      <c r="AD134" s="16" t="inlineStr"/>
      <c r="AE134" s="16" t="inlineStr"/>
      <c r="AF134" s="16" t="inlineStr"/>
      <c r="AG134" s="16" t="inlineStr"/>
      <c r="AH134" s="16" t="inlineStr"/>
      <c r="AI134" s="16" t="inlineStr"/>
      <c r="AJ134" s="16" t="inlineStr"/>
      <c r="AK134" s="16" t="inlineStr"/>
      <c r="AL134" s="16" t="inlineStr"/>
      <c r="AM134" s="16" t="inlineStr"/>
    </row>
    <row r="135">
      <c r="A135" s="13" t="inlineStr">
        <is>
          <t>ДГП</t>
        </is>
      </c>
      <c r="B135" s="13" t="inlineStr">
        <is>
          <t>№6 ГЕО у детей: Создание бесплатной подписки Радар+Мегасемья для детского профиля</t>
        </is>
      </c>
      <c r="C135" s="13" t="inlineStr"/>
      <c r="D135" s="13" t="inlineStr"/>
      <c r="E135" s="13" t="inlineStr">
        <is>
          <t>Никита</t>
        </is>
      </c>
      <c r="F135" s="13" t="inlineStr">
        <is>
          <t>BE</t>
        </is>
      </c>
      <c r="G135" s="13" t="inlineStr"/>
      <c r="H135" s="14">
        <f>IF(COUNTA(M135:AM135)=0,"",INDEX($M$1:$AM$1,AGGREGATE(15,6,(COLUMN($M$1:$AM$1)-COLUMN($M$1)+1)/(M135:AM135&lt;&gt;""),1)))</f>
        <v/>
      </c>
      <c r="I135" s="14">
        <f>IF(COUNTA(M135:AM135)=0,"",INDEX($M$1:$AM$1,AGGREGATE(14,6,(COLUMN($M$1:$AM$1)-COLUMN($M$1)+1)/(M135:AM135&lt;&gt;""),1))+MAX(0,IFERROR(LOOKUP(2,1/(M135:AM135&lt;&gt;""),M135:AM135),1)-1))</f>
        <v/>
      </c>
      <c r="J135" s="14">
        <f>IF(I135="","",WORKDAY(I135,1))</f>
        <v/>
      </c>
      <c r="K135" s="15">
        <f>IF(COUNTA(M135:AM135),SUM(M135:AM135),IF(AND(H135&lt;&gt;"",I135&lt;&gt;""),NETWORKDAYS(H135,I135),""))</f>
        <v/>
      </c>
      <c r="L135" s="13" t="inlineStr"/>
      <c r="M135" s="16" t="n">
        <v>2</v>
      </c>
      <c r="N135" s="16" t="n">
        <v>1</v>
      </c>
      <c r="O135" s="16" t="n">
        <v>1</v>
      </c>
      <c r="P135" s="16" t="n">
        <v>1</v>
      </c>
      <c r="Q135" s="16" t="inlineStr"/>
      <c r="R135" s="16" t="n">
        <v>2</v>
      </c>
      <c r="S135" s="16" t="inlineStr"/>
      <c r="T135" s="16" t="inlineStr"/>
      <c r="U135" s="16" t="inlineStr"/>
      <c r="V135" s="16" t="inlineStr"/>
      <c r="W135" s="16" t="inlineStr"/>
      <c r="X135" s="16" t="inlineStr"/>
      <c r="Y135" s="16" t="inlineStr"/>
      <c r="Z135" s="16" t="inlineStr"/>
      <c r="AA135" s="16" t="inlineStr"/>
      <c r="AB135" s="16" t="inlineStr"/>
      <c r="AC135" s="16" t="inlineStr"/>
      <c r="AD135" s="16" t="inlineStr"/>
      <c r="AE135" s="16" t="inlineStr"/>
      <c r="AF135" s="16" t="inlineStr"/>
      <c r="AG135" s="16" t="inlineStr"/>
      <c r="AH135" s="16" t="inlineStr"/>
      <c r="AI135" s="16" t="inlineStr"/>
      <c r="AJ135" s="16" t="inlineStr"/>
      <c r="AK135" s="16" t="inlineStr"/>
      <c r="AL135" s="16" t="inlineStr"/>
      <c r="AM135" s="16" t="inlineStr"/>
    </row>
    <row r="136">
      <c r="A136" s="13" t="inlineStr">
        <is>
          <t>ДГП</t>
        </is>
      </c>
      <c r="B136" s="13" t="inlineStr">
        <is>
          <t>№6 ГЕО у детей: Создание бесплатной подписки Радар+Мегасемья для детского профиля</t>
        </is>
      </c>
      <c r="C136" s="13" t="inlineStr"/>
      <c r="D136" s="13" t="inlineStr"/>
      <c r="E136" s="13" t="inlineStr">
        <is>
          <t>Ваня</t>
        </is>
      </c>
      <c r="F136" s="13" t="inlineStr">
        <is>
          <t>FE</t>
        </is>
      </c>
      <c r="G136" s="13" t="inlineStr"/>
      <c r="H136" s="14">
        <f>IF(COUNTA(M136:AM136)=0,"",INDEX($M$1:$AM$1,AGGREGATE(15,6,(COLUMN($M$1:$AM$1)-COLUMN($M$1)+1)/(M136:AM136&lt;&gt;""),1)))</f>
        <v/>
      </c>
      <c r="I136" s="14">
        <f>IF(COUNTA(M136:AM136)=0,"",INDEX($M$1:$AM$1,AGGREGATE(14,6,(COLUMN($M$1:$AM$1)-COLUMN($M$1)+1)/(M136:AM136&lt;&gt;""),1))+MAX(0,IFERROR(LOOKUP(2,1/(M136:AM136&lt;&gt;""),M136:AM136),1)-1))</f>
        <v/>
      </c>
      <c r="J136" s="14">
        <f>IF(I136="","",WORKDAY(I136,1))</f>
        <v/>
      </c>
      <c r="K136" s="15">
        <f>IF(COUNTA(M136:AM136),SUM(M136:AM136),IF(AND(H136&lt;&gt;"",I136&lt;&gt;""),NETWORKDAYS(H136,I136),""))</f>
        <v/>
      </c>
      <c r="L136" s="13" t="inlineStr"/>
      <c r="M136" s="16" t="n">
        <v>2</v>
      </c>
      <c r="N136" s="16" t="n">
        <v>2</v>
      </c>
      <c r="O136" s="16" t="n">
        <v>1</v>
      </c>
      <c r="P136" s="16" t="n">
        <v>1</v>
      </c>
      <c r="Q136" s="16" t="inlineStr"/>
      <c r="R136" s="16" t="n">
        <v>3</v>
      </c>
      <c r="S136" s="16" t="inlineStr"/>
      <c r="T136" s="16" t="inlineStr"/>
      <c r="U136" s="16" t="inlineStr"/>
      <c r="V136" s="16" t="inlineStr"/>
      <c r="W136" s="16" t="inlineStr"/>
      <c r="X136" s="16" t="inlineStr"/>
      <c r="Y136" s="16" t="inlineStr"/>
      <c r="Z136" s="16" t="inlineStr"/>
      <c r="AA136" s="16" t="inlineStr"/>
      <c r="AB136" s="16" t="inlineStr"/>
      <c r="AC136" s="16" t="inlineStr"/>
      <c r="AD136" s="16" t="inlineStr"/>
      <c r="AE136" s="16" t="inlineStr"/>
      <c r="AF136" s="16" t="inlineStr"/>
      <c r="AG136" s="16" t="inlineStr"/>
      <c r="AH136" s="16" t="inlineStr"/>
      <c r="AI136" s="16" t="inlineStr"/>
      <c r="AJ136" s="16" t="inlineStr"/>
      <c r="AK136" s="16" t="inlineStr"/>
      <c r="AL136" s="16" t="inlineStr"/>
      <c r="AM136" s="16" t="inlineStr"/>
    </row>
    <row r="137">
      <c r="A137" s="13" t="inlineStr">
        <is>
          <t>ДГП</t>
        </is>
      </c>
      <c r="B137" s="13" t="inlineStr">
        <is>
          <t>№6 ГЕО у детей: Создание бесплатной подписки Радар+Мегасемья для детского профиля</t>
        </is>
      </c>
      <c r="C137" s="13" t="inlineStr"/>
      <c r="D137" s="13" t="inlineStr"/>
      <c r="E137" s="13" t="inlineStr">
        <is>
          <t>Миша Б</t>
        </is>
      </c>
      <c r="F137" s="13" t="inlineStr">
        <is>
          <t>QA</t>
        </is>
      </c>
      <c r="G137" s="13" t="inlineStr"/>
      <c r="H137" s="14">
        <f>IF(COUNTA(M137:AM137)=0,"",INDEX($M$1:$AM$1,AGGREGATE(15,6,(COLUMN($M$1:$AM$1)-COLUMN($M$1)+1)/(M137:AM137&lt;&gt;""),1)))</f>
        <v/>
      </c>
      <c r="I137" s="14">
        <f>IF(COUNTA(M137:AM137)=0,"",INDEX($M$1:$AM$1,AGGREGATE(14,6,(COLUMN($M$1:$AM$1)-COLUMN($M$1)+1)/(M137:AM137&lt;&gt;""),1))+MAX(0,IFERROR(LOOKUP(2,1/(M137:AM137&lt;&gt;""),M137:AM137),1)-1))</f>
        <v/>
      </c>
      <c r="J137" s="14">
        <f>IF(I137="","",WORKDAY(I137,1))</f>
        <v/>
      </c>
      <c r="K137" s="15">
        <f>IF(COUNTA(M137:AM137),SUM(M137:AM137),IF(AND(H137&lt;&gt;"",I137&lt;&gt;""),NETWORKDAYS(H137,I137),""))</f>
        <v/>
      </c>
      <c r="L137" s="13" t="inlineStr"/>
      <c r="M137" s="16" t="inlineStr"/>
      <c r="N137" s="16" t="n">
        <v>2</v>
      </c>
      <c r="O137" s="16" t="n">
        <v>3</v>
      </c>
      <c r="P137" s="16" t="n">
        <v>1</v>
      </c>
      <c r="Q137" s="16" t="inlineStr"/>
      <c r="R137" s="16" t="n">
        <v>3</v>
      </c>
      <c r="S137" s="16" t="n">
        <v>1</v>
      </c>
      <c r="T137" s="16" t="inlineStr"/>
      <c r="U137" s="16" t="inlineStr"/>
      <c r="V137" s="16" t="inlineStr"/>
      <c r="W137" s="16" t="inlineStr"/>
      <c r="X137" s="16" t="inlineStr"/>
      <c r="Y137" s="16" t="inlineStr"/>
      <c r="Z137" s="16" t="inlineStr"/>
      <c r="AA137" s="16" t="inlineStr"/>
      <c r="AB137" s="16" t="inlineStr"/>
      <c r="AC137" s="16" t="inlineStr"/>
      <c r="AD137" s="16" t="inlineStr"/>
      <c r="AE137" s="16" t="inlineStr"/>
      <c r="AF137" s="16" t="inlineStr"/>
      <c r="AG137" s="16" t="inlineStr"/>
      <c r="AH137" s="16" t="inlineStr"/>
      <c r="AI137" s="16" t="inlineStr"/>
      <c r="AJ137" s="16" t="inlineStr"/>
      <c r="AK137" s="16" t="inlineStr"/>
      <c r="AL137" s="16" t="inlineStr"/>
      <c r="AM137" s="16" t="inlineStr"/>
    </row>
    <row r="138">
      <c r="A138" s="13" t="inlineStr">
        <is>
          <t>ДГП</t>
        </is>
      </c>
      <c r="B138" s="13" t="inlineStr">
        <is>
          <t>№5 Скидки NORCA для МегаСемьи</t>
        </is>
      </c>
      <c r="C138" s="13" t="inlineStr"/>
      <c r="D138" s="13" t="inlineStr"/>
      <c r="E138" s="13" t="inlineStr">
        <is>
          <t>Никита</t>
        </is>
      </c>
      <c r="F138" s="13" t="inlineStr">
        <is>
          <t>BE</t>
        </is>
      </c>
      <c r="G138" s="13" t="inlineStr"/>
      <c r="H138" s="14">
        <f>IF(COUNTA(M138:AM138)=0,"",INDEX($M$1:$AM$1,AGGREGATE(15,6,(COLUMN($M$1:$AM$1)-COLUMN($M$1)+1)/(M138:AM138&lt;&gt;""),1)))</f>
        <v/>
      </c>
      <c r="I138" s="14">
        <f>IF(COUNTA(M138:AM138)=0,"",INDEX($M$1:$AM$1,AGGREGATE(14,6,(COLUMN($M$1:$AM$1)-COLUMN($M$1)+1)/(M138:AM138&lt;&gt;""),1))+MAX(0,IFERROR(LOOKUP(2,1/(M138:AM138&lt;&gt;""),M138:AM138),1)-1))</f>
        <v/>
      </c>
      <c r="J138" s="14">
        <f>IF(I138="","",WORKDAY(I138,1))</f>
        <v/>
      </c>
      <c r="K138" s="15">
        <f>IF(COUNTA(M138:AM138),SUM(M138:AM138),IF(AND(H138&lt;&gt;"",I138&lt;&gt;""),NETWORKDAYS(H138,I138),""))</f>
        <v/>
      </c>
      <c r="L138" s="13" t="inlineStr"/>
      <c r="M138" s="16" t="n">
        <v>1</v>
      </c>
      <c r="N138" s="16" t="inlineStr"/>
      <c r="O138" s="16" t="inlineStr"/>
      <c r="P138" s="16" t="inlineStr"/>
      <c r="Q138" s="16" t="inlineStr"/>
      <c r="R138" s="16" t="inlineStr"/>
      <c r="S138" s="16" t="inlineStr"/>
      <c r="T138" s="16" t="inlineStr"/>
      <c r="U138" s="16" t="inlineStr"/>
      <c r="V138" s="16" t="inlineStr"/>
      <c r="W138" s="16" t="inlineStr"/>
      <c r="X138" s="16" t="inlineStr"/>
      <c r="Y138" s="16" t="inlineStr"/>
      <c r="Z138" s="16" t="inlineStr"/>
      <c r="AA138" s="16" t="inlineStr"/>
      <c r="AB138" s="16" t="inlineStr"/>
      <c r="AC138" s="16" t="inlineStr"/>
      <c r="AD138" s="16" t="inlineStr"/>
      <c r="AE138" s="16" t="inlineStr"/>
      <c r="AF138" s="16" t="inlineStr"/>
      <c r="AG138" s="16" t="inlineStr"/>
      <c r="AH138" s="16" t="inlineStr"/>
      <c r="AI138" s="16" t="inlineStr"/>
      <c r="AJ138" s="16" t="inlineStr"/>
      <c r="AK138" s="16" t="inlineStr"/>
      <c r="AL138" s="16" t="inlineStr"/>
      <c r="AM138" s="16" t="inlineStr"/>
    </row>
    <row r="139">
      <c r="A139" s="13" t="inlineStr">
        <is>
          <t>ДГП</t>
        </is>
      </c>
      <c r="B139" s="13" t="inlineStr">
        <is>
          <t>№5 Скидки NORCA для МегаСемьи</t>
        </is>
      </c>
      <c r="C139" s="13" t="inlineStr"/>
      <c r="D139" s="13" t="inlineStr"/>
      <c r="E139" s="13" t="inlineStr">
        <is>
          <t>Богдан</t>
        </is>
      </c>
      <c r="F139" s="13" t="inlineStr">
        <is>
          <t>FE</t>
        </is>
      </c>
      <c r="G139" s="13" t="inlineStr"/>
      <c r="H139" s="14">
        <f>IF(COUNTA(M139:AM139)=0,"",INDEX($M$1:$AM$1,AGGREGATE(15,6,(COLUMN($M$1:$AM$1)-COLUMN($M$1)+1)/(M139:AM139&lt;&gt;""),1)))</f>
        <v/>
      </c>
      <c r="I139" s="14">
        <f>IF(COUNTA(M139:AM139)=0,"",INDEX($M$1:$AM$1,AGGREGATE(14,6,(COLUMN($M$1:$AM$1)-COLUMN($M$1)+1)/(M139:AM139&lt;&gt;""),1))+MAX(0,IFERROR(LOOKUP(2,1/(M139:AM139&lt;&gt;""),M139:AM139),1)-1))</f>
        <v/>
      </c>
      <c r="J139" s="14">
        <f>IF(I139="","",WORKDAY(I139,1))</f>
        <v/>
      </c>
      <c r="K139" s="15">
        <f>IF(COUNTA(M139:AM139),SUM(M139:AM139),IF(AND(H139&lt;&gt;"",I139&lt;&gt;""),NETWORKDAYS(H139,I139),""))</f>
        <v/>
      </c>
      <c r="L139" s="13" t="inlineStr"/>
      <c r="M139" s="16" t="n">
        <v>3</v>
      </c>
      <c r="N139" s="16" t="inlineStr"/>
      <c r="O139" s="16" t="inlineStr"/>
      <c r="P139" s="16" t="inlineStr"/>
      <c r="Q139" s="16" t="inlineStr"/>
      <c r="R139" s="16" t="inlineStr"/>
      <c r="S139" s="16" t="inlineStr"/>
      <c r="T139" s="16" t="inlineStr"/>
      <c r="U139" s="16" t="inlineStr"/>
      <c r="V139" s="16" t="inlineStr"/>
      <c r="W139" s="16" t="inlineStr"/>
      <c r="X139" s="16" t="inlineStr"/>
      <c r="Y139" s="16" t="inlineStr"/>
      <c r="Z139" s="16" t="inlineStr"/>
      <c r="AA139" s="16" t="inlineStr"/>
      <c r="AB139" s="16" t="inlineStr"/>
      <c r="AC139" s="16" t="inlineStr"/>
      <c r="AD139" s="16" t="inlineStr"/>
      <c r="AE139" s="16" t="inlineStr"/>
      <c r="AF139" s="16" t="inlineStr"/>
      <c r="AG139" s="16" t="inlineStr"/>
      <c r="AH139" s="16" t="inlineStr"/>
      <c r="AI139" s="16" t="inlineStr"/>
      <c r="AJ139" s="16" t="inlineStr"/>
      <c r="AK139" s="16" t="inlineStr"/>
      <c r="AL139" s="16" t="inlineStr"/>
      <c r="AM139" s="16" t="inlineStr"/>
    </row>
    <row r="140">
      <c r="A140" s="13" t="inlineStr">
        <is>
          <t>ДГП</t>
        </is>
      </c>
      <c r="B140" s="13" t="inlineStr">
        <is>
          <t>№5 Скидки NORCA для МегаСемьи</t>
        </is>
      </c>
      <c r="C140" s="13" t="inlineStr"/>
      <c r="D140" s="13" t="inlineStr"/>
      <c r="E140" s="13" t="inlineStr">
        <is>
          <t>Антон</t>
        </is>
      </c>
      <c r="F140" s="13" t="inlineStr">
        <is>
          <t>QA</t>
        </is>
      </c>
      <c r="G140" s="13" t="inlineStr"/>
      <c r="H140" s="14">
        <f>IF(COUNTA(M140:AM140)=0,"",INDEX($M$1:$AM$1,AGGREGATE(15,6,(COLUMN($M$1:$AM$1)-COLUMN($M$1)+1)/(M140:AM140&lt;&gt;""),1)))</f>
        <v/>
      </c>
      <c r="I140" s="14">
        <f>IF(COUNTA(M140:AM140)=0,"",INDEX($M$1:$AM$1,AGGREGATE(14,6,(COLUMN($M$1:$AM$1)-COLUMN($M$1)+1)/(M140:AM140&lt;&gt;""),1))+MAX(0,IFERROR(LOOKUP(2,1/(M140:AM140&lt;&gt;""),M140:AM140),1)-1))</f>
        <v/>
      </c>
      <c r="J140" s="14">
        <f>IF(I140="","",WORKDAY(I140,1))</f>
        <v/>
      </c>
      <c r="K140" s="15">
        <f>IF(COUNTA(M140:AM140),SUM(M140:AM140),IF(AND(H140&lt;&gt;"",I140&lt;&gt;""),NETWORKDAYS(H140,I140),""))</f>
        <v/>
      </c>
      <c r="L140" s="13" t="inlineStr"/>
      <c r="M140" s="16" t="n">
        <v>2</v>
      </c>
      <c r="N140" s="16" t="n">
        <v>2</v>
      </c>
      <c r="O140" s="16" t="inlineStr"/>
      <c r="P140" s="16" t="inlineStr"/>
      <c r="Q140" s="16" t="inlineStr"/>
      <c r="R140" s="16" t="inlineStr"/>
      <c r="S140" s="16" t="inlineStr"/>
      <c r="T140" s="16" t="inlineStr"/>
      <c r="U140" s="16" t="inlineStr"/>
      <c r="V140" s="16" t="inlineStr"/>
      <c r="W140" s="16" t="inlineStr"/>
      <c r="X140" s="16" t="inlineStr"/>
      <c r="Y140" s="16" t="inlineStr"/>
      <c r="Z140" s="16" t="inlineStr"/>
      <c r="AA140" s="16" t="inlineStr"/>
      <c r="AB140" s="16" t="inlineStr"/>
      <c r="AC140" s="16" t="inlineStr"/>
      <c r="AD140" s="16" t="inlineStr"/>
      <c r="AE140" s="16" t="inlineStr"/>
      <c r="AF140" s="16" t="inlineStr"/>
      <c r="AG140" s="16" t="inlineStr"/>
      <c r="AH140" s="16" t="inlineStr"/>
      <c r="AI140" s="16" t="inlineStr"/>
      <c r="AJ140" s="16" t="inlineStr"/>
      <c r="AK140" s="16" t="inlineStr"/>
      <c r="AL140" s="16" t="inlineStr"/>
      <c r="AM140" s="16" t="inlineStr"/>
    </row>
    <row r="141">
      <c r="A141" s="13" t="inlineStr">
        <is>
          <t>Тарифы</t>
        </is>
      </c>
      <c r="B141" s="13" t="inlineStr">
        <is>
          <t>Новая карточка тарифа (cайт, мнп, есим)</t>
        </is>
      </c>
      <c r="C141" s="13" t="inlineStr"/>
      <c r="D141" s="13" t="inlineStr"/>
      <c r="E141" s="13" t="inlineStr">
        <is>
          <t>Калинкин</t>
        </is>
      </c>
      <c r="F141" s="13" t="inlineStr">
        <is>
          <t>Дизайн</t>
        </is>
      </c>
      <c r="G141" s="13" t="inlineStr"/>
      <c r="H141" s="14">
        <f>IF(COUNTA(M141:AM141)=0,"",INDEX($M$1:$AM$1,AGGREGATE(15,6,(COLUMN($M$1:$AM$1)-COLUMN($M$1)+1)/(M141:AM141&lt;&gt;""),1)))</f>
        <v/>
      </c>
      <c r="I141" s="14">
        <f>IF(COUNTA(M141:AM141)=0,"",INDEX($M$1:$AM$1,AGGREGATE(14,6,(COLUMN($M$1:$AM$1)-COLUMN($M$1)+1)/(M141:AM141&lt;&gt;""),1))+MAX(0,IFERROR(LOOKUP(2,1/(M141:AM141&lt;&gt;""),M141:AM141),1)-1))</f>
        <v/>
      </c>
      <c r="J141" s="14">
        <f>IF(I141="","",WORKDAY(I141,1))</f>
        <v/>
      </c>
      <c r="K141" s="15">
        <f>IF(COUNTA(M141:AM141),SUM(M141:AM141),IF(AND(H141&lt;&gt;"",I141&lt;&gt;""),NETWORKDAYS(H141,I141),""))</f>
        <v/>
      </c>
      <c r="L141" s="13" t="inlineStr"/>
      <c r="M141" s="16" t="inlineStr"/>
      <c r="N141" s="16" t="inlineStr"/>
      <c r="O141" s="16" t="inlineStr"/>
      <c r="P141" s="16" t="inlineStr"/>
      <c r="Q141" s="16" t="inlineStr"/>
      <c r="R141" s="16" t="n">
        <v>5</v>
      </c>
      <c r="S141" s="16" t="n">
        <v>2</v>
      </c>
      <c r="T141" s="16" t="inlineStr"/>
      <c r="U141" s="16" t="inlineStr"/>
      <c r="V141" s="16" t="inlineStr"/>
      <c r="W141" s="16" t="inlineStr"/>
      <c r="X141" s="16" t="inlineStr"/>
      <c r="Y141" s="16" t="inlineStr"/>
      <c r="Z141" s="16" t="inlineStr"/>
      <c r="AA141" s="16" t="inlineStr"/>
      <c r="AB141" s="16" t="inlineStr"/>
      <c r="AC141" s="16" t="inlineStr"/>
      <c r="AD141" s="16" t="inlineStr"/>
      <c r="AE141" s="16" t="inlineStr"/>
      <c r="AF141" s="16" t="inlineStr"/>
      <c r="AG141" s="16" t="inlineStr"/>
      <c r="AH141" s="16" t="inlineStr"/>
      <c r="AI141" s="16" t="inlineStr"/>
      <c r="AJ141" s="16" t="inlineStr"/>
      <c r="AK141" s="16" t="inlineStr"/>
      <c r="AL141" s="16" t="inlineStr"/>
      <c r="AM141" s="16" t="inlineStr"/>
    </row>
    <row r="142">
      <c r="A142" s="13" t="inlineStr">
        <is>
          <t>Тарифы</t>
        </is>
      </c>
      <c r="B142" s="13" t="inlineStr">
        <is>
          <t>Новая карточка тарифа (cайт, мнп, есим)</t>
        </is>
      </c>
      <c r="C142" s="13" t="inlineStr"/>
      <c r="D142" s="13" t="inlineStr"/>
      <c r="E142" s="13" t="inlineStr">
        <is>
          <t>Мерзликин Антон</t>
        </is>
      </c>
      <c r="F142" s="13" t="inlineStr">
        <is>
          <t>SA</t>
        </is>
      </c>
      <c r="G142" s="13" t="inlineStr"/>
      <c r="H142" s="14">
        <f>IF(COUNTA(M142:AM142)=0,"",INDEX($M$1:$AM$1,AGGREGATE(15,6,(COLUMN($M$1:$AM$1)-COLUMN($M$1)+1)/(M142:AM142&lt;&gt;""),1)))</f>
        <v/>
      </c>
      <c r="I142" s="14">
        <f>IF(COUNTA(M142:AM142)=0,"",INDEX($M$1:$AM$1,AGGREGATE(14,6,(COLUMN($M$1:$AM$1)-COLUMN($M$1)+1)/(M142:AM142&lt;&gt;""),1))+MAX(0,IFERROR(LOOKUP(2,1/(M142:AM142&lt;&gt;""),M142:AM142),1)-1))</f>
        <v/>
      </c>
      <c r="J142" s="14">
        <f>IF(I142="","",WORKDAY(I142,1))</f>
        <v/>
      </c>
      <c r="K142" s="15">
        <f>IF(COUNTA(M142:AM142),SUM(M142:AM142),IF(AND(H142&lt;&gt;"",I142&lt;&gt;""),NETWORKDAYS(H142,I142),""))</f>
        <v/>
      </c>
      <c r="L142" s="13" t="inlineStr"/>
      <c r="M142" s="16" t="inlineStr"/>
      <c r="N142" s="16" t="inlineStr"/>
      <c r="O142" s="16" t="inlineStr"/>
      <c r="P142" s="16" t="inlineStr"/>
      <c r="Q142" s="16" t="inlineStr"/>
      <c r="R142" s="16" t="inlineStr"/>
      <c r="S142" s="16" t="n">
        <v>3</v>
      </c>
      <c r="T142" s="16" t="inlineStr"/>
      <c r="U142" s="16" t="inlineStr"/>
      <c r="V142" s="16" t="inlineStr"/>
      <c r="W142" s="16" t="inlineStr"/>
      <c r="X142" s="16" t="inlineStr"/>
      <c r="Y142" s="16" t="inlineStr"/>
      <c r="Z142" s="16" t="inlineStr"/>
      <c r="AA142" s="16" t="inlineStr"/>
      <c r="AB142" s="16" t="inlineStr"/>
      <c r="AC142" s="16" t="inlineStr"/>
      <c r="AD142" s="16" t="inlineStr"/>
      <c r="AE142" s="16" t="inlineStr"/>
      <c r="AF142" s="16" t="inlineStr"/>
      <c r="AG142" s="16" t="inlineStr"/>
      <c r="AH142" s="16" t="inlineStr"/>
      <c r="AI142" s="16" t="inlineStr"/>
      <c r="AJ142" s="16" t="inlineStr"/>
      <c r="AK142" s="16" t="inlineStr"/>
      <c r="AL142" s="16" t="inlineStr"/>
      <c r="AM142" s="16" t="inlineStr"/>
    </row>
    <row r="143">
      <c r="A143" s="13" t="inlineStr">
        <is>
          <t>Тарифы</t>
        </is>
      </c>
      <c r="B143" s="13" t="inlineStr">
        <is>
          <t>Новая карточка тарифа (cайт, мнп, есим)</t>
        </is>
      </c>
      <c r="C143" s="13" t="inlineStr"/>
      <c r="D143" s="13" t="inlineStr"/>
      <c r="E143" s="13" t="inlineStr">
        <is>
          <t>Успенский Павел</t>
        </is>
      </c>
      <c r="F143" s="13" t="inlineStr">
        <is>
          <t>BE</t>
        </is>
      </c>
      <c r="G143" s="13" t="inlineStr"/>
      <c r="H143" s="14">
        <f>IF(COUNTA(M143:AM143)=0,"",INDEX($M$1:$AM$1,AGGREGATE(15,6,(COLUMN($M$1:$AM$1)-COLUMN($M$1)+1)/(M143:AM143&lt;&gt;""),1)))</f>
        <v/>
      </c>
      <c r="I143" s="14">
        <f>IF(COUNTA(M143:AM143)=0,"",INDEX($M$1:$AM$1,AGGREGATE(14,6,(COLUMN($M$1:$AM$1)-COLUMN($M$1)+1)/(M143:AM143&lt;&gt;""),1))+MAX(0,IFERROR(LOOKUP(2,1/(M143:AM143&lt;&gt;""),M143:AM143),1)-1))</f>
        <v/>
      </c>
      <c r="J143" s="14">
        <f>IF(I143="","",WORKDAY(I143,1))</f>
        <v/>
      </c>
      <c r="K143" s="15">
        <f>IF(COUNTA(M143:AM143),SUM(M143:AM143),IF(AND(H143&lt;&gt;"",I143&lt;&gt;""),NETWORKDAYS(H143,I143),""))</f>
        <v/>
      </c>
      <c r="L143" s="13" t="inlineStr"/>
      <c r="M143" s="16" t="inlineStr"/>
      <c r="N143" s="16" t="inlineStr"/>
      <c r="O143" s="16" t="inlineStr"/>
      <c r="P143" s="16" t="inlineStr"/>
      <c r="Q143" s="16" t="inlineStr"/>
      <c r="R143" s="16" t="inlineStr"/>
      <c r="S143" s="16" t="n">
        <v>4</v>
      </c>
      <c r="T143" s="16" t="n">
        <v>3</v>
      </c>
      <c r="U143" s="16" t="inlineStr"/>
      <c r="V143" s="16" t="inlineStr"/>
      <c r="W143" s="16" t="inlineStr"/>
      <c r="X143" s="16" t="inlineStr"/>
      <c r="Y143" s="16" t="inlineStr"/>
      <c r="Z143" s="16" t="inlineStr"/>
      <c r="AA143" s="16" t="inlineStr"/>
      <c r="AB143" s="16" t="inlineStr"/>
      <c r="AC143" s="16" t="inlineStr"/>
      <c r="AD143" s="16" t="inlineStr"/>
      <c r="AE143" s="16" t="inlineStr"/>
      <c r="AF143" s="16" t="inlineStr"/>
      <c r="AG143" s="16" t="inlineStr"/>
      <c r="AH143" s="16" t="inlineStr"/>
      <c r="AI143" s="16" t="inlineStr"/>
      <c r="AJ143" s="16" t="inlineStr"/>
      <c r="AK143" s="16" t="inlineStr"/>
      <c r="AL143" s="16" t="inlineStr"/>
      <c r="AM143" s="16" t="inlineStr"/>
    </row>
    <row r="144">
      <c r="A144" s="13" t="inlineStr">
        <is>
          <t>Тарифы</t>
        </is>
      </c>
      <c r="B144" s="13" t="inlineStr">
        <is>
          <t>Новая карточка тарифа (cайт, мнп, есим)</t>
        </is>
      </c>
      <c r="C144" s="13" t="inlineStr"/>
      <c r="D144" s="13" t="inlineStr"/>
      <c r="E144" s="13" t="inlineStr">
        <is>
          <t>Косенко Данил</t>
        </is>
      </c>
      <c r="F144" s="13" t="inlineStr">
        <is>
          <t>FE</t>
        </is>
      </c>
      <c r="G144" s="13" t="inlineStr"/>
      <c r="H144" s="14">
        <f>IF(COUNTA(M144:AM144)=0,"",INDEX($M$1:$AM$1,AGGREGATE(15,6,(COLUMN($M$1:$AM$1)-COLUMN($M$1)+1)/(M144:AM144&lt;&gt;""),1)))</f>
        <v/>
      </c>
      <c r="I144" s="14">
        <f>IF(COUNTA(M144:AM144)=0,"",INDEX($M$1:$AM$1,AGGREGATE(14,6,(COLUMN($M$1:$AM$1)-COLUMN($M$1)+1)/(M144:AM144&lt;&gt;""),1))+MAX(0,IFERROR(LOOKUP(2,1/(M144:AM144&lt;&gt;""),M144:AM144),1)-1))</f>
        <v/>
      </c>
      <c r="J144" s="14">
        <f>IF(I144="","",WORKDAY(I144,1))</f>
        <v/>
      </c>
      <c r="K144" s="15">
        <f>IF(COUNTA(M144:AM144),SUM(M144:AM144),IF(AND(H144&lt;&gt;"",I144&lt;&gt;""),NETWORKDAYS(H144,I144),""))</f>
        <v/>
      </c>
      <c r="L144" s="13" t="inlineStr"/>
      <c r="M144" s="16" t="inlineStr"/>
      <c r="N144" s="16" t="inlineStr"/>
      <c r="O144" s="16" t="inlineStr"/>
      <c r="P144" s="16" t="inlineStr"/>
      <c r="Q144" s="16" t="inlineStr"/>
      <c r="R144" s="16" t="inlineStr"/>
      <c r="S144" s="16" t="n">
        <v>3</v>
      </c>
      <c r="T144" s="16" t="n">
        <v>5</v>
      </c>
      <c r="U144" s="16" t="n">
        <v>5</v>
      </c>
      <c r="V144" s="16" t="inlineStr"/>
      <c r="W144" s="16" t="inlineStr"/>
      <c r="X144" s="16" t="inlineStr"/>
      <c r="Y144" s="16" t="inlineStr"/>
      <c r="Z144" s="16" t="inlineStr"/>
      <c r="AA144" s="16" t="inlineStr"/>
      <c r="AB144" s="16" t="inlineStr"/>
      <c r="AC144" s="16" t="inlineStr"/>
      <c r="AD144" s="16" t="inlineStr"/>
      <c r="AE144" s="16" t="inlineStr"/>
      <c r="AF144" s="16" t="inlineStr"/>
      <c r="AG144" s="16" t="inlineStr"/>
      <c r="AH144" s="16" t="inlineStr"/>
      <c r="AI144" s="16" t="inlineStr"/>
      <c r="AJ144" s="16" t="inlineStr"/>
      <c r="AK144" s="16" t="inlineStr"/>
      <c r="AL144" s="16" t="inlineStr"/>
      <c r="AM144" s="16" t="inlineStr"/>
    </row>
    <row r="145">
      <c r="A145" s="13" t="inlineStr">
        <is>
          <t>Тарифы</t>
        </is>
      </c>
      <c r="B145" s="13" t="inlineStr">
        <is>
          <t>Новая карточка тарифа (cайт, мнп, есим)</t>
        </is>
      </c>
      <c r="C145" s="13" t="inlineStr"/>
      <c r="D145" s="13" t="inlineStr"/>
      <c r="E145" s="13" t="inlineStr">
        <is>
          <t>Шлотгауэр Иван</t>
        </is>
      </c>
      <c r="F145" s="13" t="inlineStr">
        <is>
          <t>QA</t>
        </is>
      </c>
      <c r="G145" s="13" t="inlineStr"/>
      <c r="H145" s="14">
        <f>IF(COUNTA(M145:AM145)=0,"",INDEX($M$1:$AM$1,AGGREGATE(15,6,(COLUMN($M$1:$AM$1)-COLUMN($M$1)+1)/(M145:AM145&lt;&gt;""),1)))</f>
        <v/>
      </c>
      <c r="I145" s="14">
        <f>IF(COUNTA(M145:AM145)=0,"",INDEX($M$1:$AM$1,AGGREGATE(14,6,(COLUMN($M$1:$AM$1)-COLUMN($M$1)+1)/(M145:AM145&lt;&gt;""),1))+MAX(0,IFERROR(LOOKUP(2,1/(M145:AM145&lt;&gt;""),M145:AM145),1)-1))</f>
        <v/>
      </c>
      <c r="J145" s="14">
        <f>IF(I145="","",WORKDAY(I145,1))</f>
        <v/>
      </c>
      <c r="K145" s="15">
        <f>IF(COUNTA(M145:AM145),SUM(M145:AM145),IF(AND(H145&lt;&gt;"",I145&lt;&gt;""),NETWORKDAYS(H145,I145),""))</f>
        <v/>
      </c>
      <c r="L145" s="13" t="inlineStr"/>
      <c r="M145" s="16" t="inlineStr"/>
      <c r="N145" s="16" t="inlineStr"/>
      <c r="O145" s="16" t="inlineStr"/>
      <c r="P145" s="16" t="inlineStr"/>
      <c r="Q145" s="16" t="inlineStr"/>
      <c r="R145" s="16" t="inlineStr"/>
      <c r="S145" s="16" t="inlineStr"/>
      <c r="T145" s="16" t="inlineStr"/>
      <c r="U145" s="16" t="inlineStr"/>
      <c r="V145" s="16" t="n">
        <v>5</v>
      </c>
      <c r="W145" s="16" t="inlineStr"/>
      <c r="X145" s="16" t="inlineStr"/>
      <c r="Y145" s="16" t="inlineStr"/>
      <c r="Z145" s="16" t="inlineStr"/>
      <c r="AA145" s="16" t="inlineStr"/>
      <c r="AB145" s="16" t="inlineStr"/>
      <c r="AC145" s="16" t="inlineStr"/>
      <c r="AD145" s="16" t="inlineStr"/>
      <c r="AE145" s="16" t="inlineStr"/>
      <c r="AF145" s="16" t="inlineStr"/>
      <c r="AG145" s="16" t="inlineStr"/>
      <c r="AH145" s="16" t="inlineStr"/>
      <c r="AI145" s="16" t="inlineStr"/>
      <c r="AJ145" s="16" t="inlineStr"/>
      <c r="AK145" s="16" t="inlineStr"/>
      <c r="AL145" s="16" t="inlineStr"/>
      <c r="AM145" s="16" t="inlineStr"/>
    </row>
    <row r="146">
      <c r="A146" s="13" t="inlineStr">
        <is>
          <t>Тарифы</t>
        </is>
      </c>
      <c r="B146" s="13" t="inlineStr">
        <is>
          <t>Новая карточка тарифа (cайт, мнп, есим)</t>
        </is>
      </c>
      <c r="C146" s="13" t="inlineStr"/>
      <c r="D146" s="13" t="inlineStr"/>
      <c r="E146" s="13" t="inlineStr">
        <is>
          <t>Крымов</t>
        </is>
      </c>
      <c r="F146" s="13" t="inlineStr">
        <is>
          <t>Контент</t>
        </is>
      </c>
      <c r="G146" s="13" t="inlineStr"/>
      <c r="H146" s="14">
        <f>IF(COUNTA(M146:AM146)=0,"",INDEX($M$1:$AM$1,AGGREGATE(15,6,(COLUMN($M$1:$AM$1)-COLUMN($M$1)+1)/(M146:AM146&lt;&gt;""),1)))</f>
        <v/>
      </c>
      <c r="I146" s="14">
        <f>IF(COUNTA(M146:AM146)=0,"",INDEX($M$1:$AM$1,AGGREGATE(14,6,(COLUMN($M$1:$AM$1)-COLUMN($M$1)+1)/(M146:AM146&lt;&gt;""),1))+MAX(0,IFERROR(LOOKUP(2,1/(M146:AM146&lt;&gt;""),M146:AM146),1)-1))</f>
        <v/>
      </c>
      <c r="J146" s="14">
        <f>IF(I146="","",WORKDAY(I146,1))</f>
        <v/>
      </c>
      <c r="K146" s="15">
        <f>IF(COUNTA(M146:AM146),SUM(M146:AM146),IF(AND(H146&lt;&gt;"",I146&lt;&gt;""),NETWORKDAYS(H146,I146),""))</f>
        <v/>
      </c>
      <c r="L146" s="13" t="inlineStr"/>
      <c r="M146" s="16" t="inlineStr"/>
      <c r="N146" s="16" t="inlineStr"/>
      <c r="O146" s="16" t="inlineStr"/>
      <c r="P146" s="16" t="inlineStr"/>
      <c r="Q146" s="16" t="inlineStr"/>
      <c r="R146" s="16" t="n">
        <v>1</v>
      </c>
      <c r="S146" s="16" t="n">
        <v>5</v>
      </c>
      <c r="T146" s="16" t="n">
        <v>4</v>
      </c>
      <c r="U146" s="16" t="inlineStr"/>
      <c r="V146" s="16" t="inlineStr"/>
      <c r="W146" s="16" t="inlineStr"/>
      <c r="X146" s="16" t="inlineStr"/>
      <c r="Y146" s="16" t="inlineStr"/>
      <c r="Z146" s="16" t="inlineStr"/>
      <c r="AA146" s="16" t="inlineStr"/>
      <c r="AB146" s="16" t="inlineStr"/>
      <c r="AC146" s="16" t="inlineStr"/>
      <c r="AD146" s="16" t="inlineStr"/>
      <c r="AE146" s="16" t="inlineStr"/>
      <c r="AF146" s="16" t="inlineStr"/>
      <c r="AG146" s="16" t="inlineStr"/>
      <c r="AH146" s="16" t="inlineStr"/>
      <c r="AI146" s="16" t="inlineStr"/>
      <c r="AJ146" s="16" t="inlineStr"/>
      <c r="AK146" s="16" t="inlineStr"/>
      <c r="AL146" s="16" t="inlineStr"/>
      <c r="AM146" s="16" t="inlineStr"/>
    </row>
    <row r="147">
      <c r="A147" s="13" t="inlineStr">
        <is>
          <t>Тарифы</t>
        </is>
      </c>
      <c r="B147" s="13" t="inlineStr">
        <is>
          <t>Новая детальная страница тарифа (Сайт)</t>
        </is>
      </c>
      <c r="C147" s="13" t="inlineStr"/>
      <c r="D147" s="13" t="inlineStr"/>
      <c r="E147" s="13" t="inlineStr">
        <is>
          <t>Калинкин</t>
        </is>
      </c>
      <c r="F147" s="13" t="inlineStr">
        <is>
          <t>Дизайн</t>
        </is>
      </c>
      <c r="G147" s="13" t="inlineStr"/>
      <c r="H147" s="14">
        <f>IF(COUNTA(M147:AM147)=0,"",INDEX($M$1:$AM$1,AGGREGATE(15,6,(COLUMN($M$1:$AM$1)-COLUMN($M$1)+1)/(M147:AM147&lt;&gt;""),1)))</f>
        <v/>
      </c>
      <c r="I147" s="14">
        <f>IF(COUNTA(M147:AM147)=0,"",INDEX($M$1:$AM$1,AGGREGATE(14,6,(COLUMN($M$1:$AM$1)-COLUMN($M$1)+1)/(M147:AM147&lt;&gt;""),1))+MAX(0,IFERROR(LOOKUP(2,1/(M147:AM147&lt;&gt;""),M147:AM147),1)-1))</f>
        <v/>
      </c>
      <c r="J147" s="14">
        <f>IF(I147="","",WORKDAY(I147,1))</f>
        <v/>
      </c>
      <c r="K147" s="15">
        <f>IF(COUNTA(M147:AM147),SUM(M147:AM147),IF(AND(H147&lt;&gt;"",I147&lt;&gt;""),NETWORKDAYS(H147,I147),""))</f>
        <v/>
      </c>
      <c r="L147" s="13" t="inlineStr"/>
      <c r="M147" s="16" t="inlineStr"/>
      <c r="N147" s="16" t="inlineStr"/>
      <c r="O147" s="16" t="inlineStr"/>
      <c r="P147" s="16" t="inlineStr"/>
      <c r="Q147" s="16" t="inlineStr"/>
      <c r="R147" s="16" t="n">
        <v>5</v>
      </c>
      <c r="S147" s="16" t="n">
        <v>5</v>
      </c>
      <c r="T147" s="16" t="n">
        <v>5</v>
      </c>
      <c r="U147" s="16" t="n">
        <v>5</v>
      </c>
      <c r="V147" s="16" t="n">
        <v>1</v>
      </c>
      <c r="W147" s="16" t="inlineStr"/>
      <c r="X147" s="16" t="inlineStr"/>
      <c r="Y147" s="16" t="inlineStr"/>
      <c r="Z147" s="16" t="inlineStr"/>
      <c r="AA147" s="16" t="inlineStr"/>
      <c r="AB147" s="16" t="inlineStr"/>
      <c r="AC147" s="16" t="inlineStr"/>
      <c r="AD147" s="16" t="inlineStr"/>
      <c r="AE147" s="16" t="inlineStr"/>
      <c r="AF147" s="16" t="inlineStr"/>
      <c r="AG147" s="16" t="inlineStr"/>
      <c r="AH147" s="16" t="inlineStr"/>
      <c r="AI147" s="16" t="inlineStr"/>
      <c r="AJ147" s="16" t="inlineStr"/>
      <c r="AK147" s="16" t="inlineStr"/>
      <c r="AL147" s="16" t="inlineStr"/>
      <c r="AM147" s="16" t="inlineStr"/>
    </row>
    <row r="148">
      <c r="A148" s="13" t="inlineStr">
        <is>
          <t>Тарифы</t>
        </is>
      </c>
      <c r="B148" s="13" t="inlineStr">
        <is>
          <t>Новая детальная страница тарифа (Сайт)</t>
        </is>
      </c>
      <c r="C148" s="13" t="inlineStr"/>
      <c r="D148" s="13" t="inlineStr"/>
      <c r="E148" s="13" t="inlineStr">
        <is>
          <t>Мерзликин Антон</t>
        </is>
      </c>
      <c r="F148" s="13" t="inlineStr">
        <is>
          <t>SA</t>
        </is>
      </c>
      <c r="G148" s="13" t="inlineStr"/>
      <c r="H148" s="14">
        <f>IF(COUNTA(M148:AM148)=0,"",INDEX($M$1:$AM$1,AGGREGATE(15,6,(COLUMN($M$1:$AM$1)-COLUMN($M$1)+1)/(M148:AM148&lt;&gt;""),1)))</f>
        <v/>
      </c>
      <c r="I148" s="14">
        <f>IF(COUNTA(M148:AM148)=0,"",INDEX($M$1:$AM$1,AGGREGATE(14,6,(COLUMN($M$1:$AM$1)-COLUMN($M$1)+1)/(M148:AM148&lt;&gt;""),1))+MAX(0,IFERROR(LOOKUP(2,1/(M148:AM148&lt;&gt;""),M148:AM148),1)-1))</f>
        <v/>
      </c>
      <c r="J148" s="14">
        <f>IF(I148="","",WORKDAY(I148,1))</f>
        <v/>
      </c>
      <c r="K148" s="15">
        <f>IF(COUNTA(M148:AM148),SUM(M148:AM148),IF(AND(H148&lt;&gt;"",I148&lt;&gt;""),NETWORKDAYS(H148,I148),""))</f>
        <v/>
      </c>
      <c r="L148" s="13" t="inlineStr"/>
      <c r="M148" s="16" t="inlineStr"/>
      <c r="N148" s="16" t="inlineStr"/>
      <c r="O148" s="16" t="inlineStr"/>
      <c r="P148" s="16" t="inlineStr"/>
      <c r="Q148" s="16" t="inlineStr"/>
      <c r="R148" s="16" t="n">
        <v>2</v>
      </c>
      <c r="S148" s="16" t="n">
        <v>5</v>
      </c>
      <c r="T148" s="16" t="n">
        <v>5</v>
      </c>
      <c r="U148" s="16" t="n">
        <v>5</v>
      </c>
      <c r="V148" s="16" t="n">
        <v>5</v>
      </c>
      <c r="W148" s="16" t="inlineStr"/>
      <c r="X148" s="16" t="inlineStr"/>
      <c r="Y148" s="16" t="inlineStr"/>
      <c r="Z148" s="16" t="inlineStr"/>
      <c r="AA148" s="16" t="inlineStr"/>
      <c r="AB148" s="16" t="inlineStr"/>
      <c r="AC148" s="16" t="inlineStr"/>
      <c r="AD148" s="16" t="inlineStr"/>
      <c r="AE148" s="16" t="inlineStr"/>
      <c r="AF148" s="16" t="inlineStr"/>
      <c r="AG148" s="16" t="inlineStr"/>
      <c r="AH148" s="16" t="inlineStr"/>
      <c r="AI148" s="16" t="inlineStr"/>
      <c r="AJ148" s="16" t="inlineStr"/>
      <c r="AK148" s="16" t="inlineStr"/>
      <c r="AL148" s="16" t="inlineStr"/>
      <c r="AM148" s="16" t="inlineStr"/>
    </row>
    <row r="149">
      <c r="A149" s="13" t="inlineStr">
        <is>
          <t>Тарифы</t>
        </is>
      </c>
      <c r="B149" s="13" t="inlineStr">
        <is>
          <t>Новая детальная страница тарифа (Сайт)</t>
        </is>
      </c>
      <c r="C149" s="13" t="inlineStr"/>
      <c r="D149" s="13" t="inlineStr"/>
      <c r="E149" s="13" t="inlineStr">
        <is>
          <t>Успенский Павел</t>
        </is>
      </c>
      <c r="F149" s="13" t="inlineStr">
        <is>
          <t>BE</t>
        </is>
      </c>
      <c r="G149" s="13" t="inlineStr"/>
      <c r="H149" s="14">
        <f>IF(COUNTA(M149:AM149)=0,"",INDEX($M$1:$AM$1,AGGREGATE(15,6,(COLUMN($M$1:$AM$1)-COLUMN($M$1)+1)/(M149:AM149&lt;&gt;""),1)))</f>
        <v/>
      </c>
      <c r="I149" s="14">
        <f>IF(COUNTA(M149:AM149)=0,"",INDEX($M$1:$AM$1,AGGREGATE(14,6,(COLUMN($M$1:$AM$1)-COLUMN($M$1)+1)/(M149:AM149&lt;&gt;""),1))+MAX(0,IFERROR(LOOKUP(2,1/(M149:AM149&lt;&gt;""),M149:AM149),1)-1))</f>
        <v/>
      </c>
      <c r="J149" s="14">
        <f>IF(I149="","",WORKDAY(I149,1))</f>
        <v/>
      </c>
      <c r="K149" s="15">
        <f>IF(COUNTA(M149:AM149),SUM(M149:AM149),IF(AND(H149&lt;&gt;"",I149&lt;&gt;""),NETWORKDAYS(H149,I149),""))</f>
        <v/>
      </c>
      <c r="L149" s="13" t="inlineStr"/>
      <c r="M149" s="16" t="inlineStr"/>
      <c r="N149" s="16" t="inlineStr"/>
      <c r="O149" s="16" t="inlineStr"/>
      <c r="P149" s="16" t="inlineStr"/>
      <c r="Q149" s="16" t="inlineStr"/>
      <c r="R149" s="16" t="inlineStr"/>
      <c r="S149" s="16" t="n">
        <v>4</v>
      </c>
      <c r="T149" s="16" t="n">
        <v>5</v>
      </c>
      <c r="U149" s="16" t="n">
        <v>5</v>
      </c>
      <c r="V149" s="16" t="n">
        <v>5</v>
      </c>
      <c r="W149" s="16" t="n">
        <v>3</v>
      </c>
      <c r="X149" s="16" t="inlineStr"/>
      <c r="Y149" s="16" t="inlineStr"/>
      <c r="Z149" s="16" t="inlineStr"/>
      <c r="AA149" s="16" t="inlineStr"/>
      <c r="AB149" s="16" t="inlineStr"/>
      <c r="AC149" s="16" t="inlineStr"/>
      <c r="AD149" s="16" t="inlineStr"/>
      <c r="AE149" s="16" t="inlineStr"/>
      <c r="AF149" s="16" t="inlineStr"/>
      <c r="AG149" s="16" t="inlineStr"/>
      <c r="AH149" s="16" t="inlineStr"/>
      <c r="AI149" s="16" t="inlineStr"/>
      <c r="AJ149" s="16" t="inlineStr"/>
      <c r="AK149" s="16" t="inlineStr"/>
      <c r="AL149" s="16" t="inlineStr"/>
      <c r="AM149" s="16" t="inlineStr"/>
    </row>
    <row r="150">
      <c r="A150" s="13" t="inlineStr">
        <is>
          <t>Тарифы</t>
        </is>
      </c>
      <c r="B150" s="13" t="inlineStr">
        <is>
          <t>Новая детальная страница тарифа (Сайт)</t>
        </is>
      </c>
      <c r="C150" s="13" t="inlineStr"/>
      <c r="D150" s="13" t="inlineStr"/>
      <c r="E150" s="13" t="inlineStr">
        <is>
          <t>Косенко Данил</t>
        </is>
      </c>
      <c r="F150" s="13" t="inlineStr">
        <is>
          <t>FE</t>
        </is>
      </c>
      <c r="G150" s="13" t="inlineStr"/>
      <c r="H150" s="14">
        <f>IF(COUNTA(M150:AM150)=0,"",INDEX($M$1:$AM$1,AGGREGATE(15,6,(COLUMN($M$1:$AM$1)-COLUMN($M$1)+1)/(M150:AM150&lt;&gt;""),1)))</f>
        <v/>
      </c>
      <c r="I150" s="14">
        <f>IF(COUNTA(M150:AM150)=0,"",INDEX($M$1:$AM$1,AGGREGATE(14,6,(COLUMN($M$1:$AM$1)-COLUMN($M$1)+1)/(M150:AM150&lt;&gt;""),1))+MAX(0,IFERROR(LOOKUP(2,1/(M150:AM150&lt;&gt;""),M150:AM150),1)-1))</f>
        <v/>
      </c>
      <c r="J150" s="14">
        <f>IF(I150="","",WORKDAY(I150,1))</f>
        <v/>
      </c>
      <c r="K150" s="15">
        <f>IF(COUNTA(M150:AM150),SUM(M150:AM150),IF(AND(H150&lt;&gt;"",I150&lt;&gt;""),NETWORKDAYS(H150,I150),""))</f>
        <v/>
      </c>
      <c r="L150" s="13" t="inlineStr"/>
      <c r="M150" s="16" t="inlineStr"/>
      <c r="N150" s="16" t="inlineStr"/>
      <c r="O150" s="16" t="inlineStr"/>
      <c r="P150" s="16" t="inlineStr"/>
      <c r="Q150" s="16" t="inlineStr"/>
      <c r="R150" s="16" t="inlineStr"/>
      <c r="S150" s="16" t="inlineStr"/>
      <c r="T150" s="16" t="inlineStr"/>
      <c r="U150" s="16" t="inlineStr"/>
      <c r="V150" s="16" t="n">
        <v>5</v>
      </c>
      <c r="W150" s="16" t="n">
        <v>5</v>
      </c>
      <c r="X150" s="16" t="inlineStr"/>
      <c r="Y150" s="16" t="inlineStr"/>
      <c r="Z150" s="16" t="inlineStr"/>
      <c r="AA150" s="16" t="inlineStr"/>
      <c r="AB150" s="16" t="inlineStr"/>
      <c r="AC150" s="16" t="inlineStr"/>
      <c r="AD150" s="16" t="inlineStr"/>
      <c r="AE150" s="16" t="inlineStr"/>
      <c r="AF150" s="16" t="inlineStr"/>
      <c r="AG150" s="16" t="inlineStr"/>
      <c r="AH150" s="16" t="inlineStr"/>
      <c r="AI150" s="16" t="inlineStr"/>
      <c r="AJ150" s="16" t="inlineStr"/>
      <c r="AK150" s="16" t="inlineStr"/>
      <c r="AL150" s="16" t="inlineStr"/>
      <c r="AM150" s="16" t="inlineStr"/>
    </row>
    <row r="151">
      <c r="A151" s="13" t="inlineStr">
        <is>
          <t>Тарифы</t>
        </is>
      </c>
      <c r="B151" s="13" t="inlineStr">
        <is>
          <t>Новая детальная страница тарифа (Сайт)</t>
        </is>
      </c>
      <c r="C151" s="13" t="inlineStr"/>
      <c r="D151" s="13" t="inlineStr"/>
      <c r="E151" s="13" t="inlineStr">
        <is>
          <t>Шлотгауэр Иван</t>
        </is>
      </c>
      <c r="F151" s="13" t="inlineStr">
        <is>
          <t>QA</t>
        </is>
      </c>
      <c r="G151" s="13" t="inlineStr"/>
      <c r="H151" s="14">
        <f>IF(COUNTA(M151:AM151)=0,"",INDEX($M$1:$AM$1,AGGREGATE(15,6,(COLUMN($M$1:$AM$1)-COLUMN($M$1)+1)/(M151:AM151&lt;&gt;""),1)))</f>
        <v/>
      </c>
      <c r="I151" s="14">
        <f>IF(COUNTA(M151:AM151)=0,"",INDEX($M$1:$AM$1,AGGREGATE(14,6,(COLUMN($M$1:$AM$1)-COLUMN($M$1)+1)/(M151:AM151&lt;&gt;""),1))+MAX(0,IFERROR(LOOKUP(2,1/(M151:AM151&lt;&gt;""),M151:AM151),1)-1))</f>
        <v/>
      </c>
      <c r="J151" s="14">
        <f>IF(I151="","",WORKDAY(I151,1))</f>
        <v/>
      </c>
      <c r="K151" s="15">
        <f>IF(COUNTA(M151:AM151),SUM(M151:AM151),IF(AND(H151&lt;&gt;"",I151&lt;&gt;""),NETWORKDAYS(H151,I151),""))</f>
        <v/>
      </c>
      <c r="L151" s="13" t="inlineStr"/>
      <c r="M151" s="16" t="inlineStr"/>
      <c r="N151" s="16" t="inlineStr"/>
      <c r="O151" s="16" t="inlineStr"/>
      <c r="P151" s="16" t="inlineStr"/>
      <c r="Q151" s="16" t="inlineStr"/>
      <c r="R151" s="16" t="inlineStr"/>
      <c r="S151" s="16" t="inlineStr"/>
      <c r="T151" s="16" t="inlineStr"/>
      <c r="U151" s="16" t="n">
        <v>3</v>
      </c>
      <c r="V151" s="16" t="n">
        <v>5</v>
      </c>
      <c r="W151" s="16" t="n">
        <v>5</v>
      </c>
      <c r="X151" s="16" t="n">
        <v>4</v>
      </c>
      <c r="Y151" s="16" t="inlineStr"/>
      <c r="Z151" s="16" t="inlineStr"/>
      <c r="AA151" s="16" t="inlineStr"/>
      <c r="AB151" s="16" t="inlineStr"/>
      <c r="AC151" s="16" t="inlineStr"/>
      <c r="AD151" s="16" t="inlineStr"/>
      <c r="AE151" s="16" t="inlineStr"/>
      <c r="AF151" s="16" t="inlineStr"/>
      <c r="AG151" s="16" t="inlineStr"/>
      <c r="AH151" s="16" t="inlineStr"/>
      <c r="AI151" s="16" t="inlineStr"/>
      <c r="AJ151" s="16" t="inlineStr"/>
      <c r="AK151" s="16" t="inlineStr"/>
      <c r="AL151" s="16" t="inlineStr"/>
      <c r="AM151" s="16" t="inlineStr"/>
    </row>
    <row r="152">
      <c r="A152" s="13" t="inlineStr">
        <is>
          <t>Тарифы</t>
        </is>
      </c>
      <c r="B152" s="13" t="inlineStr">
        <is>
          <t>Новая детальная страница тарифа (Сайт)</t>
        </is>
      </c>
      <c r="C152" s="13" t="inlineStr"/>
      <c r="D152" s="13" t="inlineStr"/>
      <c r="E152" s="13" t="inlineStr">
        <is>
          <t>Крымов</t>
        </is>
      </c>
      <c r="F152" s="13" t="inlineStr">
        <is>
          <t>Контент</t>
        </is>
      </c>
      <c r="G152" s="13" t="inlineStr"/>
      <c r="H152" s="14">
        <f>IF(COUNTA(M152:AM152)=0,"",INDEX($M$1:$AM$1,AGGREGATE(15,6,(COLUMN($M$1:$AM$1)-COLUMN($M$1)+1)/(M152:AM152&lt;&gt;""),1)))</f>
        <v/>
      </c>
      <c r="I152" s="14">
        <f>IF(COUNTA(M152:AM152)=0,"",INDEX($M$1:$AM$1,AGGREGATE(14,6,(COLUMN($M$1:$AM$1)-COLUMN($M$1)+1)/(M152:AM152&lt;&gt;""),1))+MAX(0,IFERROR(LOOKUP(2,1/(M152:AM152&lt;&gt;""),M152:AM152),1)-1))</f>
        <v/>
      </c>
      <c r="J152" s="14">
        <f>IF(I152="","",WORKDAY(I152,1))</f>
        <v/>
      </c>
      <c r="K152" s="15">
        <f>IF(COUNTA(M152:AM152),SUM(M152:AM152),IF(AND(H152&lt;&gt;"",I152&lt;&gt;""),NETWORKDAYS(H152,I152),""))</f>
        <v/>
      </c>
      <c r="L152" s="13" t="inlineStr"/>
      <c r="M152" s="16" t="inlineStr"/>
      <c r="N152" s="16" t="inlineStr"/>
      <c r="O152" s="16" t="inlineStr"/>
      <c r="P152" s="16" t="inlineStr"/>
      <c r="Q152" s="16" t="inlineStr"/>
      <c r="R152" s="16" t="inlineStr"/>
      <c r="S152" s="16" t="inlineStr"/>
      <c r="T152" s="16" t="inlineStr"/>
      <c r="U152" s="16" t="inlineStr"/>
      <c r="V152" s="16" t="inlineStr"/>
      <c r="W152" s="16" t="inlineStr"/>
      <c r="X152" s="16" t="inlineStr"/>
      <c r="Y152" s="16" t="n">
        <v>5</v>
      </c>
      <c r="Z152" s="16" t="n">
        <v>2</v>
      </c>
      <c r="AA152" s="16" t="inlineStr"/>
      <c r="AB152" s="16" t="inlineStr"/>
      <c r="AC152" s="16" t="inlineStr"/>
      <c r="AD152" s="16" t="inlineStr"/>
      <c r="AE152" s="16" t="inlineStr"/>
      <c r="AF152" s="16" t="inlineStr"/>
      <c r="AG152" s="16" t="inlineStr"/>
      <c r="AH152" s="16" t="inlineStr"/>
      <c r="AI152" s="16" t="inlineStr"/>
      <c r="AJ152" s="16" t="inlineStr"/>
      <c r="AK152" s="16" t="inlineStr"/>
      <c r="AL152" s="16" t="inlineStr"/>
      <c r="AM152" s="16" t="inlineStr"/>
    </row>
    <row r="153">
      <c r="A153" s="13" t="inlineStr">
        <is>
          <t>Тарифы</t>
        </is>
      </c>
      <c r="B153" s="13" t="inlineStr">
        <is>
          <t>Новая детальная страница тарифа (МЛК)</t>
        </is>
      </c>
      <c r="C153" s="13" t="inlineStr"/>
      <c r="D153" s="13" t="inlineStr"/>
      <c r="E153" s="13" t="inlineStr">
        <is>
          <t>Жогина Екатерина</t>
        </is>
      </c>
      <c r="F153" s="13" t="inlineStr">
        <is>
          <t>PO</t>
        </is>
      </c>
      <c r="G153" s="13" t="inlineStr"/>
      <c r="H153" s="14">
        <f>IF(COUNTA(M153:AM153)=0,"",INDEX($M$1:$AM$1,AGGREGATE(15,6,(COLUMN($M$1:$AM$1)-COLUMN($M$1)+1)/(M153:AM153&lt;&gt;""),1)))</f>
        <v/>
      </c>
      <c r="I153" s="14">
        <f>IF(COUNTA(M153:AM153)=0,"",INDEX($M$1:$AM$1,AGGREGATE(14,6,(COLUMN($M$1:$AM$1)-COLUMN($M$1)+1)/(M153:AM153&lt;&gt;""),1))+MAX(0,IFERROR(LOOKUP(2,1/(M153:AM153&lt;&gt;""),M153:AM153),1)-1))</f>
        <v/>
      </c>
      <c r="J153" s="14">
        <f>IF(I153="","",WORKDAY(I153,1))</f>
        <v/>
      </c>
      <c r="K153" s="15">
        <f>IF(COUNTA(M153:AM153),SUM(M153:AM153),IF(AND(H153&lt;&gt;"",I153&lt;&gt;""),NETWORKDAYS(H153,I153),""))</f>
        <v/>
      </c>
      <c r="L153" s="13" t="inlineStr"/>
      <c r="M153" s="16" t="inlineStr"/>
      <c r="N153" s="16" t="inlineStr"/>
      <c r="O153" s="16" t="inlineStr"/>
      <c r="P153" s="16" t="inlineStr"/>
      <c r="Q153" s="16" t="inlineStr"/>
      <c r="R153" s="16" t="inlineStr"/>
      <c r="S153" s="16" t="n">
        <v>5</v>
      </c>
      <c r="T153" s="16" t="n">
        <v>5</v>
      </c>
      <c r="U153" s="16" t="n">
        <v>5</v>
      </c>
      <c r="V153" s="16" t="n">
        <v>1</v>
      </c>
      <c r="W153" s="16" t="inlineStr"/>
      <c r="X153" s="16" t="inlineStr"/>
      <c r="Y153" s="16" t="inlineStr"/>
      <c r="Z153" s="16" t="inlineStr"/>
      <c r="AA153" s="16" t="inlineStr"/>
      <c r="AB153" s="16" t="inlineStr"/>
      <c r="AC153" s="16" t="inlineStr"/>
      <c r="AD153" s="16" t="inlineStr"/>
      <c r="AE153" s="16" t="inlineStr"/>
      <c r="AF153" s="16" t="inlineStr"/>
      <c r="AG153" s="16" t="inlineStr"/>
      <c r="AH153" s="16" t="inlineStr"/>
      <c r="AI153" s="16" t="inlineStr"/>
      <c r="AJ153" s="16" t="inlineStr"/>
      <c r="AK153" s="16" t="inlineStr"/>
      <c r="AL153" s="16" t="inlineStr"/>
      <c r="AM153" s="16" t="inlineStr"/>
    </row>
    <row r="154">
      <c r="A154" s="13" t="inlineStr">
        <is>
          <t>Тарифы</t>
        </is>
      </c>
      <c r="B154" s="13" t="inlineStr">
        <is>
          <t>Новая детальная страница тарифа (МЛК)</t>
        </is>
      </c>
      <c r="C154" s="13" t="inlineStr"/>
      <c r="D154" s="13" t="inlineStr"/>
      <c r="E154" s="13" t="inlineStr">
        <is>
          <t>Калинкин</t>
        </is>
      </c>
      <c r="F154" s="13" t="inlineStr">
        <is>
          <t>Дизайн</t>
        </is>
      </c>
      <c r="G154" s="13" t="inlineStr"/>
      <c r="H154" s="14">
        <f>IF(COUNTA(M154:AM154)=0,"",INDEX($M$1:$AM$1,AGGREGATE(15,6,(COLUMN($M$1:$AM$1)-COLUMN($M$1)+1)/(M154:AM154&lt;&gt;""),1)))</f>
        <v/>
      </c>
      <c r="I154" s="14">
        <f>IF(COUNTA(M154:AM154)=0,"",INDEX($M$1:$AM$1,AGGREGATE(14,6,(COLUMN($M$1:$AM$1)-COLUMN($M$1)+1)/(M154:AM154&lt;&gt;""),1))+MAX(0,IFERROR(LOOKUP(2,1/(M154:AM154&lt;&gt;""),M154:AM154),1)-1))</f>
        <v/>
      </c>
      <c r="J154" s="14">
        <f>IF(I154="","",WORKDAY(I154,1))</f>
        <v/>
      </c>
      <c r="K154" s="15">
        <f>IF(COUNTA(M154:AM154),SUM(M154:AM154),IF(AND(H154&lt;&gt;"",I154&lt;&gt;""),NETWORKDAYS(H154,I154),""))</f>
        <v/>
      </c>
      <c r="L154" s="13" t="inlineStr"/>
      <c r="M154" s="16" t="inlineStr"/>
      <c r="N154" s="16" t="inlineStr"/>
      <c r="O154" s="16" t="inlineStr"/>
      <c r="P154" s="16" t="inlineStr"/>
      <c r="Q154" s="16" t="inlineStr"/>
      <c r="R154" s="16" t="inlineStr"/>
      <c r="S154" s="16" t="inlineStr"/>
      <c r="T154" s="16" t="inlineStr"/>
      <c r="U154" s="16" t="inlineStr"/>
      <c r="V154" s="16" t="n">
        <v>4</v>
      </c>
      <c r="W154" s="16" t="n">
        <v>5</v>
      </c>
      <c r="X154" s="16" t="n">
        <v>5</v>
      </c>
      <c r="Y154" s="16" t="inlineStr"/>
      <c r="Z154" s="16" t="inlineStr"/>
      <c r="AA154" s="16" t="inlineStr"/>
      <c r="AB154" s="16" t="inlineStr"/>
      <c r="AC154" s="16" t="inlineStr"/>
      <c r="AD154" s="16" t="inlineStr"/>
      <c r="AE154" s="16" t="inlineStr"/>
      <c r="AF154" s="16" t="inlineStr"/>
      <c r="AG154" s="16" t="inlineStr"/>
      <c r="AH154" s="16" t="inlineStr"/>
      <c r="AI154" s="16" t="inlineStr"/>
      <c r="AJ154" s="16" t="inlineStr"/>
      <c r="AK154" s="16" t="inlineStr"/>
      <c r="AL154" s="16" t="inlineStr"/>
      <c r="AM154" s="16" t="inlineStr"/>
    </row>
    <row r="155">
      <c r="A155" s="13" t="inlineStr">
        <is>
          <t>Тарифы</t>
        </is>
      </c>
      <c r="B155" s="13" t="inlineStr">
        <is>
          <t>Новая детальная страница тарифа (МЛК)</t>
        </is>
      </c>
      <c r="C155" s="13" t="inlineStr"/>
      <c r="D155" s="13" t="inlineStr"/>
      <c r="E155" s="13" t="inlineStr">
        <is>
          <t>Мерзликин Антон</t>
        </is>
      </c>
      <c r="F155" s="13" t="inlineStr">
        <is>
          <t>SA</t>
        </is>
      </c>
      <c r="G155" s="13" t="inlineStr"/>
      <c r="H155" s="14">
        <f>IF(COUNTA(M155:AM155)=0,"",INDEX($M$1:$AM$1,AGGREGATE(15,6,(COLUMN($M$1:$AM$1)-COLUMN($M$1)+1)/(M155:AM155&lt;&gt;""),1)))</f>
        <v/>
      </c>
      <c r="I155" s="14">
        <f>IF(COUNTA(M155:AM155)=0,"",INDEX($M$1:$AM$1,AGGREGATE(14,6,(COLUMN($M$1:$AM$1)-COLUMN($M$1)+1)/(M155:AM155&lt;&gt;""),1))+MAX(0,IFERROR(LOOKUP(2,1/(M155:AM155&lt;&gt;""),M155:AM155),1)-1))</f>
        <v/>
      </c>
      <c r="J155" s="14">
        <f>IF(I155="","",WORKDAY(I155,1))</f>
        <v/>
      </c>
      <c r="K155" s="15">
        <f>IF(COUNTA(M155:AM155),SUM(M155:AM155),IF(AND(H155&lt;&gt;"",I155&lt;&gt;""),NETWORKDAYS(H155,I155),""))</f>
        <v/>
      </c>
      <c r="L155" s="13" t="inlineStr"/>
      <c r="M155" s="16" t="inlineStr"/>
      <c r="N155" s="16" t="inlineStr"/>
      <c r="O155" s="16" t="inlineStr"/>
      <c r="P155" s="16" t="inlineStr"/>
      <c r="Q155" s="16" t="inlineStr"/>
      <c r="R155" s="16" t="inlineStr"/>
      <c r="S155" s="16" t="inlineStr"/>
      <c r="T155" s="16" t="inlineStr"/>
      <c r="U155" s="16" t="inlineStr"/>
      <c r="V155" s="16" t="inlineStr"/>
      <c r="W155" s="16" t="inlineStr"/>
      <c r="X155" s="16" t="inlineStr"/>
      <c r="Y155" s="16" t="n">
        <v>5</v>
      </c>
      <c r="Z155" s="16" t="n">
        <v>5</v>
      </c>
      <c r="AA155" s="16" t="n">
        <v>5</v>
      </c>
      <c r="AB155" s="16" t="inlineStr"/>
      <c r="AC155" s="16" t="inlineStr"/>
      <c r="AD155" s="16" t="inlineStr"/>
      <c r="AE155" s="16" t="inlineStr"/>
      <c r="AF155" s="16" t="inlineStr"/>
      <c r="AG155" s="16" t="inlineStr"/>
      <c r="AH155" s="16" t="inlineStr"/>
      <c r="AI155" s="16" t="inlineStr"/>
      <c r="AJ155" s="16" t="inlineStr"/>
      <c r="AK155" s="16" t="inlineStr"/>
      <c r="AL155" s="16" t="inlineStr"/>
      <c r="AM155" s="16" t="inlineStr"/>
    </row>
    <row r="156">
      <c r="A156" s="13" t="inlineStr">
        <is>
          <t>Тарифы</t>
        </is>
      </c>
      <c r="B156" s="13" t="inlineStr">
        <is>
          <t>Новая детальная страница тарифа (МЛК)</t>
        </is>
      </c>
      <c r="C156" s="13" t="inlineStr"/>
      <c r="D156" s="13" t="inlineStr"/>
      <c r="E156" s="13" t="inlineStr">
        <is>
          <t>Успенский Павел</t>
        </is>
      </c>
      <c r="F156" s="13" t="inlineStr">
        <is>
          <t>BE</t>
        </is>
      </c>
      <c r="G156" s="13" t="inlineStr"/>
      <c r="H156" s="14">
        <f>IF(COUNTA(M156:AM156)=0,"",INDEX($M$1:$AM$1,AGGREGATE(15,6,(COLUMN($M$1:$AM$1)-COLUMN($M$1)+1)/(M156:AM156&lt;&gt;""),1)))</f>
        <v/>
      </c>
      <c r="I156" s="14">
        <f>IF(COUNTA(M156:AM156)=0,"",INDEX($M$1:$AM$1,AGGREGATE(14,6,(COLUMN($M$1:$AM$1)-COLUMN($M$1)+1)/(M156:AM156&lt;&gt;""),1))+MAX(0,IFERROR(LOOKUP(2,1/(M156:AM156&lt;&gt;""),M156:AM156),1)-1))</f>
        <v/>
      </c>
      <c r="J156" s="14">
        <f>IF(I156="","",WORKDAY(I156,1))</f>
        <v/>
      </c>
      <c r="K156" s="15">
        <f>IF(COUNTA(M156:AM156),SUM(M156:AM156),IF(AND(H156&lt;&gt;"",I156&lt;&gt;""),NETWORKDAYS(H156,I156),""))</f>
        <v/>
      </c>
      <c r="L156" s="13" t="inlineStr"/>
      <c r="M156" s="16" t="inlineStr"/>
      <c r="N156" s="16" t="inlineStr"/>
      <c r="O156" s="16" t="inlineStr"/>
      <c r="P156" s="16" t="inlineStr"/>
      <c r="Q156" s="16" t="inlineStr"/>
      <c r="R156" s="16" t="inlineStr"/>
      <c r="S156" s="16" t="inlineStr"/>
      <c r="T156" s="16" t="inlineStr"/>
      <c r="U156" s="16" t="inlineStr"/>
      <c r="V156" s="16" t="inlineStr"/>
      <c r="W156" s="16" t="inlineStr"/>
      <c r="X156" s="16" t="inlineStr"/>
      <c r="Y156" s="16" t="inlineStr"/>
      <c r="Z156" s="16" t="inlineStr"/>
      <c r="AA156" s="16" t="inlineStr"/>
      <c r="AB156" s="16" t="n">
        <v>5</v>
      </c>
      <c r="AC156" s="16" t="inlineStr"/>
      <c r="AD156" s="16" t="inlineStr"/>
      <c r="AE156" s="16" t="inlineStr"/>
      <c r="AF156" s="16" t="inlineStr"/>
      <c r="AG156" s="16" t="inlineStr"/>
      <c r="AH156" s="16" t="inlineStr"/>
      <c r="AI156" s="16" t="inlineStr"/>
      <c r="AJ156" s="16" t="inlineStr"/>
      <c r="AK156" s="16" t="inlineStr"/>
      <c r="AL156" s="16" t="inlineStr"/>
      <c r="AM156" s="16" t="inlineStr"/>
    </row>
    <row r="157">
      <c r="A157" s="13" t="inlineStr">
        <is>
          <t>Тарифы</t>
        </is>
      </c>
      <c r="B157" s="13" t="inlineStr">
        <is>
          <t>Новая детальная страница тарифа (МЛК)</t>
        </is>
      </c>
      <c r="C157" s="13" t="inlineStr"/>
      <c r="D157" s="13" t="inlineStr"/>
      <c r="E157" s="13" t="inlineStr">
        <is>
          <t>Косенко Данил</t>
        </is>
      </c>
      <c r="F157" s="13" t="inlineStr">
        <is>
          <t>FE</t>
        </is>
      </c>
      <c r="G157" s="13" t="inlineStr"/>
      <c r="H157" s="14">
        <f>IF(COUNTA(M157:AM157)=0,"",INDEX($M$1:$AM$1,AGGREGATE(15,6,(COLUMN($M$1:$AM$1)-COLUMN($M$1)+1)/(M157:AM157&lt;&gt;""),1)))</f>
        <v/>
      </c>
      <c r="I157" s="14">
        <f>IF(COUNTA(M157:AM157)=0,"",INDEX($M$1:$AM$1,AGGREGATE(14,6,(COLUMN($M$1:$AM$1)-COLUMN($M$1)+1)/(M157:AM157&lt;&gt;""),1))+MAX(0,IFERROR(LOOKUP(2,1/(M157:AM157&lt;&gt;""),M157:AM157),1)-1))</f>
        <v/>
      </c>
      <c r="J157" s="14">
        <f>IF(I157="","",WORKDAY(I157,1))</f>
        <v/>
      </c>
      <c r="K157" s="15">
        <f>IF(COUNTA(M157:AM157),SUM(M157:AM157),IF(AND(H157&lt;&gt;"",I157&lt;&gt;""),NETWORKDAYS(H157,I157),""))</f>
        <v/>
      </c>
      <c r="L157" s="13" t="inlineStr"/>
      <c r="M157" s="16" t="inlineStr"/>
      <c r="N157" s="16" t="inlineStr"/>
      <c r="O157" s="16" t="inlineStr"/>
      <c r="P157" s="16" t="inlineStr"/>
      <c r="Q157" s="16" t="inlineStr"/>
      <c r="R157" s="16" t="inlineStr"/>
      <c r="S157" s="16" t="inlineStr"/>
      <c r="T157" s="16" t="inlineStr"/>
      <c r="U157" s="16" t="inlineStr"/>
      <c r="V157" s="16" t="inlineStr"/>
      <c r="W157" s="16" t="n">
        <v>1</v>
      </c>
      <c r="X157" s="16" t="n">
        <v>5</v>
      </c>
      <c r="Y157" s="16" t="n">
        <v>5</v>
      </c>
      <c r="Z157" s="16" t="n">
        <v>4</v>
      </c>
      <c r="AA157" s="16" t="inlineStr"/>
      <c r="AB157" s="16" t="inlineStr"/>
      <c r="AC157" s="16" t="inlineStr"/>
      <c r="AD157" s="16" t="inlineStr"/>
      <c r="AE157" s="16" t="inlineStr"/>
      <c r="AF157" s="16" t="inlineStr"/>
      <c r="AG157" s="16" t="inlineStr"/>
      <c r="AH157" s="16" t="inlineStr"/>
      <c r="AI157" s="16" t="inlineStr"/>
      <c r="AJ157" s="16" t="inlineStr"/>
      <c r="AK157" s="16" t="inlineStr"/>
      <c r="AL157" s="16" t="inlineStr"/>
      <c r="AM157" s="16" t="inlineStr"/>
    </row>
    <row r="158">
      <c r="A158" s="13" t="inlineStr">
        <is>
          <t>Тарифы</t>
        </is>
      </c>
      <c r="B158" s="13" t="inlineStr">
        <is>
          <t>Новая детальная страница тарифа (МЛК)</t>
        </is>
      </c>
      <c r="C158" s="13" t="inlineStr"/>
      <c r="D158" s="13" t="inlineStr"/>
      <c r="E158" s="13" t="inlineStr">
        <is>
          <t>Шлотгауэр Иван</t>
        </is>
      </c>
      <c r="F158" s="13" t="inlineStr">
        <is>
          <t>QA</t>
        </is>
      </c>
      <c r="G158" s="13" t="inlineStr"/>
      <c r="H158" s="14">
        <f>IF(COUNTA(M158:AM158)=0,"",INDEX($M$1:$AM$1,AGGREGATE(15,6,(COLUMN($M$1:$AM$1)-COLUMN($M$1)+1)/(M158:AM158&lt;&gt;""),1)))</f>
        <v/>
      </c>
      <c r="I158" s="14">
        <f>IF(COUNTA(M158:AM158)=0,"",INDEX($M$1:$AM$1,AGGREGATE(14,6,(COLUMN($M$1:$AM$1)-COLUMN($M$1)+1)/(M158:AM158&lt;&gt;""),1))+MAX(0,IFERROR(LOOKUP(2,1/(M158:AM158&lt;&gt;""),M158:AM158),1)-1))</f>
        <v/>
      </c>
      <c r="J158" s="14">
        <f>IF(I158="","",WORKDAY(I158,1))</f>
        <v/>
      </c>
      <c r="K158" s="15">
        <f>IF(COUNTA(M158:AM158),SUM(M158:AM158),IF(AND(H158&lt;&gt;"",I158&lt;&gt;""),NETWORKDAYS(H158,I158),""))</f>
        <v/>
      </c>
      <c r="L158" s="13" t="inlineStr"/>
      <c r="M158" s="16" t="inlineStr"/>
      <c r="N158" s="16" t="inlineStr"/>
      <c r="O158" s="16" t="inlineStr"/>
      <c r="P158" s="16" t="inlineStr"/>
      <c r="Q158" s="16" t="inlineStr"/>
      <c r="R158" s="16" t="inlineStr"/>
      <c r="S158" s="16" t="inlineStr"/>
      <c r="T158" s="16" t="inlineStr"/>
      <c r="U158" s="16" t="inlineStr"/>
      <c r="V158" s="16" t="inlineStr"/>
      <c r="W158" s="16" t="inlineStr"/>
      <c r="X158" s="16" t="inlineStr"/>
      <c r="Y158" s="16" t="n">
        <v>5</v>
      </c>
      <c r="Z158" s="16" t="n">
        <v>3</v>
      </c>
      <c r="AA158" s="16" t="inlineStr"/>
      <c r="AB158" s="16" t="inlineStr"/>
      <c r="AC158" s="16" t="inlineStr"/>
      <c r="AD158" s="16" t="inlineStr"/>
      <c r="AE158" s="16" t="n">
        <v>3</v>
      </c>
      <c r="AF158" s="16" t="n">
        <v>4</v>
      </c>
      <c r="AG158" s="16" t="inlineStr"/>
      <c r="AH158" s="16" t="inlineStr"/>
      <c r="AI158" s="16" t="inlineStr"/>
      <c r="AJ158" s="16" t="inlineStr"/>
      <c r="AK158" s="16" t="inlineStr"/>
      <c r="AL158" s="16" t="inlineStr"/>
      <c r="AM158" s="16" t="inlineStr"/>
    </row>
    <row r="159">
      <c r="A159" s="13" t="inlineStr">
        <is>
          <t>Тарифы</t>
        </is>
      </c>
      <c r="B159" s="13" t="inlineStr">
        <is>
          <t>Новая карточка тарифа во флоу дсим и телепорт (Сайт)</t>
        </is>
      </c>
      <c r="C159" s="13" t="inlineStr"/>
      <c r="D159" s="13" t="inlineStr"/>
      <c r="E159" s="13" t="inlineStr">
        <is>
          <t>Калинкин</t>
        </is>
      </c>
      <c r="F159" s="13" t="inlineStr">
        <is>
          <t>Дизайн</t>
        </is>
      </c>
      <c r="G159" s="13" t="inlineStr"/>
      <c r="H159" s="14">
        <f>IF(COUNTA(M159:AM159)=0,"",INDEX($M$1:$AM$1,AGGREGATE(15,6,(COLUMN($M$1:$AM$1)-COLUMN($M$1)+1)/(M159:AM159&lt;&gt;""),1)))</f>
        <v/>
      </c>
      <c r="I159" s="14">
        <f>IF(COUNTA(M159:AM159)=0,"",INDEX($M$1:$AM$1,AGGREGATE(14,6,(COLUMN($M$1:$AM$1)-COLUMN($M$1)+1)/(M159:AM159&lt;&gt;""),1))+MAX(0,IFERROR(LOOKUP(2,1/(M159:AM159&lt;&gt;""),M159:AM159),1)-1))</f>
        <v/>
      </c>
      <c r="J159" s="14">
        <f>IF(I159="","",WORKDAY(I159,1))</f>
        <v/>
      </c>
      <c r="K159" s="15">
        <f>IF(COUNTA(M159:AM159),SUM(M159:AM159),IF(AND(H159&lt;&gt;"",I159&lt;&gt;""),NETWORKDAYS(H159,I159),""))</f>
        <v/>
      </c>
      <c r="L159" s="13" t="inlineStr"/>
      <c r="M159" s="16" t="inlineStr"/>
      <c r="N159" s="16" t="inlineStr"/>
      <c r="O159" s="16" t="inlineStr"/>
      <c r="P159" s="16" t="inlineStr"/>
      <c r="Q159" s="16" t="inlineStr"/>
      <c r="R159" s="16" t="inlineStr"/>
      <c r="S159" s="16" t="n">
        <v>1</v>
      </c>
      <c r="T159" s="16" t="inlineStr"/>
      <c r="U159" s="16" t="inlineStr"/>
      <c r="V159" s="16" t="inlineStr"/>
      <c r="W159" s="16" t="inlineStr"/>
      <c r="X159" s="16" t="inlineStr"/>
      <c r="Y159" s="16" t="inlineStr"/>
      <c r="Z159" s="16" t="inlineStr"/>
      <c r="AA159" s="16" t="inlineStr"/>
      <c r="AB159" s="16" t="inlineStr"/>
      <c r="AC159" s="16" t="inlineStr"/>
      <c r="AD159" s="16" t="inlineStr"/>
      <c r="AE159" s="16" t="inlineStr"/>
      <c r="AF159" s="16" t="inlineStr"/>
      <c r="AG159" s="16" t="inlineStr"/>
      <c r="AH159" s="16" t="inlineStr"/>
      <c r="AI159" s="16" t="inlineStr"/>
      <c r="AJ159" s="16" t="inlineStr"/>
      <c r="AK159" s="16" t="inlineStr"/>
      <c r="AL159" s="16" t="inlineStr"/>
      <c r="AM159" s="16" t="inlineStr"/>
    </row>
    <row r="160">
      <c r="A160" s="13" t="inlineStr">
        <is>
          <t>Тарифы</t>
        </is>
      </c>
      <c r="B160" s="13" t="inlineStr">
        <is>
          <t>Новая карточка тарифа во флоу дсим и телепорт (Сайт)</t>
        </is>
      </c>
      <c r="C160" s="13" t="inlineStr"/>
      <c r="D160" s="13" t="inlineStr"/>
      <c r="E160" s="13" t="inlineStr">
        <is>
          <t>Мерзликин Антон</t>
        </is>
      </c>
      <c r="F160" s="13" t="inlineStr">
        <is>
          <t>SA</t>
        </is>
      </c>
      <c r="G160" s="13" t="inlineStr"/>
      <c r="H160" s="14">
        <f>IF(COUNTA(M160:AM160)=0,"",INDEX($M$1:$AM$1,AGGREGATE(15,6,(COLUMN($M$1:$AM$1)-COLUMN($M$1)+1)/(M160:AM160&lt;&gt;""),1)))</f>
        <v/>
      </c>
      <c r="I160" s="14">
        <f>IF(COUNTA(M160:AM160)=0,"",INDEX($M$1:$AM$1,AGGREGATE(14,6,(COLUMN($M$1:$AM$1)-COLUMN($M$1)+1)/(M160:AM160&lt;&gt;""),1))+MAX(0,IFERROR(LOOKUP(2,1/(M160:AM160&lt;&gt;""),M160:AM160),1)-1))</f>
        <v/>
      </c>
      <c r="J160" s="14">
        <f>IF(I160="","",WORKDAY(I160,1))</f>
        <v/>
      </c>
      <c r="K160" s="15">
        <f>IF(COUNTA(M160:AM160),SUM(M160:AM160),IF(AND(H160&lt;&gt;"",I160&lt;&gt;""),NETWORKDAYS(H160,I160),""))</f>
        <v/>
      </c>
      <c r="L160" s="13" t="inlineStr"/>
      <c r="M160" s="16" t="inlineStr"/>
      <c r="N160" s="16" t="inlineStr"/>
      <c r="O160" s="16" t="inlineStr"/>
      <c r="P160" s="16" t="inlineStr"/>
      <c r="Q160" s="16" t="inlineStr"/>
      <c r="R160" s="16" t="inlineStr"/>
      <c r="S160" s="16" t="inlineStr"/>
      <c r="T160" s="16" t="n">
        <v>5</v>
      </c>
      <c r="U160" s="16" t="n">
        <v>5</v>
      </c>
      <c r="V160" s="16" t="inlineStr"/>
      <c r="W160" s="16" t="inlineStr"/>
      <c r="X160" s="16" t="inlineStr"/>
      <c r="Y160" s="16" t="inlineStr"/>
      <c r="Z160" s="16" t="inlineStr"/>
      <c r="AA160" s="16" t="inlineStr"/>
      <c r="AB160" s="16" t="inlineStr"/>
      <c r="AC160" s="16" t="inlineStr"/>
      <c r="AD160" s="16" t="inlineStr"/>
      <c r="AE160" s="16" t="inlineStr"/>
      <c r="AF160" s="16" t="inlineStr"/>
      <c r="AG160" s="16" t="inlineStr"/>
      <c r="AH160" s="16" t="inlineStr"/>
      <c r="AI160" s="16" t="inlineStr"/>
      <c r="AJ160" s="16" t="inlineStr"/>
      <c r="AK160" s="16" t="inlineStr"/>
      <c r="AL160" s="16" t="inlineStr"/>
      <c r="AM160" s="16" t="inlineStr"/>
    </row>
    <row r="161">
      <c r="A161" s="13" t="inlineStr">
        <is>
          <t>Тарифы</t>
        </is>
      </c>
      <c r="B161" s="13" t="inlineStr">
        <is>
          <t>Новая карточка тарифа во флоу дсим и телепорт (Сайт)</t>
        </is>
      </c>
      <c r="C161" s="13" t="inlineStr"/>
      <c r="D161" s="13" t="inlineStr"/>
      <c r="E161" s="13" t="inlineStr">
        <is>
          <t>Успенский Павел</t>
        </is>
      </c>
      <c r="F161" s="13" t="inlineStr">
        <is>
          <t>BE</t>
        </is>
      </c>
      <c r="G161" s="13" t="inlineStr"/>
      <c r="H161" s="14">
        <f>IF(COUNTA(M161:AM161)=0,"",INDEX($M$1:$AM$1,AGGREGATE(15,6,(COLUMN($M$1:$AM$1)-COLUMN($M$1)+1)/(M161:AM161&lt;&gt;""),1)))</f>
        <v/>
      </c>
      <c r="I161" s="14">
        <f>IF(COUNTA(M161:AM161)=0,"",INDEX($M$1:$AM$1,AGGREGATE(14,6,(COLUMN($M$1:$AM$1)-COLUMN($M$1)+1)/(M161:AM161&lt;&gt;""),1))+MAX(0,IFERROR(LOOKUP(2,1/(M161:AM161&lt;&gt;""),M161:AM161),1)-1))</f>
        <v/>
      </c>
      <c r="J161" s="14">
        <f>IF(I161="","",WORKDAY(I161,1))</f>
        <v/>
      </c>
      <c r="K161" s="15">
        <f>IF(COUNTA(M161:AM161),SUM(M161:AM161),IF(AND(H161&lt;&gt;"",I161&lt;&gt;""),NETWORKDAYS(H161,I161),""))</f>
        <v/>
      </c>
      <c r="L161" s="13" t="inlineStr"/>
      <c r="M161" s="16" t="inlineStr"/>
      <c r="N161" s="16" t="inlineStr"/>
      <c r="O161" s="16" t="inlineStr"/>
      <c r="P161" s="16" t="inlineStr"/>
      <c r="Q161" s="16" t="inlineStr"/>
      <c r="R161" s="16" t="inlineStr"/>
      <c r="S161" s="16" t="inlineStr"/>
      <c r="T161" s="16" t="inlineStr"/>
      <c r="U161" s="16" t="inlineStr"/>
      <c r="V161" s="16" t="inlineStr"/>
      <c r="W161" s="16" t="inlineStr"/>
      <c r="X161" s="16" t="inlineStr"/>
      <c r="Y161" s="16" t="n">
        <v>5</v>
      </c>
      <c r="Z161" s="16" t="inlineStr"/>
      <c r="AA161" s="16" t="inlineStr"/>
      <c r="AB161" s="16" t="inlineStr"/>
      <c r="AC161" s="16" t="inlineStr"/>
      <c r="AD161" s="16" t="inlineStr"/>
      <c r="AE161" s="16" t="inlineStr"/>
      <c r="AF161" s="16" t="inlineStr"/>
      <c r="AG161" s="16" t="inlineStr"/>
      <c r="AH161" s="16" t="inlineStr"/>
      <c r="AI161" s="16" t="inlineStr"/>
      <c r="AJ161" s="16" t="inlineStr"/>
      <c r="AK161" s="16" t="inlineStr"/>
      <c r="AL161" s="16" t="inlineStr"/>
      <c r="AM161" s="16" t="inlineStr"/>
    </row>
    <row r="162">
      <c r="A162" s="13" t="inlineStr">
        <is>
          <t>Тарифы</t>
        </is>
      </c>
      <c r="B162" s="13" t="inlineStr">
        <is>
          <t>Новая карточка тарифа во флоу дсим и телепорт (Сайт)</t>
        </is>
      </c>
      <c r="C162" s="13" t="inlineStr"/>
      <c r="D162" s="13" t="inlineStr"/>
      <c r="E162" s="13" t="inlineStr">
        <is>
          <t>Косенко Данил</t>
        </is>
      </c>
      <c r="F162" s="13" t="inlineStr">
        <is>
          <t>FE</t>
        </is>
      </c>
      <c r="G162" s="13" t="inlineStr"/>
      <c r="H162" s="14">
        <f>IF(COUNTA(M162:AM162)=0,"",INDEX($M$1:$AM$1,AGGREGATE(15,6,(COLUMN($M$1:$AM$1)-COLUMN($M$1)+1)/(M162:AM162&lt;&gt;""),1)))</f>
        <v/>
      </c>
      <c r="I162" s="14">
        <f>IF(COUNTA(M162:AM162)=0,"",INDEX($M$1:$AM$1,AGGREGATE(14,6,(COLUMN($M$1:$AM$1)-COLUMN($M$1)+1)/(M162:AM162&lt;&gt;""),1))+MAX(0,IFERROR(LOOKUP(2,1/(M162:AM162&lt;&gt;""),M162:AM162),1)-1))</f>
        <v/>
      </c>
      <c r="J162" s="14">
        <f>IF(I162="","",WORKDAY(I162,1))</f>
        <v/>
      </c>
      <c r="K162" s="15">
        <f>IF(COUNTA(M162:AM162),SUM(M162:AM162),IF(AND(H162&lt;&gt;"",I162&lt;&gt;""),NETWORKDAYS(H162,I162),""))</f>
        <v/>
      </c>
      <c r="L162" s="13" t="inlineStr"/>
      <c r="M162" s="16" t="inlineStr"/>
      <c r="N162" s="16" t="inlineStr"/>
      <c r="O162" s="16" t="inlineStr"/>
      <c r="P162" s="16" t="inlineStr"/>
      <c r="Q162" s="16" t="inlineStr"/>
      <c r="R162" s="16" t="inlineStr"/>
      <c r="S162" s="16" t="inlineStr"/>
      <c r="T162" s="16" t="inlineStr"/>
      <c r="U162" s="16" t="inlineStr"/>
      <c r="V162" s="16" t="inlineStr"/>
      <c r="W162" s="16" t="inlineStr"/>
      <c r="X162" s="16" t="inlineStr"/>
      <c r="Y162" s="16" t="inlineStr"/>
      <c r="Z162" s="16" t="n">
        <v>1</v>
      </c>
      <c r="AA162" s="16" t="n">
        <v>3</v>
      </c>
      <c r="AB162" s="16" t="inlineStr"/>
      <c r="AC162" s="16" t="inlineStr"/>
      <c r="AD162" s="16" t="inlineStr"/>
      <c r="AE162" s="16" t="inlineStr"/>
      <c r="AF162" s="16" t="inlineStr"/>
      <c r="AG162" s="16" t="inlineStr"/>
      <c r="AH162" s="16" t="inlineStr"/>
      <c r="AI162" s="16" t="inlineStr"/>
      <c r="AJ162" s="16" t="inlineStr"/>
      <c r="AK162" s="16" t="inlineStr"/>
      <c r="AL162" s="16" t="inlineStr"/>
      <c r="AM162" s="16" t="inlineStr"/>
    </row>
    <row r="163">
      <c r="A163" s="13" t="inlineStr">
        <is>
          <t>Тарифы</t>
        </is>
      </c>
      <c r="B163" s="13" t="inlineStr">
        <is>
          <t>Новая карточка тарифа во флоу дсим и телепорт (Сайт)</t>
        </is>
      </c>
      <c r="C163" s="13" t="inlineStr"/>
      <c r="D163" s="13" t="inlineStr"/>
      <c r="E163" s="13" t="inlineStr">
        <is>
          <t>Шлотгауэр Иван</t>
        </is>
      </c>
      <c r="F163" s="13" t="inlineStr">
        <is>
          <t>QA</t>
        </is>
      </c>
      <c r="G163" s="13" t="inlineStr"/>
      <c r="H163" s="14">
        <f>IF(COUNTA(M163:AM163)=0,"",INDEX($M$1:$AM$1,AGGREGATE(15,6,(COLUMN($M$1:$AM$1)-COLUMN($M$1)+1)/(M163:AM163&lt;&gt;""),1)))</f>
        <v/>
      </c>
      <c r="I163" s="14">
        <f>IF(COUNTA(M163:AM163)=0,"",INDEX($M$1:$AM$1,AGGREGATE(14,6,(COLUMN($M$1:$AM$1)-COLUMN($M$1)+1)/(M163:AM163&lt;&gt;""),1))+MAX(0,IFERROR(LOOKUP(2,1/(M163:AM163&lt;&gt;""),M163:AM163),1)-1))</f>
        <v/>
      </c>
      <c r="J163" s="14">
        <f>IF(I163="","",WORKDAY(I163,1))</f>
        <v/>
      </c>
      <c r="K163" s="15">
        <f>IF(COUNTA(M163:AM163),SUM(M163:AM163),IF(AND(H163&lt;&gt;"",I163&lt;&gt;""),NETWORKDAYS(H163,I163),""))</f>
        <v/>
      </c>
      <c r="L163" s="13" t="inlineStr"/>
      <c r="M163" s="16" t="inlineStr"/>
      <c r="N163" s="16" t="inlineStr"/>
      <c r="O163" s="16" t="inlineStr"/>
      <c r="P163" s="16" t="inlineStr"/>
      <c r="Q163" s="16" t="inlineStr"/>
      <c r="R163" s="16" t="inlineStr"/>
      <c r="S163" s="16" t="inlineStr"/>
      <c r="T163" s="16" t="inlineStr"/>
      <c r="U163" s="16" t="inlineStr"/>
      <c r="V163" s="16" t="inlineStr"/>
      <c r="W163" s="16" t="inlineStr"/>
      <c r="X163" s="16" t="inlineStr"/>
      <c r="Y163" s="16" t="inlineStr"/>
      <c r="Z163" s="16" t="inlineStr"/>
      <c r="AA163" s="16" t="n">
        <v>2</v>
      </c>
      <c r="AB163" s="16" t="n">
        <v>3</v>
      </c>
      <c r="AC163" s="16" t="inlineStr"/>
      <c r="AD163" s="16" t="inlineStr"/>
      <c r="AE163" s="16" t="inlineStr"/>
      <c r="AF163" s="16" t="inlineStr"/>
      <c r="AG163" s="16" t="inlineStr"/>
      <c r="AH163" s="16" t="inlineStr"/>
      <c r="AI163" s="16" t="inlineStr"/>
      <c r="AJ163" s="16" t="inlineStr"/>
      <c r="AK163" s="16" t="inlineStr"/>
      <c r="AL163" s="16" t="inlineStr"/>
      <c r="AM163" s="16" t="inlineStr"/>
    </row>
    <row r="164">
      <c r="A164" s="13" t="inlineStr">
        <is>
          <t>Тарифы</t>
        </is>
      </c>
      <c r="B164" s="13" t="inlineStr">
        <is>
          <t>Новая карточка тарифа во флоу Смены ТП (ЛК)</t>
        </is>
      </c>
      <c r="C164" s="13" t="inlineStr"/>
      <c r="D164" s="13" t="inlineStr"/>
      <c r="E164" s="13" t="inlineStr">
        <is>
          <t>Калинкин</t>
        </is>
      </c>
      <c r="F164" s="13" t="inlineStr">
        <is>
          <t>Дизайн</t>
        </is>
      </c>
      <c r="G164" s="13" t="inlineStr"/>
      <c r="H164" s="14">
        <f>IF(COUNTA(M164:AM164)=0,"",INDEX($M$1:$AM$1,AGGREGATE(15,6,(COLUMN($M$1:$AM$1)-COLUMN($M$1)+1)/(M164:AM164&lt;&gt;""),1)))</f>
        <v/>
      </c>
      <c r="I164" s="14">
        <f>IF(COUNTA(M164:AM164)=0,"",INDEX($M$1:$AM$1,AGGREGATE(14,6,(COLUMN($M$1:$AM$1)-COLUMN($M$1)+1)/(M164:AM164&lt;&gt;""),1))+MAX(0,IFERROR(LOOKUP(2,1/(M164:AM164&lt;&gt;""),M164:AM164),1)-1))</f>
        <v/>
      </c>
      <c r="J164" s="14">
        <f>IF(I164="","",WORKDAY(I164,1))</f>
        <v/>
      </c>
      <c r="K164" s="15">
        <f>IF(COUNTA(M164:AM164),SUM(M164:AM164),IF(AND(H164&lt;&gt;"",I164&lt;&gt;""),NETWORKDAYS(H164,I164),""))</f>
        <v/>
      </c>
      <c r="L164" s="13" t="inlineStr"/>
      <c r="M164" s="16" t="inlineStr"/>
      <c r="N164" s="16" t="inlineStr"/>
      <c r="O164" s="16" t="inlineStr"/>
      <c r="P164" s="16" t="inlineStr"/>
      <c r="Q164" s="16" t="inlineStr"/>
      <c r="R164" s="16" t="inlineStr"/>
      <c r="S164" s="16" t="n">
        <v>1</v>
      </c>
      <c r="T164" s="16" t="inlineStr"/>
      <c r="U164" s="16" t="inlineStr"/>
      <c r="V164" s="16" t="inlineStr"/>
      <c r="W164" s="16" t="inlineStr"/>
      <c r="X164" s="16" t="inlineStr"/>
      <c r="Y164" s="16" t="inlineStr"/>
      <c r="Z164" s="16" t="inlineStr"/>
      <c r="AA164" s="16" t="inlineStr"/>
      <c r="AB164" s="16" t="inlineStr"/>
      <c r="AC164" s="16" t="inlineStr"/>
      <c r="AD164" s="16" t="inlineStr"/>
      <c r="AE164" s="16" t="inlineStr"/>
      <c r="AF164" s="16" t="inlineStr"/>
      <c r="AG164" s="16" t="inlineStr"/>
      <c r="AH164" s="16" t="inlineStr"/>
      <c r="AI164" s="16" t="inlineStr"/>
      <c r="AJ164" s="16" t="inlineStr"/>
      <c r="AK164" s="16" t="inlineStr"/>
      <c r="AL164" s="16" t="inlineStr"/>
      <c r="AM164" s="16" t="inlineStr"/>
    </row>
    <row r="165">
      <c r="A165" s="13" t="inlineStr">
        <is>
          <t>Тарифы</t>
        </is>
      </c>
      <c r="B165" s="13" t="inlineStr">
        <is>
          <t>Новая карточка тарифа во флоу Смены ТП (ЛК)</t>
        </is>
      </c>
      <c r="C165" s="13" t="inlineStr"/>
      <c r="D165" s="13" t="inlineStr"/>
      <c r="E165" s="13" t="inlineStr">
        <is>
          <t>Мерзликин Антон</t>
        </is>
      </c>
      <c r="F165" s="13" t="inlineStr">
        <is>
          <t>SA</t>
        </is>
      </c>
      <c r="G165" s="13" t="inlineStr"/>
      <c r="H165" s="14">
        <f>IF(COUNTA(M165:AM165)=0,"",INDEX($M$1:$AM$1,AGGREGATE(15,6,(COLUMN($M$1:$AM$1)-COLUMN($M$1)+1)/(M165:AM165&lt;&gt;""),1)))</f>
        <v/>
      </c>
      <c r="I165" s="14">
        <f>IF(COUNTA(M165:AM165)=0,"",INDEX($M$1:$AM$1,AGGREGATE(14,6,(COLUMN($M$1:$AM$1)-COLUMN($M$1)+1)/(M165:AM165&lt;&gt;""),1))+MAX(0,IFERROR(LOOKUP(2,1/(M165:AM165&lt;&gt;""),M165:AM165),1)-1))</f>
        <v/>
      </c>
      <c r="J165" s="14">
        <f>IF(I165="","",WORKDAY(I165,1))</f>
        <v/>
      </c>
      <c r="K165" s="15">
        <f>IF(COUNTA(M165:AM165),SUM(M165:AM165),IF(AND(H165&lt;&gt;"",I165&lt;&gt;""),NETWORKDAYS(H165,I165),""))</f>
        <v/>
      </c>
      <c r="L165" s="13" t="inlineStr"/>
      <c r="M165" s="16" t="inlineStr"/>
      <c r="N165" s="16" t="inlineStr"/>
      <c r="O165" s="16" t="inlineStr"/>
      <c r="P165" s="16" t="inlineStr"/>
      <c r="Q165" s="16" t="inlineStr"/>
      <c r="R165" s="16" t="inlineStr"/>
      <c r="S165" s="16" t="n">
        <v>3</v>
      </c>
      <c r="T165" s="16" t="inlineStr"/>
      <c r="U165" s="16" t="inlineStr"/>
      <c r="V165" s="16" t="inlineStr"/>
      <c r="W165" s="16" t="inlineStr"/>
      <c r="X165" s="16" t="inlineStr"/>
      <c r="Y165" s="16" t="inlineStr"/>
      <c r="Z165" s="16" t="inlineStr"/>
      <c r="AA165" s="16" t="inlineStr"/>
      <c r="AB165" s="16" t="inlineStr"/>
      <c r="AC165" s="16" t="inlineStr"/>
      <c r="AD165" s="16" t="inlineStr"/>
      <c r="AE165" s="16" t="inlineStr"/>
      <c r="AF165" s="16" t="inlineStr"/>
      <c r="AG165" s="16" t="inlineStr"/>
      <c r="AH165" s="16" t="inlineStr"/>
      <c r="AI165" s="16" t="inlineStr"/>
      <c r="AJ165" s="16" t="inlineStr"/>
      <c r="AK165" s="16" t="inlineStr"/>
      <c r="AL165" s="16" t="inlineStr"/>
      <c r="AM165" s="16" t="inlineStr"/>
    </row>
    <row r="166">
      <c r="A166" s="13" t="inlineStr">
        <is>
          <t>Тарифы</t>
        </is>
      </c>
      <c r="B166" s="13" t="inlineStr">
        <is>
          <t>Новая карточка тарифа во флоу Смены ТП (ЛК)</t>
        </is>
      </c>
      <c r="C166" s="13" t="inlineStr"/>
      <c r="D166" s="13" t="inlineStr"/>
      <c r="E166" s="13" t="inlineStr">
        <is>
          <t>Потребность BE</t>
        </is>
      </c>
      <c r="F166" s="13" t="inlineStr">
        <is>
          <t>BE</t>
        </is>
      </c>
      <c r="G166" s="13" t="inlineStr"/>
      <c r="H166" s="14">
        <f>IF(COUNTA(M166:AM166)=0,"",INDEX($M$1:$AM$1,AGGREGATE(15,6,(COLUMN($M$1:$AM$1)-COLUMN($M$1)+1)/(M166:AM166&lt;&gt;""),1)))</f>
        <v/>
      </c>
      <c r="I166" s="14">
        <f>IF(COUNTA(M166:AM166)=0,"",INDEX($M$1:$AM$1,AGGREGATE(14,6,(COLUMN($M$1:$AM$1)-COLUMN($M$1)+1)/(M166:AM166&lt;&gt;""),1))+MAX(0,IFERROR(LOOKUP(2,1/(M166:AM166&lt;&gt;""),M166:AM166),1)-1))</f>
        <v/>
      </c>
      <c r="J166" s="14">
        <f>IF(I166="","",WORKDAY(I166,1))</f>
        <v/>
      </c>
      <c r="K166" s="15">
        <f>IF(COUNTA(M166:AM166),SUM(M166:AM166),IF(AND(H166&lt;&gt;"",I166&lt;&gt;""),NETWORKDAYS(H166,I166),""))</f>
        <v/>
      </c>
      <c r="L166" s="13" t="inlineStr"/>
      <c r="M166" s="16" t="inlineStr"/>
      <c r="N166" s="16" t="inlineStr"/>
      <c r="O166" s="16" t="inlineStr"/>
      <c r="P166" s="16" t="inlineStr"/>
      <c r="Q166" s="16" t="inlineStr"/>
      <c r="R166" s="16" t="inlineStr"/>
      <c r="S166" s="16" t="inlineStr"/>
      <c r="T166" s="16" t="n">
        <v>5</v>
      </c>
      <c r="U166" s="16" t="inlineStr"/>
      <c r="V166" s="16" t="inlineStr"/>
      <c r="W166" s="16" t="inlineStr"/>
      <c r="X166" s="16" t="inlineStr"/>
      <c r="Y166" s="16" t="inlineStr"/>
      <c r="Z166" s="16" t="inlineStr"/>
      <c r="AA166" s="16" t="inlineStr"/>
      <c r="AB166" s="16" t="inlineStr"/>
      <c r="AC166" s="16" t="inlineStr"/>
      <c r="AD166" s="16" t="inlineStr"/>
      <c r="AE166" s="16" t="inlineStr"/>
      <c r="AF166" s="16" t="inlineStr"/>
      <c r="AG166" s="16" t="inlineStr"/>
      <c r="AH166" s="16" t="inlineStr"/>
      <c r="AI166" s="16" t="inlineStr"/>
      <c r="AJ166" s="16" t="inlineStr"/>
      <c r="AK166" s="16" t="inlineStr"/>
      <c r="AL166" s="16" t="inlineStr"/>
      <c r="AM166" s="16" t="inlineStr"/>
    </row>
    <row r="167">
      <c r="A167" s="13" t="inlineStr">
        <is>
          <t>Тарифы</t>
        </is>
      </c>
      <c r="B167" s="13" t="inlineStr">
        <is>
          <t>Новая карточка тарифа во флоу Смены ТП (ЛК)</t>
        </is>
      </c>
      <c r="C167" s="13" t="inlineStr"/>
      <c r="D167" s="13" t="inlineStr"/>
      <c r="E167" s="13" t="inlineStr">
        <is>
          <t>Потребность FE</t>
        </is>
      </c>
      <c r="F167" s="13" t="inlineStr">
        <is>
          <t>FE</t>
        </is>
      </c>
      <c r="G167" s="13" t="inlineStr"/>
      <c r="H167" s="14">
        <f>IF(COUNTA(M167:AM167)=0,"",INDEX($M$1:$AM$1,AGGREGATE(15,6,(COLUMN($M$1:$AM$1)-COLUMN($M$1)+1)/(M167:AM167&lt;&gt;""),1)))</f>
        <v/>
      </c>
      <c r="I167" s="14">
        <f>IF(COUNTA(M167:AM167)=0,"",INDEX($M$1:$AM$1,AGGREGATE(14,6,(COLUMN($M$1:$AM$1)-COLUMN($M$1)+1)/(M167:AM167&lt;&gt;""),1))+MAX(0,IFERROR(LOOKUP(2,1/(M167:AM167&lt;&gt;""),M167:AM167),1)-1))</f>
        <v/>
      </c>
      <c r="J167" s="14">
        <f>IF(I167="","",WORKDAY(I167,1))</f>
        <v/>
      </c>
      <c r="K167" s="15">
        <f>IF(COUNTA(M167:AM167),SUM(M167:AM167),IF(AND(H167&lt;&gt;"",I167&lt;&gt;""),NETWORKDAYS(H167,I167),""))</f>
        <v/>
      </c>
      <c r="L167" s="13" t="inlineStr"/>
      <c r="M167" s="16" t="inlineStr"/>
      <c r="N167" s="16" t="inlineStr"/>
      <c r="O167" s="16" t="inlineStr"/>
      <c r="P167" s="16" t="inlineStr"/>
      <c r="Q167" s="16" t="inlineStr"/>
      <c r="R167" s="16" t="inlineStr"/>
      <c r="S167" s="16" t="inlineStr"/>
      <c r="T167" s="16" t="n">
        <v>3</v>
      </c>
      <c r="U167" s="16" t="n">
        <v>5</v>
      </c>
      <c r="V167" s="16" t="n">
        <v>2</v>
      </c>
      <c r="W167" s="16" t="inlineStr"/>
      <c r="X167" s="16" t="inlineStr"/>
      <c r="Y167" s="16" t="inlineStr"/>
      <c r="Z167" s="16" t="inlineStr"/>
      <c r="AA167" s="16" t="inlineStr"/>
      <c r="AB167" s="16" t="inlineStr"/>
      <c r="AC167" s="16" t="inlineStr"/>
      <c r="AD167" s="16" t="inlineStr"/>
      <c r="AE167" s="16" t="inlineStr"/>
      <c r="AF167" s="16" t="inlineStr"/>
      <c r="AG167" s="16" t="inlineStr"/>
      <c r="AH167" s="16" t="inlineStr"/>
      <c r="AI167" s="16" t="inlineStr"/>
      <c r="AJ167" s="16" t="inlineStr"/>
      <c r="AK167" s="16" t="inlineStr"/>
      <c r="AL167" s="16" t="inlineStr"/>
      <c r="AM167" s="16" t="inlineStr"/>
    </row>
    <row r="168">
      <c r="A168" s="13" t="inlineStr">
        <is>
          <t>Тарифы</t>
        </is>
      </c>
      <c r="B168" s="13" t="inlineStr">
        <is>
          <t>Новая карточка тарифа во флоу Смены ТП (ЛК)</t>
        </is>
      </c>
      <c r="C168" s="13" t="inlineStr"/>
      <c r="D168" s="13" t="inlineStr"/>
      <c r="E168" s="13" t="inlineStr">
        <is>
          <t>Потребность QA</t>
        </is>
      </c>
      <c r="F168" s="13" t="inlineStr">
        <is>
          <t>QA</t>
        </is>
      </c>
      <c r="G168" s="13" t="inlineStr"/>
      <c r="H168" s="14">
        <f>IF(COUNTA(M168:AM168)=0,"",INDEX($M$1:$AM$1,AGGREGATE(15,6,(COLUMN($M$1:$AM$1)-COLUMN($M$1)+1)/(M168:AM168&lt;&gt;""),1)))</f>
        <v/>
      </c>
      <c r="I168" s="14">
        <f>IF(COUNTA(M168:AM168)=0,"",INDEX($M$1:$AM$1,AGGREGATE(14,6,(COLUMN($M$1:$AM$1)-COLUMN($M$1)+1)/(M168:AM168&lt;&gt;""),1))+MAX(0,IFERROR(LOOKUP(2,1/(M168:AM168&lt;&gt;""),M168:AM168),1)-1))</f>
        <v/>
      </c>
      <c r="J168" s="14">
        <f>IF(I168="","",WORKDAY(I168,1))</f>
        <v/>
      </c>
      <c r="K168" s="15">
        <f>IF(COUNTA(M168:AM168),SUM(M168:AM168),IF(AND(H168&lt;&gt;"",I168&lt;&gt;""),NETWORKDAYS(H168,I168),""))</f>
        <v/>
      </c>
      <c r="L168" s="13" t="inlineStr"/>
      <c r="M168" s="16" t="inlineStr"/>
      <c r="N168" s="16" t="inlineStr"/>
      <c r="O168" s="16" t="inlineStr"/>
      <c r="P168" s="16" t="inlineStr"/>
      <c r="Q168" s="16" t="inlineStr"/>
      <c r="R168" s="16" t="inlineStr"/>
      <c r="S168" s="16" t="inlineStr"/>
      <c r="T168" s="16" t="inlineStr"/>
      <c r="U168" s="16" t="n">
        <v>2</v>
      </c>
      <c r="V168" s="16" t="n">
        <v>5</v>
      </c>
      <c r="W168" s="16" t="inlineStr"/>
      <c r="X168" s="16" t="inlineStr"/>
      <c r="Y168" s="16" t="inlineStr"/>
      <c r="Z168" s="16" t="inlineStr"/>
      <c r="AA168" s="16" t="inlineStr"/>
      <c r="AB168" s="16" t="inlineStr"/>
      <c r="AC168" s="16" t="inlineStr"/>
      <c r="AD168" s="16" t="inlineStr"/>
      <c r="AE168" s="16" t="inlineStr"/>
      <c r="AF168" s="16" t="inlineStr"/>
      <c r="AG168" s="16" t="inlineStr"/>
      <c r="AH168" s="16" t="inlineStr"/>
      <c r="AI168" s="16" t="inlineStr"/>
      <c r="AJ168" s="16" t="inlineStr"/>
      <c r="AK168" s="16" t="inlineStr"/>
      <c r="AL168" s="16" t="inlineStr"/>
      <c r="AM168" s="16" t="inlineStr"/>
    </row>
    <row r="169">
      <c r="A169" s="13" t="inlineStr">
        <is>
          <t>Тарифы</t>
        </is>
      </c>
      <c r="B169" s="13" t="inlineStr">
        <is>
          <t>Текущий экран Мой тариф (ЛК) подключенный</t>
        </is>
      </c>
      <c r="C169" s="13" t="inlineStr"/>
      <c r="D169" s="13" t="inlineStr"/>
      <c r="E169" s="13" t="inlineStr">
        <is>
          <t>Потребность SA</t>
        </is>
      </c>
      <c r="F169" s="13" t="inlineStr">
        <is>
          <t>SA</t>
        </is>
      </c>
      <c r="G169" s="13" t="inlineStr"/>
      <c r="H169" s="14">
        <f>IF(COUNTA(M169:AM169)=0,"",INDEX($M$1:$AM$1,AGGREGATE(15,6,(COLUMN($M$1:$AM$1)-COLUMN($M$1)+1)/(M169:AM169&lt;&gt;""),1)))</f>
        <v/>
      </c>
      <c r="I169" s="14">
        <f>IF(COUNTA(M169:AM169)=0,"",INDEX($M$1:$AM$1,AGGREGATE(14,6,(COLUMN($M$1:$AM$1)-COLUMN($M$1)+1)/(M169:AM169&lt;&gt;""),1))+MAX(0,IFERROR(LOOKUP(2,1/(M169:AM169&lt;&gt;""),M169:AM169),1)-1))</f>
        <v/>
      </c>
      <c r="J169" s="14">
        <f>IF(I169="","",WORKDAY(I169,1))</f>
        <v/>
      </c>
      <c r="K169" s="15">
        <f>IF(COUNTA(M169:AM169),SUM(M169:AM169),IF(AND(H169&lt;&gt;"",I169&lt;&gt;""),NETWORKDAYS(H169,I169),""))</f>
        <v/>
      </c>
      <c r="L169" s="13" t="inlineStr"/>
      <c r="M169" s="16" t="inlineStr"/>
      <c r="N169" s="16" t="inlineStr"/>
      <c r="O169" s="16" t="inlineStr"/>
      <c r="P169" s="16" t="inlineStr"/>
      <c r="Q169" s="16" t="inlineStr"/>
      <c r="R169" s="16" t="inlineStr"/>
      <c r="S169" s="16" t="inlineStr"/>
      <c r="T169" s="16" t="n">
        <v>5</v>
      </c>
      <c r="U169" s="16" t="inlineStr"/>
      <c r="V169" s="16" t="inlineStr"/>
      <c r="W169" s="16" t="inlineStr"/>
      <c r="X169" s="16" t="inlineStr"/>
      <c r="Y169" s="16" t="inlineStr"/>
      <c r="Z169" s="16" t="inlineStr"/>
      <c r="AA169" s="16" t="inlineStr"/>
      <c r="AB169" s="16" t="inlineStr"/>
      <c r="AC169" s="16" t="inlineStr"/>
      <c r="AD169" s="16" t="inlineStr"/>
      <c r="AE169" s="16" t="inlineStr"/>
      <c r="AF169" s="16" t="inlineStr"/>
      <c r="AG169" s="16" t="inlineStr"/>
      <c r="AH169" s="16" t="inlineStr"/>
      <c r="AI169" s="16" t="inlineStr"/>
      <c r="AJ169" s="16" t="inlineStr"/>
      <c r="AK169" s="16" t="inlineStr"/>
      <c r="AL169" s="16" t="inlineStr"/>
      <c r="AM169" s="16" t="inlineStr"/>
    </row>
    <row r="170">
      <c r="A170" s="13" t="inlineStr">
        <is>
          <t>Тарифы</t>
        </is>
      </c>
      <c r="B170" s="13" t="inlineStr">
        <is>
          <t>Текущий экран Мой тариф (ЛК) подключенный</t>
        </is>
      </c>
      <c r="C170" s="13" t="inlineStr"/>
      <c r="D170" s="13" t="inlineStr"/>
      <c r="E170" s="13" t="inlineStr">
        <is>
          <t>Потребность BE</t>
        </is>
      </c>
      <c r="F170" s="13" t="inlineStr">
        <is>
          <t>BE</t>
        </is>
      </c>
      <c r="G170" s="13" t="inlineStr"/>
      <c r="H170" s="14">
        <f>IF(COUNTA(M170:AM170)=0,"",INDEX($M$1:$AM$1,AGGREGATE(15,6,(COLUMN($M$1:$AM$1)-COLUMN($M$1)+1)/(M170:AM170&lt;&gt;""),1)))</f>
        <v/>
      </c>
      <c r="I170" s="14">
        <f>IF(COUNTA(M170:AM170)=0,"",INDEX($M$1:$AM$1,AGGREGATE(14,6,(COLUMN($M$1:$AM$1)-COLUMN($M$1)+1)/(M170:AM170&lt;&gt;""),1))+MAX(0,IFERROR(LOOKUP(2,1/(M170:AM170&lt;&gt;""),M170:AM170),1)-1))</f>
        <v/>
      </c>
      <c r="J170" s="14">
        <f>IF(I170="","",WORKDAY(I170,1))</f>
        <v/>
      </c>
      <c r="K170" s="15">
        <f>IF(COUNTA(M170:AM170),SUM(M170:AM170),IF(AND(H170&lt;&gt;"",I170&lt;&gt;""),NETWORKDAYS(H170,I170),""))</f>
        <v/>
      </c>
      <c r="L170" s="13" t="inlineStr"/>
      <c r="M170" s="16" t="inlineStr"/>
      <c r="N170" s="16" t="inlineStr"/>
      <c r="O170" s="16" t="inlineStr"/>
      <c r="P170" s="16" t="inlineStr"/>
      <c r="Q170" s="16" t="inlineStr"/>
      <c r="R170" s="16" t="inlineStr"/>
      <c r="S170" s="16" t="inlineStr"/>
      <c r="T170" s="16" t="inlineStr"/>
      <c r="U170" s="16" t="n">
        <v>5</v>
      </c>
      <c r="V170" s="16" t="inlineStr"/>
      <c r="W170" s="16" t="inlineStr"/>
      <c r="X170" s="16" t="inlineStr"/>
      <c r="Y170" s="16" t="inlineStr"/>
      <c r="Z170" s="16" t="inlineStr"/>
      <c r="AA170" s="16" t="inlineStr"/>
      <c r="AB170" s="16" t="inlineStr"/>
      <c r="AC170" s="16" t="inlineStr"/>
      <c r="AD170" s="16" t="inlineStr"/>
      <c r="AE170" s="16" t="inlineStr"/>
      <c r="AF170" s="16" t="inlineStr"/>
      <c r="AG170" s="16" t="inlineStr"/>
      <c r="AH170" s="16" t="inlineStr"/>
      <c r="AI170" s="16" t="inlineStr"/>
      <c r="AJ170" s="16" t="inlineStr"/>
      <c r="AK170" s="16" t="inlineStr"/>
      <c r="AL170" s="16" t="inlineStr"/>
      <c r="AM170" s="16" t="inlineStr"/>
    </row>
    <row r="171">
      <c r="A171" s="13" t="inlineStr">
        <is>
          <t>Тарифы</t>
        </is>
      </c>
      <c r="B171" s="13" t="inlineStr">
        <is>
          <t>Текущий экран Мой тариф (ЛК) подключенный</t>
        </is>
      </c>
      <c r="C171" s="13" t="inlineStr"/>
      <c r="D171" s="13" t="inlineStr"/>
      <c r="E171" s="13" t="inlineStr">
        <is>
          <t>Потребность FE</t>
        </is>
      </c>
      <c r="F171" s="13" t="inlineStr">
        <is>
          <t>FE</t>
        </is>
      </c>
      <c r="G171" s="13" t="inlineStr"/>
      <c r="H171" s="14">
        <f>IF(COUNTA(M171:AM171)=0,"",INDEX($M$1:$AM$1,AGGREGATE(15,6,(COLUMN($M$1:$AM$1)-COLUMN($M$1)+1)/(M171:AM171&lt;&gt;""),1)))</f>
        <v/>
      </c>
      <c r="I171" s="14">
        <f>IF(COUNTA(M171:AM171)=0,"",INDEX($M$1:$AM$1,AGGREGATE(14,6,(COLUMN($M$1:$AM$1)-COLUMN($M$1)+1)/(M171:AM171&lt;&gt;""),1))+MAX(0,IFERROR(LOOKUP(2,1/(M171:AM171&lt;&gt;""),M171:AM171),1)-1))</f>
        <v/>
      </c>
      <c r="J171" s="14">
        <f>IF(I171="","",WORKDAY(I171,1))</f>
        <v/>
      </c>
      <c r="K171" s="15">
        <f>IF(COUNTA(M171:AM171),SUM(M171:AM171),IF(AND(H171&lt;&gt;"",I171&lt;&gt;""),NETWORKDAYS(H171,I171),""))</f>
        <v/>
      </c>
      <c r="L171" s="13" t="inlineStr"/>
      <c r="M171" s="16" t="inlineStr"/>
      <c r="N171" s="16" t="inlineStr"/>
      <c r="O171" s="16" t="inlineStr"/>
      <c r="P171" s="16" t="inlineStr"/>
      <c r="Q171" s="16" t="inlineStr"/>
      <c r="R171" s="16" t="inlineStr"/>
      <c r="S171" s="16" t="inlineStr"/>
      <c r="T171" s="16" t="inlineStr"/>
      <c r="U171" s="16" t="inlineStr"/>
      <c r="V171" s="16" t="n">
        <v>3</v>
      </c>
      <c r="W171" s="16" t="inlineStr"/>
      <c r="X171" s="16" t="inlineStr"/>
      <c r="Y171" s="16" t="inlineStr"/>
      <c r="Z171" s="16" t="inlineStr"/>
      <c r="AA171" s="16" t="inlineStr"/>
      <c r="AB171" s="16" t="inlineStr"/>
      <c r="AC171" s="16" t="inlineStr"/>
      <c r="AD171" s="16" t="inlineStr"/>
      <c r="AE171" s="16" t="inlineStr"/>
      <c r="AF171" s="16" t="inlineStr"/>
      <c r="AG171" s="16" t="inlineStr"/>
      <c r="AH171" s="16" t="inlineStr"/>
      <c r="AI171" s="16" t="inlineStr"/>
      <c r="AJ171" s="16" t="inlineStr"/>
      <c r="AK171" s="16" t="inlineStr"/>
      <c r="AL171" s="16" t="inlineStr"/>
      <c r="AM171" s="16" t="inlineStr"/>
    </row>
    <row r="172">
      <c r="A172" s="13" t="inlineStr">
        <is>
          <t>Тарифы</t>
        </is>
      </c>
      <c r="B172" s="13" t="inlineStr">
        <is>
          <t>Текущий экран Мой тариф (ЛК) подключенный</t>
        </is>
      </c>
      <c r="C172" s="13" t="inlineStr"/>
      <c r="D172" s="13" t="inlineStr"/>
      <c r="E172" s="13" t="inlineStr">
        <is>
          <t>Потребность QA</t>
        </is>
      </c>
      <c r="F172" s="13" t="inlineStr">
        <is>
          <t>QA</t>
        </is>
      </c>
      <c r="G172" s="13" t="inlineStr"/>
      <c r="H172" s="14">
        <f>IF(COUNTA(M172:AM172)=0,"",INDEX($M$1:$AM$1,AGGREGATE(15,6,(COLUMN($M$1:$AM$1)-COLUMN($M$1)+1)/(M172:AM172&lt;&gt;""),1)))</f>
        <v/>
      </c>
      <c r="I172" s="14">
        <f>IF(COUNTA(M172:AM172)=0,"",INDEX($M$1:$AM$1,AGGREGATE(14,6,(COLUMN($M$1:$AM$1)-COLUMN($M$1)+1)/(M172:AM172&lt;&gt;""),1))+MAX(0,IFERROR(LOOKUP(2,1/(M172:AM172&lt;&gt;""),M172:AM172),1)-1))</f>
        <v/>
      </c>
      <c r="J172" s="14">
        <f>IF(I172="","",WORKDAY(I172,1))</f>
        <v/>
      </c>
      <c r="K172" s="15">
        <f>IF(COUNTA(M172:AM172),SUM(M172:AM172),IF(AND(H172&lt;&gt;"",I172&lt;&gt;""),NETWORKDAYS(H172,I172),""))</f>
        <v/>
      </c>
      <c r="L172" s="13" t="inlineStr"/>
      <c r="M172" s="16" t="inlineStr"/>
      <c r="N172" s="16" t="inlineStr"/>
      <c r="O172" s="16" t="inlineStr"/>
      <c r="P172" s="16" t="inlineStr"/>
      <c r="Q172" s="16" t="inlineStr"/>
      <c r="R172" s="16" t="inlineStr"/>
      <c r="S172" s="16" t="inlineStr"/>
      <c r="T172" s="16" t="inlineStr"/>
      <c r="U172" s="16" t="inlineStr"/>
      <c r="V172" s="16" t="n">
        <v>2</v>
      </c>
      <c r="W172" s="16" t="n">
        <v>3</v>
      </c>
      <c r="X172" s="16" t="inlineStr"/>
      <c r="Y172" s="16" t="inlineStr"/>
      <c r="Z172" s="16" t="inlineStr"/>
      <c r="AA172" s="16" t="inlineStr"/>
      <c r="AB172" s="16" t="inlineStr"/>
      <c r="AC172" s="16" t="inlineStr"/>
      <c r="AD172" s="16" t="inlineStr"/>
      <c r="AE172" s="16" t="inlineStr"/>
      <c r="AF172" s="16" t="inlineStr"/>
      <c r="AG172" s="16" t="inlineStr"/>
      <c r="AH172" s="16" t="inlineStr"/>
      <c r="AI172" s="16" t="inlineStr"/>
      <c r="AJ172" s="16" t="inlineStr"/>
      <c r="AK172" s="16" t="inlineStr"/>
      <c r="AL172" s="16" t="inlineStr"/>
      <c r="AM172" s="16" t="inlineStr"/>
    </row>
    <row r="173">
      <c r="A173" s="13" t="inlineStr">
        <is>
          <t>Тарифы</t>
        </is>
      </c>
      <c r="B173" s="13" t="inlineStr">
        <is>
          <t>Тарифный план</t>
        </is>
      </c>
      <c r="C173" s="13" t="inlineStr"/>
      <c r="D173" s="13" t="inlineStr"/>
      <c r="E173" s="13" t="inlineStr">
        <is>
          <t>Крымов</t>
        </is>
      </c>
      <c r="F173" s="13" t="inlineStr">
        <is>
          <t>Контент</t>
        </is>
      </c>
      <c r="G173" s="13" t="inlineStr"/>
      <c r="H173" s="14">
        <f>IF(COUNTA(M173:AM173)=0,"",INDEX($M$1:$AM$1,AGGREGATE(15,6,(COLUMN($M$1:$AM$1)-COLUMN($M$1)+1)/(M173:AM173&lt;&gt;""),1)))</f>
        <v/>
      </c>
      <c r="I173" s="14">
        <f>IF(COUNTA(M173:AM173)=0,"",INDEX($M$1:$AM$1,AGGREGATE(14,6,(COLUMN($M$1:$AM$1)-COLUMN($M$1)+1)/(M173:AM173&lt;&gt;""),1))+MAX(0,IFERROR(LOOKUP(2,1/(M173:AM173&lt;&gt;""),M173:AM173),1)-1))</f>
        <v/>
      </c>
      <c r="J173" s="14">
        <f>IF(I173="","",WORKDAY(I173,1))</f>
        <v/>
      </c>
      <c r="K173" s="15">
        <f>IF(COUNTA(M173:AM173),SUM(M173:AM173),IF(AND(H173&lt;&gt;"",I173&lt;&gt;""),NETWORKDAYS(H173,I173),""))</f>
        <v/>
      </c>
      <c r="L173" s="13" t="inlineStr"/>
      <c r="M173" s="16" t="inlineStr"/>
      <c r="N173" s="16" t="inlineStr"/>
      <c r="O173" s="16" t="inlineStr"/>
      <c r="P173" s="16" t="inlineStr"/>
      <c r="Q173" s="16" t="inlineStr"/>
      <c r="R173" s="16" t="n">
        <v>1</v>
      </c>
      <c r="S173" s="16" t="inlineStr"/>
      <c r="T173" s="16" t="inlineStr"/>
      <c r="U173" s="16" t="inlineStr"/>
      <c r="V173" s="16" t="inlineStr"/>
      <c r="W173" s="16" t="inlineStr"/>
      <c r="X173" s="16" t="inlineStr"/>
      <c r="Y173" s="16" t="inlineStr"/>
      <c r="Z173" s="16" t="inlineStr"/>
      <c r="AA173" s="16" t="inlineStr"/>
      <c r="AB173" s="16" t="inlineStr"/>
      <c r="AC173" s="16" t="inlineStr"/>
      <c r="AD173" s="16" t="inlineStr"/>
      <c r="AE173" s="16" t="inlineStr"/>
      <c r="AF173" s="16" t="inlineStr"/>
      <c r="AG173" s="16" t="inlineStr"/>
      <c r="AH173" s="16" t="inlineStr"/>
      <c r="AI173" s="16" t="inlineStr"/>
      <c r="AJ173" s="16" t="inlineStr"/>
      <c r="AK173" s="16" t="inlineStr"/>
      <c r="AL173" s="16" t="inlineStr"/>
      <c r="AM173" s="16" t="inlineStr"/>
    </row>
    <row r="174">
      <c r="A174" s="13" t="inlineStr">
        <is>
          <t>Тарифы</t>
        </is>
      </c>
      <c r="B174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4" s="13" t="inlineStr"/>
      <c r="D174" s="13" t="inlineStr"/>
      <c r="E174" s="13" t="inlineStr">
        <is>
          <t>Юрасов</t>
        </is>
      </c>
      <c r="F174" s="13" t="inlineStr">
        <is>
          <t>Дизайн</t>
        </is>
      </c>
      <c r="G174" s="13" t="inlineStr"/>
      <c r="H174" s="14">
        <f>IF(COUNTA(M174:AM174)=0,"",INDEX($M$1:$AM$1,AGGREGATE(15,6,(COLUMN($M$1:$AM$1)-COLUMN($M$1)+1)/(M174:AM174&lt;&gt;""),1)))</f>
        <v/>
      </c>
      <c r="I174" s="14">
        <f>IF(COUNTA(M174:AM174)=0,"",INDEX($M$1:$AM$1,AGGREGATE(14,6,(COLUMN($M$1:$AM$1)-COLUMN($M$1)+1)/(M174:AM174&lt;&gt;""),1))+MAX(0,IFERROR(LOOKUP(2,1/(M174:AM174&lt;&gt;""),M174:AM174),1)-1))</f>
        <v/>
      </c>
      <c r="J174" s="14">
        <f>IF(I174="","",WORKDAY(I174,1))</f>
        <v/>
      </c>
      <c r="K174" s="15">
        <f>IF(COUNTA(M174:AM174),SUM(M174:AM174),IF(AND(H174&lt;&gt;"",I174&lt;&gt;""),NETWORKDAYS(H174,I174),""))</f>
        <v/>
      </c>
      <c r="L174" s="13" t="inlineStr"/>
      <c r="M174" s="16" t="inlineStr"/>
      <c r="N174" s="16" t="inlineStr"/>
      <c r="O174" s="16" t="inlineStr"/>
      <c r="P174" s="16" t="inlineStr"/>
      <c r="Q174" s="16" t="inlineStr"/>
      <c r="R174" s="16" t="inlineStr"/>
      <c r="S174" s="16" t="n">
        <v>5</v>
      </c>
      <c r="T174" s="16" t="inlineStr"/>
      <c r="U174" s="16" t="inlineStr"/>
      <c r="V174" s="16" t="inlineStr"/>
      <c r="W174" s="16" t="inlineStr"/>
      <c r="X174" s="16" t="inlineStr"/>
      <c r="Y174" s="16" t="inlineStr"/>
      <c r="Z174" s="16" t="inlineStr"/>
      <c r="AA174" s="16" t="inlineStr"/>
      <c r="AB174" s="16" t="inlineStr"/>
      <c r="AC174" s="16" t="inlineStr"/>
      <c r="AD174" s="16" t="inlineStr"/>
      <c r="AE174" s="16" t="inlineStr"/>
      <c r="AF174" s="16" t="inlineStr"/>
      <c r="AG174" s="16" t="inlineStr"/>
      <c r="AH174" s="16" t="inlineStr"/>
      <c r="AI174" s="16" t="inlineStr"/>
      <c r="AJ174" s="16" t="inlineStr"/>
      <c r="AK174" s="16" t="inlineStr"/>
      <c r="AL174" s="16" t="inlineStr"/>
      <c r="AM174" s="16" t="inlineStr"/>
    </row>
    <row r="175">
      <c r="A175" s="13" t="inlineStr">
        <is>
          <t>Тарифы</t>
        </is>
      </c>
      <c r="B175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5" s="13" t="inlineStr"/>
      <c r="D175" s="13" t="inlineStr"/>
      <c r="E175" s="13" t="inlineStr">
        <is>
          <t>Роган Татьяна</t>
        </is>
      </c>
      <c r="F175" s="13" t="inlineStr">
        <is>
          <t>SA</t>
        </is>
      </c>
      <c r="G175" s="13" t="inlineStr"/>
      <c r="H175" s="14">
        <f>IF(COUNTA(M175:AM175)=0,"",INDEX($M$1:$AM$1,AGGREGATE(15,6,(COLUMN($M$1:$AM$1)-COLUMN($M$1)+1)/(M175:AM175&lt;&gt;""),1)))</f>
        <v/>
      </c>
      <c r="I175" s="14">
        <f>IF(COUNTA(M175:AM175)=0,"",INDEX($M$1:$AM$1,AGGREGATE(14,6,(COLUMN($M$1:$AM$1)-COLUMN($M$1)+1)/(M175:AM175&lt;&gt;""),1))+MAX(0,IFERROR(LOOKUP(2,1/(M175:AM175&lt;&gt;""),M175:AM175),1)-1))</f>
        <v/>
      </c>
      <c r="J175" s="14">
        <f>IF(I175="","",WORKDAY(I175,1))</f>
        <v/>
      </c>
      <c r="K175" s="15">
        <f>IF(COUNTA(M175:AM175),SUM(M175:AM175),IF(AND(H175&lt;&gt;"",I175&lt;&gt;""),NETWORKDAYS(H175,I175),""))</f>
        <v/>
      </c>
      <c r="L175" s="13" t="inlineStr"/>
      <c r="M175" s="16" t="inlineStr"/>
      <c r="N175" s="16" t="inlineStr"/>
      <c r="O175" s="16" t="inlineStr"/>
      <c r="P175" s="16" t="inlineStr"/>
      <c r="Q175" s="16" t="inlineStr"/>
      <c r="R175" s="16" t="n">
        <v>5</v>
      </c>
      <c r="S175" s="16" t="n">
        <v>5</v>
      </c>
      <c r="T175" s="16" t="n">
        <v>5</v>
      </c>
      <c r="U175" s="16" t="inlineStr"/>
      <c r="V175" s="16" t="inlineStr"/>
      <c r="W175" s="16" t="inlineStr"/>
      <c r="X175" s="16" t="inlineStr"/>
      <c r="Y175" s="16" t="inlineStr"/>
      <c r="Z175" s="16" t="inlineStr"/>
      <c r="AA175" s="16" t="inlineStr"/>
      <c r="AB175" s="16" t="inlineStr"/>
      <c r="AC175" s="16" t="inlineStr"/>
      <c r="AD175" s="16" t="inlineStr"/>
      <c r="AE175" s="16" t="inlineStr"/>
      <c r="AF175" s="16" t="inlineStr"/>
      <c r="AG175" s="16" t="inlineStr"/>
      <c r="AH175" s="16" t="inlineStr"/>
      <c r="AI175" s="16" t="inlineStr"/>
      <c r="AJ175" s="16" t="inlineStr"/>
      <c r="AK175" s="16" t="inlineStr"/>
      <c r="AL175" s="16" t="inlineStr"/>
      <c r="AM175" s="16" t="inlineStr"/>
    </row>
    <row r="176">
      <c r="A176" s="13" t="inlineStr">
        <is>
          <t>Тарифы</t>
        </is>
      </c>
      <c r="B176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6" s="13" t="inlineStr"/>
      <c r="D176" s="13" t="inlineStr"/>
      <c r="E176" s="13" t="inlineStr">
        <is>
          <t>Судариков Алексей</t>
        </is>
      </c>
      <c r="F176" s="13" t="inlineStr">
        <is>
          <t>BE</t>
        </is>
      </c>
      <c r="G176" s="13" t="inlineStr"/>
      <c r="H176" s="14">
        <f>IF(COUNTA(M176:AM176)=0,"",INDEX($M$1:$AM$1,AGGREGATE(15,6,(COLUMN($M$1:$AM$1)-COLUMN($M$1)+1)/(M176:AM176&lt;&gt;""),1)))</f>
        <v/>
      </c>
      <c r="I176" s="14">
        <f>IF(COUNTA(M176:AM176)=0,"",INDEX($M$1:$AM$1,AGGREGATE(14,6,(COLUMN($M$1:$AM$1)-COLUMN($M$1)+1)/(M176:AM176&lt;&gt;""),1))+MAX(0,IFERROR(LOOKUP(2,1/(M176:AM176&lt;&gt;""),M176:AM176),1)-1))</f>
        <v/>
      </c>
      <c r="J176" s="14">
        <f>IF(I176="","",WORKDAY(I176,1))</f>
        <v/>
      </c>
      <c r="K176" s="15">
        <f>IF(COUNTA(M176:AM176),SUM(M176:AM176),IF(AND(H176&lt;&gt;"",I176&lt;&gt;""),NETWORKDAYS(H176,I176),""))</f>
        <v/>
      </c>
      <c r="L176" s="13" t="inlineStr"/>
      <c r="M176" s="16" t="inlineStr"/>
      <c r="N176" s="16" t="inlineStr"/>
      <c r="O176" s="16" t="inlineStr"/>
      <c r="P176" s="16" t="inlineStr"/>
      <c r="Q176" s="16" t="inlineStr"/>
      <c r="R176" s="16" t="n">
        <v>1</v>
      </c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/>
      <c r="AA176" s="16" t="inlineStr"/>
      <c r="AB176" s="16" t="inlineStr"/>
      <c r="AC176" s="16" t="inlineStr"/>
      <c r="AD176" s="16" t="inlineStr"/>
      <c r="AE176" s="16" t="inlineStr"/>
      <c r="AF176" s="16" t="inlineStr"/>
      <c r="AG176" s="16" t="inlineStr"/>
      <c r="AH176" s="16" t="inlineStr"/>
      <c r="AI176" s="16" t="inlineStr"/>
      <c r="AJ176" s="16" t="inlineStr"/>
      <c r="AK176" s="16" t="inlineStr"/>
      <c r="AL176" s="16" t="inlineStr"/>
      <c r="AM176" s="16" t="inlineStr"/>
    </row>
    <row r="177">
      <c r="A177" s="13" t="inlineStr">
        <is>
          <t>Тарифы</t>
        </is>
      </c>
      <c r="B177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7" s="13" t="inlineStr"/>
      <c r="D177" s="13" t="inlineStr"/>
      <c r="E177" s="13" t="inlineStr">
        <is>
          <t>Савлук Богдан</t>
        </is>
      </c>
      <c r="F177" s="13" t="inlineStr">
        <is>
          <t>FE</t>
        </is>
      </c>
      <c r="G177" s="13" t="inlineStr"/>
      <c r="H177" s="14">
        <f>IF(COUNTA(M177:AM177)=0,"",INDEX($M$1:$AM$1,AGGREGATE(15,6,(COLUMN($M$1:$AM$1)-COLUMN($M$1)+1)/(M177:AM177&lt;&gt;""),1)))</f>
        <v/>
      </c>
      <c r="I177" s="14">
        <f>IF(COUNTA(M177:AM177)=0,"",INDEX($M$1:$AM$1,AGGREGATE(14,6,(COLUMN($M$1:$AM$1)-COLUMN($M$1)+1)/(M177:AM177&lt;&gt;""),1))+MAX(0,IFERROR(LOOKUP(2,1/(M177:AM177&lt;&gt;""),M177:AM177),1)-1))</f>
        <v/>
      </c>
      <c r="J177" s="14">
        <f>IF(I177="","",WORKDAY(I177,1))</f>
        <v/>
      </c>
      <c r="K177" s="15">
        <f>IF(COUNTA(M177:AM177),SUM(M177:AM177),IF(AND(H177&lt;&gt;"",I177&lt;&gt;""),NETWORKDAYS(H177,I177),""))</f>
        <v/>
      </c>
      <c r="L177" s="13" t="inlineStr"/>
      <c r="M177" s="16" t="inlineStr"/>
      <c r="N177" s="16" t="inlineStr"/>
      <c r="O177" s="16" t="inlineStr"/>
      <c r="P177" s="16" t="inlineStr"/>
      <c r="Q177" s="16" t="inlineStr"/>
      <c r="R177" s="16" t="inlineStr"/>
      <c r="S177" s="16" t="n">
        <v>5</v>
      </c>
      <c r="T177" s="16" t="n">
        <v>5</v>
      </c>
      <c r="U177" s="16" t="inlineStr"/>
      <c r="V177" s="16" t="inlineStr"/>
      <c r="W177" s="16" t="inlineStr"/>
      <c r="X177" s="16" t="inlineStr"/>
      <c r="Y177" s="16" t="inlineStr"/>
      <c r="Z177" s="16" t="inlineStr"/>
      <c r="AA177" s="16" t="inlineStr"/>
      <c r="AB177" s="16" t="inlineStr"/>
      <c r="AC177" s="16" t="inlineStr"/>
      <c r="AD177" s="16" t="inlineStr"/>
      <c r="AE177" s="16" t="inlineStr"/>
      <c r="AF177" s="16" t="inlineStr"/>
      <c r="AG177" s="16" t="inlineStr"/>
      <c r="AH177" s="16" t="inlineStr"/>
      <c r="AI177" s="16" t="inlineStr"/>
      <c r="AJ177" s="16" t="inlineStr"/>
      <c r="AK177" s="16" t="inlineStr"/>
      <c r="AL177" s="16" t="inlineStr"/>
      <c r="AM177" s="16" t="inlineStr"/>
    </row>
    <row r="178">
      <c r="A178" s="13" t="inlineStr">
        <is>
          <t>Тарифы</t>
        </is>
      </c>
      <c r="B178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8" s="13" t="inlineStr"/>
      <c r="D178" s="13" t="inlineStr"/>
      <c r="E178" s="13" t="inlineStr">
        <is>
          <t>Колотыгин Никита</t>
        </is>
      </c>
      <c r="F178" s="13" t="inlineStr">
        <is>
          <t>QA</t>
        </is>
      </c>
      <c r="G178" s="13" t="inlineStr"/>
      <c r="H178" s="14">
        <f>IF(COUNTA(M178:AM178)=0,"",INDEX($M$1:$AM$1,AGGREGATE(15,6,(COLUMN($M$1:$AM$1)-COLUMN($M$1)+1)/(M178:AM178&lt;&gt;""),1)))</f>
        <v/>
      </c>
      <c r="I178" s="14">
        <f>IF(COUNTA(M178:AM178)=0,"",INDEX($M$1:$AM$1,AGGREGATE(14,6,(COLUMN($M$1:$AM$1)-COLUMN($M$1)+1)/(M178:AM178&lt;&gt;""),1))+MAX(0,IFERROR(LOOKUP(2,1/(M178:AM178&lt;&gt;""),M178:AM178),1)-1))</f>
        <v/>
      </c>
      <c r="J178" s="14">
        <f>IF(I178="","",WORKDAY(I178,1))</f>
        <v/>
      </c>
      <c r="K178" s="15">
        <f>IF(COUNTA(M178:AM178),SUM(M178:AM178),IF(AND(H178&lt;&gt;"",I178&lt;&gt;""),NETWORKDAYS(H178,I178),""))</f>
        <v/>
      </c>
      <c r="L178" s="13" t="inlineStr"/>
      <c r="M178" s="16" t="inlineStr"/>
      <c r="N178" s="16" t="inlineStr"/>
      <c r="O178" s="16" t="inlineStr"/>
      <c r="P178" s="16" t="inlineStr"/>
      <c r="Q178" s="16" t="inlineStr"/>
      <c r="R178" s="16" t="inlineStr"/>
      <c r="S178" s="16" t="n">
        <v>1</v>
      </c>
      <c r="T178" s="16" t="n">
        <v>5</v>
      </c>
      <c r="U178" s="16" t="n">
        <v>5</v>
      </c>
      <c r="V178" s="16" t="n">
        <v>5</v>
      </c>
      <c r="W178" s="16" t="inlineStr"/>
      <c r="X178" s="16" t="inlineStr"/>
      <c r="Y178" s="16" t="inlineStr"/>
      <c r="Z178" s="16" t="inlineStr"/>
      <c r="AA178" s="16" t="inlineStr"/>
      <c r="AB178" s="16" t="inlineStr"/>
      <c r="AC178" s="16" t="inlineStr"/>
      <c r="AD178" s="16" t="inlineStr"/>
      <c r="AE178" s="16" t="inlineStr"/>
      <c r="AF178" s="16" t="inlineStr"/>
      <c r="AG178" s="16" t="inlineStr"/>
      <c r="AH178" s="16" t="inlineStr"/>
      <c r="AI178" s="16" t="inlineStr"/>
      <c r="AJ178" s="16" t="inlineStr"/>
      <c r="AK178" s="16" t="inlineStr"/>
      <c r="AL178" s="16" t="inlineStr"/>
      <c r="AM178" s="16" t="inlineStr"/>
    </row>
    <row r="179">
      <c r="A179" s="13" t="inlineStr">
        <is>
          <t>Тарифы</t>
        </is>
      </c>
      <c r="B179" s="13" t="inlineStr">
        <is>
          <t>Триалы МС в ПК Предактивация МС в ПК (Сайт+ЛК)</t>
        </is>
      </c>
      <c r="C179" s="13" t="inlineStr"/>
      <c r="D179" s="13" t="inlineStr"/>
      <c r="E179" s="13" t="inlineStr">
        <is>
          <t>Мерзликин Антон</t>
        </is>
      </c>
      <c r="F179" s="13" t="inlineStr">
        <is>
          <t>SA</t>
        </is>
      </c>
      <c r="G179" s="13" t="inlineStr"/>
      <c r="H179" s="14">
        <f>IF(COUNTA(M179:AM179)=0,"",INDEX($M$1:$AM$1,AGGREGATE(15,6,(COLUMN($M$1:$AM$1)-COLUMN($M$1)+1)/(M179:AM179&lt;&gt;""),1)))</f>
        <v/>
      </c>
      <c r="I179" s="14">
        <f>IF(COUNTA(M179:AM179)=0,"",INDEX($M$1:$AM$1,AGGREGATE(14,6,(COLUMN($M$1:$AM$1)-COLUMN($M$1)+1)/(M179:AM179&lt;&gt;""),1))+MAX(0,IFERROR(LOOKUP(2,1/(M179:AM179&lt;&gt;""),M179:AM179),1)-1))</f>
        <v/>
      </c>
      <c r="J179" s="14">
        <f>IF(I179="","",WORKDAY(I179,1))</f>
        <v/>
      </c>
      <c r="K179" s="15">
        <f>IF(COUNTA(M179:AM179),SUM(M179:AM179),IF(AND(H179&lt;&gt;"",I179&lt;&gt;""),NETWORKDAYS(H179,I179),""))</f>
        <v/>
      </c>
      <c r="L179" s="13" t="inlineStr"/>
      <c r="M179" s="16" t="inlineStr"/>
      <c r="N179" s="16" t="inlineStr"/>
      <c r="O179" s="16" t="inlineStr"/>
      <c r="P179" s="16" t="inlineStr"/>
      <c r="Q179" s="16" t="inlineStr"/>
      <c r="R179" s="16" t="inlineStr"/>
      <c r="S179" s="16" t="n">
        <v>2</v>
      </c>
      <c r="T179" s="16" t="inlineStr"/>
      <c r="U179" s="16" t="inlineStr"/>
      <c r="V179" s="16" t="inlineStr"/>
      <c r="W179" s="16" t="inlineStr"/>
      <c r="X179" s="16" t="inlineStr"/>
      <c r="Y179" s="16" t="inlineStr"/>
      <c r="Z179" s="16" t="inlineStr"/>
      <c r="AA179" s="16" t="inlineStr"/>
      <c r="AB179" s="16" t="inlineStr"/>
      <c r="AC179" s="16" t="inlineStr"/>
      <c r="AD179" s="16" t="inlineStr"/>
      <c r="AE179" s="16" t="inlineStr"/>
      <c r="AF179" s="16" t="inlineStr"/>
      <c r="AG179" s="16" t="inlineStr"/>
      <c r="AH179" s="16" t="inlineStr"/>
      <c r="AI179" s="16" t="inlineStr"/>
      <c r="AJ179" s="16" t="inlineStr"/>
      <c r="AK179" s="16" t="inlineStr"/>
      <c r="AL179" s="16" t="inlineStr"/>
      <c r="AM179" s="16" t="inlineStr"/>
    </row>
    <row r="180">
      <c r="A180" s="13" t="inlineStr">
        <is>
          <t>Тарифы</t>
        </is>
      </c>
      <c r="B180" s="13" t="inlineStr">
        <is>
          <t>Триалы МС в ПК Предактивация МС в ПК (Сайт+ЛК)</t>
        </is>
      </c>
      <c r="C180" s="13" t="inlineStr"/>
      <c r="D180" s="13" t="inlineStr"/>
      <c r="E180" s="13" t="inlineStr">
        <is>
          <t>Успенский Павел</t>
        </is>
      </c>
      <c r="F180" s="13" t="inlineStr">
        <is>
          <t>BE</t>
        </is>
      </c>
      <c r="G180" s="13" t="inlineStr"/>
      <c r="H180" s="14">
        <f>IF(COUNTA(M180:AM180)=0,"",INDEX($M$1:$AM$1,AGGREGATE(15,6,(COLUMN($M$1:$AM$1)-COLUMN($M$1)+1)/(M180:AM180&lt;&gt;""),1)))</f>
        <v/>
      </c>
      <c r="I180" s="14">
        <f>IF(COUNTA(M180:AM180)=0,"",INDEX($M$1:$AM$1,AGGREGATE(14,6,(COLUMN($M$1:$AM$1)-COLUMN($M$1)+1)/(M180:AM180&lt;&gt;""),1))+MAX(0,IFERROR(LOOKUP(2,1/(M180:AM180&lt;&gt;""),M180:AM180),1)-1))</f>
        <v/>
      </c>
      <c r="J180" s="14">
        <f>IF(I180="","",WORKDAY(I180,1))</f>
        <v/>
      </c>
      <c r="K180" s="15">
        <f>IF(COUNTA(M180:AM180),SUM(M180:AM180),IF(AND(H180&lt;&gt;"",I180&lt;&gt;""),NETWORKDAYS(H180,I180),""))</f>
        <v/>
      </c>
      <c r="L180" s="13" t="inlineStr"/>
      <c r="M180" s="16" t="inlineStr"/>
      <c r="N180" s="16" t="inlineStr"/>
      <c r="O180" s="16" t="inlineStr"/>
      <c r="P180" s="16" t="inlineStr"/>
      <c r="Q180" s="16" t="inlineStr"/>
      <c r="R180" s="16" t="inlineStr"/>
      <c r="S180" s="16" t="n">
        <v>3</v>
      </c>
      <c r="T180" s="16" t="n">
        <v>2</v>
      </c>
      <c r="U180" s="16" t="inlineStr"/>
      <c r="V180" s="16" t="inlineStr"/>
      <c r="W180" s="16" t="inlineStr"/>
      <c r="X180" s="16" t="inlineStr"/>
      <c r="Y180" s="16" t="inlineStr"/>
      <c r="Z180" s="16" t="inlineStr"/>
      <c r="AA180" s="16" t="inlineStr"/>
      <c r="AB180" s="16" t="inlineStr"/>
      <c r="AC180" s="16" t="inlineStr"/>
      <c r="AD180" s="16" t="inlineStr"/>
      <c r="AE180" s="16" t="inlineStr"/>
      <c r="AF180" s="16" t="inlineStr"/>
      <c r="AG180" s="16" t="inlineStr"/>
      <c r="AH180" s="16" t="inlineStr"/>
      <c r="AI180" s="16" t="inlineStr"/>
      <c r="AJ180" s="16" t="inlineStr"/>
      <c r="AK180" s="16" t="inlineStr"/>
      <c r="AL180" s="16" t="inlineStr"/>
      <c r="AM180" s="16" t="inlineStr"/>
    </row>
    <row r="181">
      <c r="A181" s="13" t="inlineStr">
        <is>
          <t>Тарифы</t>
        </is>
      </c>
      <c r="B181" s="13" t="inlineStr">
        <is>
          <t>Триалы МС в ПК Предактивация МС в ПК (Сайт+ЛК)</t>
        </is>
      </c>
      <c r="C181" s="13" t="inlineStr"/>
      <c r="D181" s="13" t="inlineStr"/>
      <c r="E181" s="13" t="inlineStr">
        <is>
          <t>Шлотгауэр Иван</t>
        </is>
      </c>
      <c r="F181" s="13" t="inlineStr">
        <is>
          <t>QA</t>
        </is>
      </c>
      <c r="G181" s="13" t="inlineStr"/>
      <c r="H181" s="14">
        <f>IF(COUNTA(M181:AM181)=0,"",INDEX($M$1:$AM$1,AGGREGATE(15,6,(COLUMN($M$1:$AM$1)-COLUMN($M$1)+1)/(M181:AM181&lt;&gt;""),1)))</f>
        <v/>
      </c>
      <c r="I181" s="14">
        <f>IF(COUNTA(M181:AM181)=0,"",INDEX($M$1:$AM$1,AGGREGATE(14,6,(COLUMN($M$1:$AM$1)-COLUMN($M$1)+1)/(M181:AM181&lt;&gt;""),1))+MAX(0,IFERROR(LOOKUP(2,1/(M181:AM181&lt;&gt;""),M181:AM181),1)-1))</f>
        <v/>
      </c>
      <c r="J181" s="14">
        <f>IF(I181="","",WORKDAY(I181,1))</f>
        <v/>
      </c>
      <c r="K181" s="15">
        <f>IF(COUNTA(M181:AM181),SUM(M181:AM181),IF(AND(H181&lt;&gt;"",I181&lt;&gt;""),NETWORKDAYS(H181,I181),""))</f>
        <v/>
      </c>
      <c r="L181" s="13" t="inlineStr"/>
      <c r="M181" s="16" t="inlineStr"/>
      <c r="N181" s="16" t="inlineStr"/>
      <c r="O181" s="16" t="inlineStr"/>
      <c r="P181" s="16" t="inlineStr"/>
      <c r="Q181" s="16" t="inlineStr"/>
      <c r="R181" s="16" t="inlineStr"/>
      <c r="S181" s="16" t="inlineStr"/>
      <c r="T181" s="16" t="n">
        <v>3</v>
      </c>
      <c r="U181" s="16" t="n">
        <v>2</v>
      </c>
      <c r="V181" s="16" t="inlineStr"/>
      <c r="W181" s="16" t="inlineStr"/>
      <c r="X181" s="16" t="inlineStr"/>
      <c r="Y181" s="16" t="inlineStr"/>
      <c r="Z181" s="16" t="inlineStr"/>
      <c r="AA181" s="16" t="inlineStr"/>
      <c r="AB181" s="16" t="inlineStr"/>
      <c r="AC181" s="16" t="inlineStr"/>
      <c r="AD181" s="16" t="inlineStr"/>
      <c r="AE181" s="16" t="inlineStr"/>
      <c r="AF181" s="16" t="inlineStr"/>
      <c r="AG181" s="16" t="inlineStr"/>
      <c r="AH181" s="16" t="inlineStr"/>
      <c r="AI181" s="16" t="inlineStr"/>
      <c r="AJ181" s="16" t="inlineStr"/>
      <c r="AK181" s="16" t="inlineStr"/>
      <c r="AL181" s="16" t="inlineStr"/>
      <c r="AM181" s="16" t="inlineStr"/>
    </row>
    <row r="182">
      <c r="A182" s="13" t="inlineStr">
        <is>
          <t>Тарифы</t>
        </is>
      </c>
      <c r="B182" s="13" t="inlineStr">
        <is>
          <t>Триалы МС в ПК Предактивация МС в ПК (Сайт+ЛК)</t>
        </is>
      </c>
      <c r="C182" s="13" t="inlineStr"/>
      <c r="D182" s="13" t="inlineStr"/>
      <c r="E182" s="13" t="inlineStr">
        <is>
          <t>Крымов</t>
        </is>
      </c>
      <c r="F182" s="13" t="inlineStr">
        <is>
          <t>Контент</t>
        </is>
      </c>
      <c r="G182" s="13" t="inlineStr"/>
      <c r="H182" s="14">
        <f>IF(COUNTA(M182:AM182)=0,"",INDEX($M$1:$AM$1,AGGREGATE(15,6,(COLUMN($M$1:$AM$1)-COLUMN($M$1)+1)/(M182:AM182&lt;&gt;""),1)))</f>
        <v/>
      </c>
      <c r="I182" s="14">
        <f>IF(COUNTA(M182:AM182)=0,"",INDEX($M$1:$AM$1,AGGREGATE(14,6,(COLUMN($M$1:$AM$1)-COLUMN($M$1)+1)/(M182:AM182&lt;&gt;""),1))+MAX(0,IFERROR(LOOKUP(2,1/(M182:AM182&lt;&gt;""),M182:AM182),1)-1))</f>
        <v/>
      </c>
      <c r="J182" s="14">
        <f>IF(I182="","",WORKDAY(I182,1))</f>
        <v/>
      </c>
      <c r="K182" s="15">
        <f>IF(COUNTA(M182:AM182),SUM(M182:AM182),IF(AND(H182&lt;&gt;"",I182&lt;&gt;""),NETWORKDAYS(H182,I182),""))</f>
        <v/>
      </c>
      <c r="L182" s="13" t="inlineStr"/>
      <c r="M182" s="16" t="inlineStr"/>
      <c r="N182" s="16" t="inlineStr"/>
      <c r="O182" s="16" t="inlineStr"/>
      <c r="P182" s="16" t="inlineStr"/>
      <c r="Q182" s="16" t="inlineStr"/>
      <c r="R182" s="16" t="inlineStr"/>
      <c r="S182" s="16" t="n">
        <v>3</v>
      </c>
      <c r="T182" s="16" t="n">
        <v>2</v>
      </c>
      <c r="U182" s="16" t="inlineStr"/>
      <c r="V182" s="16" t="inlineStr"/>
      <c r="W182" s="16" t="inlineStr"/>
      <c r="X182" s="16" t="inlineStr"/>
      <c r="Y182" s="16" t="inlineStr"/>
      <c r="Z182" s="16" t="inlineStr"/>
      <c r="AA182" s="16" t="inlineStr"/>
      <c r="AB182" s="16" t="inlineStr"/>
      <c r="AC182" s="16" t="inlineStr"/>
      <c r="AD182" s="16" t="inlineStr"/>
      <c r="AE182" s="16" t="inlineStr"/>
      <c r="AF182" s="16" t="inlineStr"/>
      <c r="AG182" s="16" t="inlineStr"/>
      <c r="AH182" s="16" t="inlineStr"/>
      <c r="AI182" s="16" t="inlineStr"/>
      <c r="AJ182" s="16" t="inlineStr"/>
      <c r="AK182" s="16" t="inlineStr"/>
      <c r="AL182" s="16" t="inlineStr"/>
      <c r="AM182" s="16" t="inlineStr"/>
    </row>
    <row r="183">
      <c r="A183" s="13" t="inlineStr">
        <is>
          <t>Тарифы</t>
        </is>
      </c>
      <c r="B183" s="13" t="inlineStr">
        <is>
          <t>Лендинг Мегасил (Сайт)</t>
        </is>
      </c>
      <c r="C183" s="13" t="inlineStr"/>
      <c r="D183" s="13" t="inlineStr"/>
      <c r="E183" s="13" t="inlineStr">
        <is>
          <t>Калинкин</t>
        </is>
      </c>
      <c r="F183" s="13" t="inlineStr">
        <is>
          <t>Дизайн</t>
        </is>
      </c>
      <c r="G183" s="13" t="inlineStr"/>
      <c r="H183" s="14">
        <f>IF(COUNTA(M183:AM183)=0,"",INDEX($M$1:$AM$1,AGGREGATE(15,6,(COLUMN($M$1:$AM$1)-COLUMN($M$1)+1)/(M183:AM183&lt;&gt;""),1)))</f>
        <v/>
      </c>
      <c r="I183" s="14">
        <f>IF(COUNTA(M183:AM183)=0,"",INDEX($M$1:$AM$1,AGGREGATE(14,6,(COLUMN($M$1:$AM$1)-COLUMN($M$1)+1)/(M183:AM183&lt;&gt;""),1))+MAX(0,IFERROR(LOOKUP(2,1/(M183:AM183&lt;&gt;""),M183:AM183),1)-1))</f>
        <v/>
      </c>
      <c r="J183" s="14">
        <f>IF(I183="","",WORKDAY(I183,1))</f>
        <v/>
      </c>
      <c r="K183" s="15">
        <f>IF(COUNTA(M183:AM183),SUM(M183:AM183),IF(AND(H183&lt;&gt;"",I183&lt;&gt;""),NETWORKDAYS(H183,I183),""))</f>
        <v/>
      </c>
      <c r="L183" s="13" t="inlineStr"/>
      <c r="M183" s="16" t="inlineStr"/>
      <c r="N183" s="16" t="inlineStr"/>
      <c r="O183" s="16" t="inlineStr"/>
      <c r="P183" s="16" t="inlineStr"/>
      <c r="Q183" s="16" t="inlineStr"/>
      <c r="R183" s="16" t="inlineStr"/>
      <c r="S183" s="16" t="inlineStr"/>
      <c r="T183" s="16" t="inlineStr"/>
      <c r="U183" s="16" t="inlineStr"/>
      <c r="V183" s="16" t="inlineStr"/>
      <c r="W183" s="16" t="inlineStr"/>
      <c r="X183" s="16" t="inlineStr"/>
      <c r="Y183" s="16" t="n">
        <v>5</v>
      </c>
      <c r="Z183" s="16" t="inlineStr"/>
      <c r="AA183" s="16" t="inlineStr"/>
      <c r="AB183" s="16" t="inlineStr"/>
      <c r="AC183" s="16" t="inlineStr"/>
      <c r="AD183" s="16" t="inlineStr"/>
      <c r="AE183" s="16" t="inlineStr"/>
      <c r="AF183" s="16" t="inlineStr"/>
      <c r="AG183" s="16" t="inlineStr"/>
      <c r="AH183" s="16" t="inlineStr"/>
      <c r="AI183" s="16" t="inlineStr"/>
      <c r="AJ183" s="16" t="inlineStr"/>
      <c r="AK183" s="16" t="inlineStr"/>
      <c r="AL183" s="16" t="inlineStr"/>
      <c r="AM183" s="16" t="inlineStr"/>
    </row>
    <row r="184">
      <c r="A184" s="13" t="inlineStr">
        <is>
          <t>Тарифы</t>
        </is>
      </c>
      <c r="B184" s="13" t="inlineStr">
        <is>
          <t>Лендинг Мегасил (Сайт)</t>
        </is>
      </c>
      <c r="C184" s="13" t="inlineStr"/>
      <c r="D184" s="13" t="inlineStr"/>
      <c r="E184" s="13" t="inlineStr">
        <is>
          <t>ЦКО</t>
        </is>
      </c>
      <c r="F184" s="13" t="inlineStr">
        <is>
          <t>SA</t>
        </is>
      </c>
      <c r="G184" s="13" t="inlineStr"/>
      <c r="H184" s="14">
        <f>IF(COUNTA(M184:AM184)=0,"",INDEX($M$1:$AM$1,AGGREGATE(15,6,(COLUMN($M$1:$AM$1)-COLUMN($M$1)+1)/(M184:AM184&lt;&gt;""),1)))</f>
        <v/>
      </c>
      <c r="I184" s="14">
        <f>IF(COUNTA(M184:AM184)=0,"",INDEX($M$1:$AM$1,AGGREGATE(14,6,(COLUMN($M$1:$AM$1)-COLUMN($M$1)+1)/(M184:AM184&lt;&gt;""),1))+MAX(0,IFERROR(LOOKUP(2,1/(M184:AM184&lt;&gt;""),M184:AM184),1)-1))</f>
        <v/>
      </c>
      <c r="J184" s="14">
        <f>IF(I184="","",WORKDAY(I184,1))</f>
        <v/>
      </c>
      <c r="K184" s="15">
        <f>IF(COUNTA(M184:AM184),SUM(M184:AM184),IF(AND(H184&lt;&gt;"",I184&lt;&gt;""),NETWORKDAYS(H184,I184),""))</f>
        <v/>
      </c>
      <c r="L184" s="13" t="inlineStr"/>
      <c r="M184" s="16" t="inlineStr"/>
      <c r="N184" s="16" t="inlineStr"/>
      <c r="O184" s="16" t="inlineStr"/>
      <c r="P184" s="16" t="inlineStr"/>
      <c r="Q184" s="16" t="inlineStr"/>
      <c r="R184" s="16" t="inlineStr"/>
      <c r="S184" s="16" t="inlineStr"/>
      <c r="T184" s="16" t="inlineStr"/>
      <c r="U184" s="16" t="inlineStr"/>
      <c r="V184" s="16" t="inlineStr"/>
      <c r="W184" s="16" t="inlineStr"/>
      <c r="X184" s="16" t="inlineStr"/>
      <c r="Y184" s="16" t="inlineStr"/>
      <c r="Z184" s="16" t="n">
        <v>1</v>
      </c>
      <c r="AA184" s="16" t="inlineStr"/>
      <c r="AB184" s="16" t="inlineStr"/>
      <c r="AC184" s="16" t="inlineStr"/>
      <c r="AD184" s="16" t="inlineStr"/>
      <c r="AE184" s="16" t="inlineStr"/>
      <c r="AF184" s="16" t="inlineStr"/>
      <c r="AG184" s="16" t="inlineStr"/>
      <c r="AH184" s="16" t="inlineStr"/>
      <c r="AI184" s="16" t="inlineStr"/>
      <c r="AJ184" s="16" t="inlineStr"/>
      <c r="AK184" s="16" t="inlineStr"/>
      <c r="AL184" s="16" t="inlineStr"/>
      <c r="AM184" s="16" t="inlineStr"/>
    </row>
    <row r="185">
      <c r="A185" s="13" t="inlineStr">
        <is>
          <t>Тарифы</t>
        </is>
      </c>
      <c r="B185" s="13" t="inlineStr">
        <is>
          <t>Лендинг Мегасил (Сайт)</t>
        </is>
      </c>
      <c r="C185" s="13" t="inlineStr"/>
      <c r="D185" s="13" t="inlineStr"/>
      <c r="E185" s="13" t="inlineStr">
        <is>
          <t>Косенко Данил</t>
        </is>
      </c>
      <c r="F185" s="13" t="inlineStr">
        <is>
          <t>FE</t>
        </is>
      </c>
      <c r="G185" s="13" t="inlineStr"/>
      <c r="H185" s="14">
        <f>IF(COUNTA(M185:AM185)=0,"",INDEX($M$1:$AM$1,AGGREGATE(15,6,(COLUMN($M$1:$AM$1)-COLUMN($M$1)+1)/(M185:AM185&lt;&gt;""),1)))</f>
        <v/>
      </c>
      <c r="I185" s="14">
        <f>IF(COUNTA(M185:AM185)=0,"",INDEX($M$1:$AM$1,AGGREGATE(14,6,(COLUMN($M$1:$AM$1)-COLUMN($M$1)+1)/(M185:AM185&lt;&gt;""),1))+MAX(0,IFERROR(LOOKUP(2,1/(M185:AM185&lt;&gt;""),M185:AM185),1)-1))</f>
        <v/>
      </c>
      <c r="J185" s="14">
        <f>IF(I185="","",WORKDAY(I185,1))</f>
        <v/>
      </c>
      <c r="K185" s="15">
        <f>IF(COUNTA(M185:AM185),SUM(M185:AM185),IF(AND(H185&lt;&gt;"",I185&lt;&gt;""),NETWORKDAYS(H185,I185),""))</f>
        <v/>
      </c>
      <c r="L185" s="13" t="inlineStr"/>
      <c r="M185" s="16" t="inlineStr"/>
      <c r="N185" s="16" t="inlineStr"/>
      <c r="O185" s="16" t="inlineStr"/>
      <c r="P185" s="16" t="inlineStr"/>
      <c r="Q185" s="16" t="inlineStr"/>
      <c r="R185" s="16" t="inlineStr"/>
      <c r="S185" s="16" t="inlineStr"/>
      <c r="T185" s="16" t="inlineStr"/>
      <c r="U185" s="16" t="inlineStr"/>
      <c r="V185" s="16" t="inlineStr"/>
      <c r="W185" s="16" t="inlineStr"/>
      <c r="X185" s="16" t="inlineStr"/>
      <c r="Y185" s="16" t="inlineStr"/>
      <c r="Z185" s="16" t="n">
        <v>5</v>
      </c>
      <c r="AA185" s="16" t="n">
        <v>2</v>
      </c>
      <c r="AB185" s="16" t="inlineStr"/>
      <c r="AC185" s="16" t="inlineStr"/>
      <c r="AD185" s="16" t="inlineStr"/>
      <c r="AE185" s="16" t="inlineStr"/>
      <c r="AF185" s="16" t="inlineStr"/>
      <c r="AG185" s="16" t="inlineStr"/>
      <c r="AH185" s="16" t="inlineStr"/>
      <c r="AI185" s="16" t="inlineStr"/>
      <c r="AJ185" s="16" t="inlineStr"/>
      <c r="AK185" s="16" t="inlineStr"/>
      <c r="AL185" s="16" t="inlineStr"/>
      <c r="AM185" s="16" t="inlineStr"/>
    </row>
    <row r="186">
      <c r="A186" s="13" t="inlineStr">
        <is>
          <t>Тарифы</t>
        </is>
      </c>
      <c r="B186" s="13" t="inlineStr">
        <is>
          <t>Лендинг Мегасил (Сайт)</t>
        </is>
      </c>
      <c r="C186" s="13" t="inlineStr"/>
      <c r="D186" s="13" t="inlineStr"/>
      <c r="E186" s="13" t="inlineStr">
        <is>
          <t>Крымов</t>
        </is>
      </c>
      <c r="F186" s="13" t="inlineStr">
        <is>
          <t>Контент</t>
        </is>
      </c>
      <c r="G186" s="13" t="inlineStr"/>
      <c r="H186" s="14">
        <f>IF(COUNTA(M186:AM186)=0,"",INDEX($M$1:$AM$1,AGGREGATE(15,6,(COLUMN($M$1:$AM$1)-COLUMN($M$1)+1)/(M186:AM186&lt;&gt;""),1)))</f>
        <v/>
      </c>
      <c r="I186" s="14">
        <f>IF(COUNTA(M186:AM186)=0,"",INDEX($M$1:$AM$1,AGGREGATE(14,6,(COLUMN($M$1:$AM$1)-COLUMN($M$1)+1)/(M186:AM186&lt;&gt;""),1))+MAX(0,IFERROR(LOOKUP(2,1/(M186:AM186&lt;&gt;""),M186:AM186),1)-1))</f>
        <v/>
      </c>
      <c r="J186" s="14">
        <f>IF(I186="","",WORKDAY(I186,1))</f>
        <v/>
      </c>
      <c r="K186" s="15">
        <f>IF(COUNTA(M186:AM186),SUM(M186:AM186),IF(AND(H186&lt;&gt;"",I186&lt;&gt;""),NETWORKDAYS(H186,I186),""))</f>
        <v/>
      </c>
      <c r="L186" s="13" t="inlineStr"/>
      <c r="M186" s="16" t="inlineStr"/>
      <c r="N186" s="16" t="inlineStr"/>
      <c r="O186" s="16" t="inlineStr"/>
      <c r="P186" s="16" t="inlineStr"/>
      <c r="Q186" s="16" t="inlineStr"/>
      <c r="R186" s="16" t="inlineStr"/>
      <c r="S186" s="16" t="inlineStr"/>
      <c r="T186" s="16" t="inlineStr"/>
      <c r="U186" s="16" t="inlineStr"/>
      <c r="V186" s="16" t="inlineStr"/>
      <c r="W186" s="16" t="inlineStr"/>
      <c r="X186" s="16" t="inlineStr"/>
      <c r="Y186" s="16" t="inlineStr"/>
      <c r="Z186" s="16" t="n">
        <v>2</v>
      </c>
      <c r="AA186" s="16" t="n">
        <v>1</v>
      </c>
      <c r="AB186" s="16" t="inlineStr"/>
      <c r="AC186" s="16" t="inlineStr"/>
      <c r="AD186" s="16" t="inlineStr"/>
      <c r="AE186" s="16" t="inlineStr"/>
      <c r="AF186" s="16" t="inlineStr"/>
      <c r="AG186" s="16" t="inlineStr"/>
      <c r="AH186" s="16" t="inlineStr"/>
      <c r="AI186" s="16" t="inlineStr"/>
      <c r="AJ186" s="16" t="inlineStr"/>
      <c r="AK186" s="16" t="inlineStr"/>
      <c r="AL186" s="16" t="inlineStr"/>
      <c r="AM186" s="16" t="inlineStr"/>
    </row>
    <row r="187">
      <c r="A187" s="13" t="inlineStr">
        <is>
          <t>Тарифы</t>
        </is>
      </c>
      <c r="B187" s="13" t="inlineStr">
        <is>
          <t>Лендинг Мегасил (Сайт)</t>
        </is>
      </c>
      <c r="C187" s="13" t="inlineStr"/>
      <c r="D187" s="13" t="inlineStr"/>
      <c r="E187" s="13" t="inlineStr">
        <is>
          <t>Шлотгауэр Иван</t>
        </is>
      </c>
      <c r="F187" s="13" t="inlineStr">
        <is>
          <t>QA</t>
        </is>
      </c>
      <c r="G187" s="13" t="inlineStr"/>
      <c r="H187" s="14">
        <f>IF(COUNTA(M187:AM187)=0,"",INDEX($M$1:$AM$1,AGGREGATE(15,6,(COLUMN($M$1:$AM$1)-COLUMN($M$1)+1)/(M187:AM187&lt;&gt;""),1)))</f>
        <v/>
      </c>
      <c r="I187" s="14">
        <f>IF(COUNTA(M187:AM187)=0,"",INDEX($M$1:$AM$1,AGGREGATE(14,6,(COLUMN($M$1:$AM$1)-COLUMN($M$1)+1)/(M187:AM187&lt;&gt;""),1))+MAX(0,IFERROR(LOOKUP(2,1/(M187:AM187&lt;&gt;""),M187:AM187),1)-1))</f>
        <v/>
      </c>
      <c r="J187" s="14">
        <f>IF(I187="","",WORKDAY(I187,1))</f>
        <v/>
      </c>
      <c r="K187" s="15">
        <f>IF(COUNTA(M187:AM187),SUM(M187:AM187),IF(AND(H187&lt;&gt;"",I187&lt;&gt;""),NETWORKDAYS(H187,I187),""))</f>
        <v/>
      </c>
      <c r="L187" s="13" t="inlineStr"/>
      <c r="M187" s="16" t="inlineStr"/>
      <c r="N187" s="16" t="inlineStr"/>
      <c r="O187" s="16" t="inlineStr"/>
      <c r="P187" s="16" t="inlineStr"/>
      <c r="Q187" s="16" t="inlineStr"/>
      <c r="R187" s="16" t="inlineStr"/>
      <c r="S187" s="16" t="inlineStr"/>
      <c r="T187" s="16" t="inlineStr"/>
      <c r="U187" s="16" t="inlineStr"/>
      <c r="V187" s="16" t="inlineStr"/>
      <c r="W187" s="16" t="inlineStr"/>
      <c r="X187" s="16" t="inlineStr"/>
      <c r="Y187" s="16" t="inlineStr"/>
      <c r="Z187" s="16" t="inlineStr"/>
      <c r="AA187" s="16" t="n">
        <v>3</v>
      </c>
      <c r="AB187" s="16" t="inlineStr"/>
      <c r="AC187" s="16" t="inlineStr"/>
      <c r="AD187" s="16" t="inlineStr"/>
      <c r="AE187" s="16" t="inlineStr"/>
      <c r="AF187" s="16" t="inlineStr"/>
      <c r="AG187" s="16" t="inlineStr"/>
      <c r="AH187" s="16" t="inlineStr"/>
      <c r="AI187" s="16" t="inlineStr"/>
      <c r="AJ187" s="16" t="inlineStr"/>
      <c r="AK187" s="16" t="inlineStr"/>
      <c r="AL187" s="16" t="inlineStr"/>
      <c r="AM187" s="16" t="inlineStr"/>
    </row>
    <row r="188">
      <c r="A188" s="13" t="inlineStr">
        <is>
          <t>Тарифы</t>
        </is>
      </c>
      <c r="B188" s="13" t="inlineStr">
        <is>
          <t>Лендинг-конструктор МС</t>
        </is>
      </c>
      <c r="C188" s="13" t="inlineStr"/>
      <c r="D188" s="13" t="inlineStr"/>
      <c r="E188" s="13" t="inlineStr">
        <is>
          <t>Калинкин</t>
        </is>
      </c>
      <c r="F188" s="13" t="inlineStr">
        <is>
          <t>Дизайн</t>
        </is>
      </c>
      <c r="G188" s="13" t="inlineStr"/>
      <c r="H188" s="14">
        <f>IF(COUNTA(M188:AM188)=0,"",INDEX($M$1:$AM$1,AGGREGATE(15,6,(COLUMN($M$1:$AM$1)-COLUMN($M$1)+1)/(M188:AM188&lt;&gt;""),1)))</f>
        <v/>
      </c>
      <c r="I188" s="14">
        <f>IF(COUNTA(M188:AM188)=0,"",INDEX($M$1:$AM$1,AGGREGATE(14,6,(COLUMN($M$1:$AM$1)-COLUMN($M$1)+1)/(M188:AM188&lt;&gt;""),1))+MAX(0,IFERROR(LOOKUP(2,1/(M188:AM188&lt;&gt;""),M188:AM188),1)-1))</f>
        <v/>
      </c>
      <c r="J188" s="14">
        <f>IF(I188="","",WORKDAY(I188,1))</f>
        <v/>
      </c>
      <c r="K188" s="15">
        <f>IF(COUNTA(M188:AM188),SUM(M188:AM188),IF(AND(H188&lt;&gt;"",I188&lt;&gt;""),NETWORKDAYS(H188,I188),""))</f>
        <v/>
      </c>
      <c r="L188" s="13" t="inlineStr"/>
      <c r="M188" s="16" t="inlineStr"/>
      <c r="N188" s="16" t="inlineStr"/>
      <c r="O188" s="16" t="inlineStr"/>
      <c r="P188" s="16" t="inlineStr"/>
      <c r="Q188" s="16" t="inlineStr"/>
      <c r="R188" s="16" t="inlineStr"/>
      <c r="S188" s="16" t="inlineStr"/>
      <c r="T188" s="16" t="inlineStr"/>
      <c r="U188" s="16" t="inlineStr"/>
      <c r="V188" s="16" t="inlineStr"/>
      <c r="W188" s="16" t="inlineStr"/>
      <c r="X188" s="16" t="inlineStr"/>
      <c r="Y188" s="16" t="inlineStr"/>
      <c r="Z188" s="16" t="n">
        <v>5</v>
      </c>
      <c r="AA188" s="16" t="inlineStr"/>
      <c r="AB188" s="16" t="inlineStr"/>
      <c r="AC188" s="16" t="inlineStr"/>
      <c r="AD188" s="16" t="inlineStr"/>
      <c r="AE188" s="16" t="inlineStr"/>
      <c r="AF188" s="16" t="inlineStr"/>
      <c r="AG188" s="16" t="inlineStr"/>
      <c r="AH188" s="16" t="inlineStr"/>
      <c r="AI188" s="16" t="inlineStr"/>
      <c r="AJ188" s="16" t="inlineStr"/>
      <c r="AK188" s="16" t="inlineStr"/>
      <c r="AL188" s="16" t="inlineStr"/>
      <c r="AM188" s="16" t="inlineStr"/>
    </row>
    <row r="189">
      <c r="A189" s="13" t="inlineStr">
        <is>
          <t>Тарифы</t>
        </is>
      </c>
      <c r="B189" s="13" t="inlineStr">
        <is>
          <t>Лендинг-конструктор МС</t>
        </is>
      </c>
      <c r="C189" s="13" t="inlineStr"/>
      <c r="D189" s="13" t="inlineStr"/>
      <c r="E189" s="13" t="inlineStr">
        <is>
          <t>Мерзликин Антон</t>
        </is>
      </c>
      <c r="F189" s="13" t="inlineStr">
        <is>
          <t>SA</t>
        </is>
      </c>
      <c r="G189" s="13" t="inlineStr"/>
      <c r="H189" s="14">
        <f>IF(COUNTA(M189:AM189)=0,"",INDEX($M$1:$AM$1,AGGREGATE(15,6,(COLUMN($M$1:$AM$1)-COLUMN($M$1)+1)/(M189:AM189&lt;&gt;""),1)))</f>
        <v/>
      </c>
      <c r="I189" s="14">
        <f>IF(COUNTA(M189:AM189)=0,"",INDEX($M$1:$AM$1,AGGREGATE(14,6,(COLUMN($M$1:$AM$1)-COLUMN($M$1)+1)/(M189:AM189&lt;&gt;""),1))+MAX(0,IFERROR(LOOKUP(2,1/(M189:AM189&lt;&gt;""),M189:AM189),1)-1))</f>
        <v/>
      </c>
      <c r="J189" s="14">
        <f>IF(I189="","",WORKDAY(I189,1))</f>
        <v/>
      </c>
      <c r="K189" s="15">
        <f>IF(COUNTA(M189:AM189),SUM(M189:AM189),IF(AND(H189&lt;&gt;"",I189&lt;&gt;""),NETWORKDAYS(H189,I189),""))</f>
        <v/>
      </c>
      <c r="L189" s="13" t="inlineStr"/>
      <c r="M189" s="16" t="inlineStr"/>
      <c r="N189" s="16" t="inlineStr"/>
      <c r="O189" s="16" t="inlineStr"/>
      <c r="P189" s="16" t="inlineStr"/>
      <c r="Q189" s="16" t="inlineStr"/>
      <c r="R189" s="16" t="inlineStr"/>
      <c r="S189" s="16" t="inlineStr"/>
      <c r="T189" s="16" t="inlineStr"/>
      <c r="U189" s="16" t="inlineStr"/>
      <c r="V189" s="16" t="inlineStr"/>
      <c r="W189" s="16" t="inlineStr"/>
      <c r="X189" s="16" t="inlineStr"/>
      <c r="Y189" s="16" t="inlineStr"/>
      <c r="Z189" s="16" t="inlineStr"/>
      <c r="AA189" s="16" t="n">
        <v>5</v>
      </c>
      <c r="AB189" s="16" t="inlineStr"/>
      <c r="AC189" s="16" t="inlineStr"/>
      <c r="AD189" s="16" t="inlineStr"/>
      <c r="AE189" s="16" t="inlineStr"/>
      <c r="AF189" s="16" t="inlineStr"/>
      <c r="AG189" s="16" t="inlineStr"/>
      <c r="AH189" s="16" t="inlineStr"/>
      <c r="AI189" s="16" t="inlineStr"/>
      <c r="AJ189" s="16" t="inlineStr"/>
      <c r="AK189" s="16" t="inlineStr"/>
      <c r="AL189" s="16" t="inlineStr"/>
      <c r="AM189" s="16" t="inlineStr"/>
    </row>
    <row r="190">
      <c r="A190" s="13" t="inlineStr">
        <is>
          <t>Тарифы</t>
        </is>
      </c>
      <c r="B190" s="13" t="inlineStr">
        <is>
          <t>Лендинг-конструктор МС</t>
        </is>
      </c>
      <c r="C190" s="13" t="inlineStr"/>
      <c r="D190" s="13" t="inlineStr"/>
      <c r="E190" s="13" t="inlineStr">
        <is>
          <t>Успенский Павел</t>
        </is>
      </c>
      <c r="F190" s="13" t="inlineStr">
        <is>
          <t>BE</t>
        </is>
      </c>
      <c r="G190" s="13" t="inlineStr"/>
      <c r="H190" s="14">
        <f>IF(COUNTA(M190:AM190)=0,"",INDEX($M$1:$AM$1,AGGREGATE(15,6,(COLUMN($M$1:$AM$1)-COLUMN($M$1)+1)/(M190:AM190&lt;&gt;""),1)))</f>
        <v/>
      </c>
      <c r="I190" s="14">
        <f>IF(COUNTA(M190:AM190)=0,"",INDEX($M$1:$AM$1,AGGREGATE(14,6,(COLUMN($M$1:$AM$1)-COLUMN($M$1)+1)/(M190:AM190&lt;&gt;""),1))+MAX(0,IFERROR(LOOKUP(2,1/(M190:AM190&lt;&gt;""),M190:AM190),1)-1))</f>
        <v/>
      </c>
      <c r="J190" s="14">
        <f>IF(I190="","",WORKDAY(I190,1))</f>
        <v/>
      </c>
      <c r="K190" s="15">
        <f>IF(COUNTA(M190:AM190),SUM(M190:AM190),IF(AND(H190&lt;&gt;"",I190&lt;&gt;""),NETWORKDAYS(H190,I190),""))</f>
        <v/>
      </c>
      <c r="L190" s="13" t="inlineStr"/>
      <c r="M190" s="16" t="inlineStr"/>
      <c r="N190" s="16" t="inlineStr"/>
      <c r="O190" s="16" t="inlineStr"/>
      <c r="P190" s="16" t="inlineStr"/>
      <c r="Q190" s="16" t="inlineStr"/>
      <c r="R190" s="16" t="inlineStr"/>
      <c r="S190" s="16" t="inlineStr"/>
      <c r="T190" s="16" t="inlineStr"/>
      <c r="U190" s="16" t="inlineStr"/>
      <c r="V190" s="16" t="inlineStr"/>
      <c r="W190" s="16" t="inlineStr"/>
      <c r="X190" s="16" t="inlineStr"/>
      <c r="Y190" s="16" t="inlineStr"/>
      <c r="Z190" s="16" t="inlineStr"/>
      <c r="AA190" s="16" t="inlineStr"/>
      <c r="AB190" s="16" t="n">
        <v>3</v>
      </c>
      <c r="AC190" s="16" t="inlineStr"/>
      <c r="AD190" s="16" t="inlineStr"/>
      <c r="AE190" s="16" t="inlineStr"/>
      <c r="AF190" s="16" t="inlineStr"/>
      <c r="AG190" s="16" t="inlineStr"/>
      <c r="AH190" s="16" t="inlineStr"/>
      <c r="AI190" s="16" t="inlineStr"/>
      <c r="AJ190" s="16" t="inlineStr"/>
      <c r="AK190" s="16" t="inlineStr"/>
      <c r="AL190" s="16" t="inlineStr"/>
      <c r="AM190" s="16" t="inlineStr"/>
    </row>
    <row r="191">
      <c r="A191" s="13" t="inlineStr">
        <is>
          <t>Тарифы</t>
        </is>
      </c>
      <c r="B191" s="13" t="inlineStr">
        <is>
          <t>Лендинг-конструктор МС</t>
        </is>
      </c>
      <c r="C191" s="13" t="inlineStr"/>
      <c r="D191" s="13" t="inlineStr"/>
      <c r="E191" s="13" t="inlineStr">
        <is>
          <t>Косенко Данил</t>
        </is>
      </c>
      <c r="F191" s="13" t="inlineStr">
        <is>
          <t>FE</t>
        </is>
      </c>
      <c r="G191" s="13" t="inlineStr"/>
      <c r="H191" s="14">
        <f>IF(COUNTA(M191:AM191)=0,"",INDEX($M$1:$AM$1,AGGREGATE(15,6,(COLUMN($M$1:$AM$1)-COLUMN($M$1)+1)/(M191:AM191&lt;&gt;""),1)))</f>
        <v/>
      </c>
      <c r="I191" s="14">
        <f>IF(COUNTA(M191:AM191)=0,"",INDEX($M$1:$AM$1,AGGREGATE(14,6,(COLUMN($M$1:$AM$1)-COLUMN($M$1)+1)/(M191:AM191&lt;&gt;""),1))+MAX(0,IFERROR(LOOKUP(2,1/(M191:AM191&lt;&gt;""),M191:AM191),1)-1))</f>
        <v/>
      </c>
      <c r="J191" s="14">
        <f>IF(I191="","",WORKDAY(I191,1))</f>
        <v/>
      </c>
      <c r="K191" s="15">
        <f>IF(COUNTA(M191:AM191),SUM(M191:AM191),IF(AND(H191&lt;&gt;"",I191&lt;&gt;""),NETWORKDAYS(H191,I191),""))</f>
        <v/>
      </c>
      <c r="L191" s="13" t="inlineStr"/>
      <c r="M191" s="16" t="inlineStr"/>
      <c r="N191" s="16" t="inlineStr"/>
      <c r="O191" s="16" t="inlineStr"/>
      <c r="P191" s="16" t="inlineStr"/>
      <c r="Q191" s="16" t="inlineStr"/>
      <c r="R191" s="16" t="inlineStr"/>
      <c r="S191" s="16" t="inlineStr"/>
      <c r="T191" s="16" t="inlineStr"/>
      <c r="U191" s="16" t="inlineStr"/>
      <c r="V191" s="16" t="inlineStr"/>
      <c r="W191" s="16" t="inlineStr"/>
      <c r="X191" s="16" t="inlineStr"/>
      <c r="Y191" s="16" t="inlineStr"/>
      <c r="Z191" s="16" t="inlineStr"/>
      <c r="AA191" s="16" t="inlineStr"/>
      <c r="AB191" s="16" t="n">
        <v>5</v>
      </c>
      <c r="AC191" s="16" t="n">
        <v>3</v>
      </c>
      <c r="AD191" s="16" t="inlineStr"/>
      <c r="AE191" s="16" t="inlineStr"/>
      <c r="AF191" s="16" t="inlineStr"/>
      <c r="AG191" s="16" t="inlineStr"/>
      <c r="AH191" s="16" t="inlineStr"/>
      <c r="AI191" s="16" t="inlineStr"/>
      <c r="AJ191" s="16" t="inlineStr"/>
      <c r="AK191" s="16" t="inlineStr"/>
      <c r="AL191" s="16" t="inlineStr"/>
      <c r="AM191" s="16" t="inlineStr"/>
    </row>
    <row r="192">
      <c r="A192" s="13" t="inlineStr">
        <is>
          <t>Тарифы</t>
        </is>
      </c>
      <c r="B192" s="13" t="inlineStr">
        <is>
          <t>Лендинг-конструктор МС</t>
        </is>
      </c>
      <c r="C192" s="13" t="inlineStr"/>
      <c r="D192" s="13" t="inlineStr"/>
      <c r="E192" s="13" t="inlineStr">
        <is>
          <t>Крымов</t>
        </is>
      </c>
      <c r="F192" s="13" t="inlineStr">
        <is>
          <t>Контент</t>
        </is>
      </c>
      <c r="G192" s="13" t="inlineStr"/>
      <c r="H192" s="14">
        <f>IF(COUNTA(M192:AM192)=0,"",INDEX($M$1:$AM$1,AGGREGATE(15,6,(COLUMN($M$1:$AM$1)-COLUMN($M$1)+1)/(M192:AM192&lt;&gt;""),1)))</f>
        <v/>
      </c>
      <c r="I192" s="14">
        <f>IF(COUNTA(M192:AM192)=0,"",INDEX($M$1:$AM$1,AGGREGATE(14,6,(COLUMN($M$1:$AM$1)-COLUMN($M$1)+1)/(M192:AM192&lt;&gt;""),1))+MAX(0,IFERROR(LOOKUP(2,1/(M192:AM192&lt;&gt;""),M192:AM192),1)-1))</f>
        <v/>
      </c>
      <c r="J192" s="14">
        <f>IF(I192="","",WORKDAY(I192,1))</f>
        <v/>
      </c>
      <c r="K192" s="15">
        <f>IF(COUNTA(M192:AM192),SUM(M192:AM192),IF(AND(H192&lt;&gt;"",I192&lt;&gt;""),NETWORKDAYS(H192,I192),""))</f>
        <v/>
      </c>
      <c r="L192" s="13" t="inlineStr"/>
      <c r="M192" s="16" t="inlineStr"/>
      <c r="N192" s="16" t="inlineStr"/>
      <c r="O192" s="16" t="inlineStr"/>
      <c r="P192" s="16" t="inlineStr"/>
      <c r="Q192" s="16" t="inlineStr"/>
      <c r="R192" s="16" t="inlineStr"/>
      <c r="S192" s="16" t="inlineStr"/>
      <c r="T192" s="16" t="inlineStr"/>
      <c r="U192" s="16" t="inlineStr"/>
      <c r="V192" s="16" t="inlineStr"/>
      <c r="W192" s="16" t="inlineStr"/>
      <c r="X192" s="16" t="inlineStr"/>
      <c r="Y192" s="16" t="inlineStr"/>
      <c r="Z192" s="16" t="inlineStr"/>
      <c r="AA192" s="16" t="inlineStr"/>
      <c r="AB192" s="16" t="inlineStr"/>
      <c r="AC192" s="16" t="n">
        <v>3</v>
      </c>
      <c r="AD192" s="16" t="inlineStr"/>
      <c r="AE192" s="16" t="inlineStr"/>
      <c r="AF192" s="16" t="inlineStr"/>
      <c r="AG192" s="16" t="inlineStr"/>
      <c r="AH192" s="16" t="inlineStr"/>
      <c r="AI192" s="16" t="inlineStr"/>
      <c r="AJ192" s="16" t="inlineStr"/>
      <c r="AK192" s="16" t="inlineStr"/>
      <c r="AL192" s="16" t="inlineStr"/>
      <c r="AM192" s="16" t="inlineStr"/>
    </row>
    <row r="193">
      <c r="A193" s="13" t="inlineStr">
        <is>
          <t>Тарифы</t>
        </is>
      </c>
      <c r="B193" s="13" t="inlineStr">
        <is>
          <t>Лендинг-конструктор МС</t>
        </is>
      </c>
      <c r="C193" s="13" t="inlineStr"/>
      <c r="D193" s="13" t="inlineStr"/>
      <c r="E193" s="13" t="inlineStr">
        <is>
          <t>Шлотгауэр Иван</t>
        </is>
      </c>
      <c r="F193" s="13" t="inlineStr">
        <is>
          <t>QA</t>
        </is>
      </c>
      <c r="G193" s="13" t="inlineStr"/>
      <c r="H193" s="14">
        <f>IF(COUNTA(M193:AM193)=0,"",INDEX($M$1:$AM$1,AGGREGATE(15,6,(COLUMN($M$1:$AM$1)-COLUMN($M$1)+1)/(M193:AM193&lt;&gt;""),1)))</f>
        <v/>
      </c>
      <c r="I193" s="14">
        <f>IF(COUNTA(M193:AM193)=0,"",INDEX($M$1:$AM$1,AGGREGATE(14,6,(COLUMN($M$1:$AM$1)-COLUMN($M$1)+1)/(M193:AM193&lt;&gt;""),1))+MAX(0,IFERROR(LOOKUP(2,1/(M193:AM193&lt;&gt;""),M193:AM193),1)-1))</f>
        <v/>
      </c>
      <c r="J193" s="14">
        <f>IF(I193="","",WORKDAY(I193,1))</f>
        <v/>
      </c>
      <c r="K193" s="15">
        <f>IF(COUNTA(M193:AM193),SUM(M193:AM193),IF(AND(H193&lt;&gt;"",I193&lt;&gt;""),NETWORKDAYS(H193,I193),""))</f>
        <v/>
      </c>
      <c r="L193" s="13" t="inlineStr"/>
      <c r="M193" s="16" t="inlineStr"/>
      <c r="N193" s="16" t="inlineStr"/>
      <c r="O193" s="16" t="inlineStr"/>
      <c r="P193" s="16" t="inlineStr"/>
      <c r="Q193" s="16" t="inlineStr"/>
      <c r="R193" s="16" t="inlineStr"/>
      <c r="S193" s="16" t="inlineStr"/>
      <c r="T193" s="16" t="inlineStr"/>
      <c r="U193" s="16" t="inlineStr"/>
      <c r="V193" s="16" t="inlineStr"/>
      <c r="W193" s="16" t="inlineStr"/>
      <c r="X193" s="16" t="inlineStr"/>
      <c r="Y193" s="16" t="inlineStr"/>
      <c r="Z193" s="16" t="inlineStr"/>
      <c r="AA193" s="16" t="inlineStr"/>
      <c r="AB193" s="16" t="inlineStr"/>
      <c r="AC193" s="16" t="inlineStr"/>
      <c r="AD193" s="16" t="inlineStr"/>
      <c r="AE193" s="16" t="n">
        <v>3</v>
      </c>
      <c r="AF193" s="16" t="n">
        <v>2</v>
      </c>
      <c r="AG193" s="16" t="inlineStr"/>
      <c r="AH193" s="16" t="inlineStr"/>
      <c r="AI193" s="16" t="inlineStr"/>
      <c r="AJ193" s="16" t="inlineStr"/>
      <c r="AK193" s="16" t="inlineStr"/>
      <c r="AL193" s="16" t="inlineStr"/>
      <c r="AM193" s="16" t="inlineStr"/>
    </row>
    <row r="194">
      <c r="A194" s="13" t="inlineStr">
        <is>
          <t>Тарифы</t>
        </is>
      </c>
      <c r="B194" s="13" t="inlineStr">
        <is>
          <t>Связь при нуле</t>
        </is>
      </c>
      <c r="C194" s="13" t="inlineStr"/>
      <c r="D194" s="13" t="inlineStr"/>
      <c r="E194" s="13" t="inlineStr">
        <is>
          <t>Потребность SA</t>
        </is>
      </c>
      <c r="F194" s="13" t="inlineStr">
        <is>
          <t>SA</t>
        </is>
      </c>
      <c r="G194" s="13" t="inlineStr"/>
      <c r="H194" s="14">
        <f>IF(COUNTA(M194:AM194)=0,"",INDEX($M$1:$AM$1,AGGREGATE(15,6,(COLUMN($M$1:$AM$1)-COLUMN($M$1)+1)/(M194:AM194&lt;&gt;""),1)))</f>
        <v/>
      </c>
      <c r="I194" s="14">
        <f>IF(COUNTA(M194:AM194)=0,"",INDEX($M$1:$AM$1,AGGREGATE(14,6,(COLUMN($M$1:$AM$1)-COLUMN($M$1)+1)/(M194:AM194&lt;&gt;""),1))+MAX(0,IFERROR(LOOKUP(2,1/(M194:AM194&lt;&gt;""),M194:AM194),1)-1))</f>
        <v/>
      </c>
      <c r="J194" s="14">
        <f>IF(I194="","",WORKDAY(I194,1))</f>
        <v/>
      </c>
      <c r="K194" s="15">
        <f>IF(COUNTA(M194:AM194),SUM(M194:AM194),IF(AND(H194&lt;&gt;"",I194&lt;&gt;""),NETWORKDAYS(H194,I194),""))</f>
        <v/>
      </c>
      <c r="L194" s="13" t="inlineStr"/>
      <c r="M194" s="16" t="inlineStr"/>
      <c r="N194" s="16" t="inlineStr"/>
      <c r="O194" s="16" t="inlineStr"/>
      <c r="P194" s="16" t="inlineStr"/>
      <c r="Q194" s="16" t="inlineStr"/>
      <c r="R194" s="16" t="inlineStr"/>
      <c r="S194" s="16" t="inlineStr"/>
      <c r="T194" s="16" t="n">
        <v>5</v>
      </c>
      <c r="U194" s="16" t="inlineStr"/>
      <c r="V194" s="16" t="inlineStr"/>
      <c r="W194" s="16" t="inlineStr"/>
      <c r="X194" s="16" t="inlineStr"/>
      <c r="Y194" s="16" t="inlineStr"/>
      <c r="Z194" s="16" t="inlineStr"/>
      <c r="AA194" s="16" t="inlineStr"/>
      <c r="AB194" s="16" t="inlineStr"/>
      <c r="AC194" s="16" t="inlineStr"/>
      <c r="AD194" s="16" t="inlineStr"/>
      <c r="AE194" s="16" t="inlineStr"/>
      <c r="AF194" s="16" t="inlineStr"/>
      <c r="AG194" s="16" t="inlineStr"/>
      <c r="AH194" s="16" t="inlineStr"/>
      <c r="AI194" s="16" t="inlineStr"/>
      <c r="AJ194" s="16" t="inlineStr"/>
      <c r="AK194" s="16" t="inlineStr"/>
      <c r="AL194" s="16" t="inlineStr"/>
      <c r="AM194" s="16" t="inlineStr"/>
    </row>
    <row r="195">
      <c r="A195" s="13" t="inlineStr">
        <is>
          <t>Тарифы</t>
        </is>
      </c>
      <c r="B195" s="13" t="inlineStr">
        <is>
          <t>Связь при нуле</t>
        </is>
      </c>
      <c r="C195" s="13" t="inlineStr"/>
      <c r="D195" s="13" t="inlineStr"/>
      <c r="E195" s="13" t="inlineStr">
        <is>
          <t>Потребность BE</t>
        </is>
      </c>
      <c r="F195" s="13" t="inlineStr">
        <is>
          <t>BE</t>
        </is>
      </c>
      <c r="G195" s="13" t="inlineStr"/>
      <c r="H195" s="14">
        <f>IF(COUNTA(M195:AM195)=0,"",INDEX($M$1:$AM$1,AGGREGATE(15,6,(COLUMN($M$1:$AM$1)-COLUMN($M$1)+1)/(M195:AM195&lt;&gt;""),1)))</f>
        <v/>
      </c>
      <c r="I195" s="14">
        <f>IF(COUNTA(M195:AM195)=0,"",INDEX($M$1:$AM$1,AGGREGATE(14,6,(COLUMN($M$1:$AM$1)-COLUMN($M$1)+1)/(M195:AM195&lt;&gt;""),1))+MAX(0,IFERROR(LOOKUP(2,1/(M195:AM195&lt;&gt;""),M195:AM195),1)-1))</f>
        <v/>
      </c>
      <c r="J195" s="14">
        <f>IF(I195="","",WORKDAY(I195,1))</f>
        <v/>
      </c>
      <c r="K195" s="15">
        <f>IF(COUNTA(M195:AM195),SUM(M195:AM195),IF(AND(H195&lt;&gt;"",I195&lt;&gt;""),NETWORKDAYS(H195,I195),""))</f>
        <v/>
      </c>
      <c r="L195" s="13" t="inlineStr"/>
      <c r="M195" s="16" t="inlineStr"/>
      <c r="N195" s="16" t="inlineStr"/>
      <c r="O195" s="16" t="inlineStr"/>
      <c r="P195" s="16" t="inlineStr"/>
      <c r="Q195" s="16" t="inlineStr"/>
      <c r="R195" s="16" t="inlineStr"/>
      <c r="S195" s="16" t="inlineStr"/>
      <c r="T195" s="16" t="inlineStr"/>
      <c r="U195" s="16" t="n">
        <v>2</v>
      </c>
      <c r="V195" s="16" t="inlineStr"/>
      <c r="W195" s="16" t="inlineStr"/>
      <c r="X195" s="16" t="inlineStr"/>
      <c r="Y195" s="16" t="inlineStr"/>
      <c r="Z195" s="16" t="inlineStr"/>
      <c r="AA195" s="16" t="inlineStr"/>
      <c r="AB195" s="16" t="inlineStr"/>
      <c r="AC195" s="16" t="inlineStr"/>
      <c r="AD195" s="16" t="inlineStr"/>
      <c r="AE195" s="16" t="inlineStr"/>
      <c r="AF195" s="16" t="inlineStr"/>
      <c r="AG195" s="16" t="inlineStr"/>
      <c r="AH195" s="16" t="inlineStr"/>
      <c r="AI195" s="16" t="inlineStr"/>
      <c r="AJ195" s="16" t="inlineStr"/>
      <c r="AK195" s="16" t="inlineStr"/>
      <c r="AL195" s="16" t="inlineStr"/>
      <c r="AM195" s="16" t="inlineStr"/>
    </row>
    <row r="196">
      <c r="A196" s="13" t="inlineStr">
        <is>
          <t>Тарифы</t>
        </is>
      </c>
      <c r="B196" s="13" t="inlineStr">
        <is>
          <t>Связь при нуле</t>
        </is>
      </c>
      <c r="C196" s="13" t="inlineStr"/>
      <c r="D196" s="13" t="inlineStr"/>
      <c r="E196" s="13" t="inlineStr">
        <is>
          <t>Потребность QA</t>
        </is>
      </c>
      <c r="F196" s="13" t="inlineStr">
        <is>
          <t>QA</t>
        </is>
      </c>
      <c r="G196" s="13" t="inlineStr"/>
      <c r="H196" s="14">
        <f>IF(COUNTA(M196:AM196)=0,"",INDEX($M$1:$AM$1,AGGREGATE(15,6,(COLUMN($M$1:$AM$1)-COLUMN($M$1)+1)/(M196:AM196&lt;&gt;""),1)))</f>
        <v/>
      </c>
      <c r="I196" s="14">
        <f>IF(COUNTA(M196:AM196)=0,"",INDEX($M$1:$AM$1,AGGREGATE(14,6,(COLUMN($M$1:$AM$1)-COLUMN($M$1)+1)/(M196:AM196&lt;&gt;""),1))+MAX(0,IFERROR(LOOKUP(2,1/(M196:AM196&lt;&gt;""),M196:AM196),1)-1))</f>
        <v/>
      </c>
      <c r="J196" s="14">
        <f>IF(I196="","",WORKDAY(I196,1))</f>
        <v/>
      </c>
      <c r="K196" s="15">
        <f>IF(COUNTA(M196:AM196),SUM(M196:AM196),IF(AND(H196&lt;&gt;"",I196&lt;&gt;""),NETWORKDAYS(H196,I196),""))</f>
        <v/>
      </c>
      <c r="L196" s="13" t="inlineStr"/>
      <c r="M196" s="16" t="inlineStr"/>
      <c r="N196" s="16" t="inlineStr"/>
      <c r="O196" s="16" t="inlineStr"/>
      <c r="P196" s="16" t="inlineStr"/>
      <c r="Q196" s="16" t="inlineStr"/>
      <c r="R196" s="16" t="inlineStr"/>
      <c r="S196" s="16" t="inlineStr"/>
      <c r="T196" s="16" t="inlineStr"/>
      <c r="U196" s="16" t="n">
        <v>2</v>
      </c>
      <c r="V196" s="16" t="inlineStr"/>
      <c r="W196" s="16" t="inlineStr"/>
      <c r="X196" s="16" t="inlineStr"/>
      <c r="Y196" s="16" t="inlineStr"/>
      <c r="Z196" s="16" t="inlineStr"/>
      <c r="AA196" s="16" t="inlineStr"/>
      <c r="AB196" s="16" t="inlineStr"/>
      <c r="AC196" s="16" t="inlineStr"/>
      <c r="AD196" s="16" t="inlineStr"/>
      <c r="AE196" s="16" t="inlineStr"/>
      <c r="AF196" s="16" t="inlineStr"/>
      <c r="AG196" s="16" t="inlineStr"/>
      <c r="AH196" s="16" t="inlineStr"/>
      <c r="AI196" s="16" t="inlineStr"/>
      <c r="AJ196" s="16" t="inlineStr"/>
      <c r="AK196" s="16" t="inlineStr"/>
      <c r="AL196" s="16" t="inlineStr"/>
      <c r="AM196" s="16" t="inlineStr"/>
    </row>
    <row r="197">
      <c r="A197" s="13" t="inlineStr">
        <is>
          <t>Тарифы</t>
        </is>
      </c>
      <c r="B197" s="13" t="inlineStr">
        <is>
          <t>Бонусные минуты</t>
        </is>
      </c>
      <c r="C197" s="13" t="inlineStr"/>
      <c r="D197" s="13" t="inlineStr"/>
      <c r="E197" s="13" t="inlineStr">
        <is>
          <t>Потребность дизайн</t>
        </is>
      </c>
      <c r="F197" s="13" t="inlineStr">
        <is>
          <t>Дизайн</t>
        </is>
      </c>
      <c r="G197" s="13" t="inlineStr"/>
      <c r="H197" s="14">
        <f>IF(COUNTA(M197:AM197)=0,"",INDEX($M$1:$AM$1,AGGREGATE(15,6,(COLUMN($M$1:$AM$1)-COLUMN($M$1)+1)/(M197:AM197&lt;&gt;""),1)))</f>
        <v/>
      </c>
      <c r="I197" s="14">
        <f>IF(COUNTA(M197:AM197)=0,"",INDEX($M$1:$AM$1,AGGREGATE(14,6,(COLUMN($M$1:$AM$1)-COLUMN($M$1)+1)/(M197:AM197&lt;&gt;""),1))+MAX(0,IFERROR(LOOKUP(2,1/(M197:AM197&lt;&gt;""),M197:AM197),1)-1))</f>
        <v/>
      </c>
      <c r="J197" s="14">
        <f>IF(I197="","",WORKDAY(I197,1))</f>
        <v/>
      </c>
      <c r="K197" s="15">
        <f>IF(COUNTA(M197:AM197),SUM(M197:AM197),IF(AND(H197&lt;&gt;"",I197&lt;&gt;""),NETWORKDAYS(H197,I197),""))</f>
        <v/>
      </c>
      <c r="L197" s="13" t="inlineStr"/>
      <c r="M197" s="16" t="inlineStr"/>
      <c r="N197" s="16" t="inlineStr"/>
      <c r="O197" s="16" t="inlineStr"/>
      <c r="P197" s="16" t="inlineStr"/>
      <c r="Q197" s="16" t="inlineStr"/>
      <c r="R197" s="16" t="inlineStr"/>
      <c r="S197" s="16" t="inlineStr"/>
      <c r="T197" s="16" t="n">
        <v>3</v>
      </c>
      <c r="U197" s="16" t="inlineStr"/>
      <c r="V197" s="16" t="inlineStr"/>
      <c r="W197" s="16" t="inlineStr"/>
      <c r="X197" s="16" t="inlineStr"/>
      <c r="Y197" s="16" t="inlineStr"/>
      <c r="Z197" s="16" t="inlineStr"/>
      <c r="AA197" s="16" t="inlineStr"/>
      <c r="AB197" s="16" t="inlineStr"/>
      <c r="AC197" s="16" t="inlineStr"/>
      <c r="AD197" s="16" t="inlineStr"/>
      <c r="AE197" s="16" t="inlineStr"/>
      <c r="AF197" s="16" t="inlineStr"/>
      <c r="AG197" s="16" t="inlineStr"/>
      <c r="AH197" s="16" t="inlineStr"/>
      <c r="AI197" s="16" t="inlineStr"/>
      <c r="AJ197" s="16" t="inlineStr"/>
      <c r="AK197" s="16" t="inlineStr"/>
      <c r="AL197" s="16" t="inlineStr"/>
      <c r="AM197" s="16" t="inlineStr"/>
    </row>
    <row r="198">
      <c r="A198" s="13" t="inlineStr">
        <is>
          <t>Тарифы</t>
        </is>
      </c>
      <c r="B198" s="13" t="inlineStr">
        <is>
          <t>Бонусные минуты</t>
        </is>
      </c>
      <c r="C198" s="13" t="inlineStr"/>
      <c r="D198" s="13" t="inlineStr"/>
      <c r="E198" s="13" t="inlineStr">
        <is>
          <t>Потребность SA</t>
        </is>
      </c>
      <c r="F198" s="13" t="inlineStr">
        <is>
          <t>SA</t>
        </is>
      </c>
      <c r="G198" s="13" t="inlineStr"/>
      <c r="H198" s="14">
        <f>IF(COUNTA(M198:AM198)=0,"",INDEX($M$1:$AM$1,AGGREGATE(15,6,(COLUMN($M$1:$AM$1)-COLUMN($M$1)+1)/(M198:AM198&lt;&gt;""),1)))</f>
        <v/>
      </c>
      <c r="I198" s="14">
        <f>IF(COUNTA(M198:AM198)=0,"",INDEX($M$1:$AM$1,AGGREGATE(14,6,(COLUMN($M$1:$AM$1)-COLUMN($M$1)+1)/(M198:AM198&lt;&gt;""),1))+MAX(0,IFERROR(LOOKUP(2,1/(M198:AM198&lt;&gt;""),M198:AM198),1)-1))</f>
        <v/>
      </c>
      <c r="J198" s="14">
        <f>IF(I198="","",WORKDAY(I198,1))</f>
        <v/>
      </c>
      <c r="K198" s="15">
        <f>IF(COUNTA(M198:AM198),SUM(M198:AM198),IF(AND(H198&lt;&gt;"",I198&lt;&gt;""),NETWORKDAYS(H198,I198),""))</f>
        <v/>
      </c>
      <c r="L198" s="13" t="inlineStr"/>
      <c r="M198" s="16" t="inlineStr"/>
      <c r="N198" s="16" t="inlineStr"/>
      <c r="O198" s="16" t="inlineStr"/>
      <c r="P198" s="16" t="inlineStr"/>
      <c r="Q198" s="16" t="inlineStr"/>
      <c r="R198" s="16" t="inlineStr"/>
      <c r="S198" s="16" t="inlineStr"/>
      <c r="T198" s="16" t="n">
        <v>2</v>
      </c>
      <c r="U198" s="16" t="n">
        <v>5</v>
      </c>
      <c r="V198" s="16" t="n">
        <v>3</v>
      </c>
      <c r="W198" s="16" t="inlineStr"/>
      <c r="X198" s="16" t="inlineStr"/>
      <c r="Y198" s="16" t="inlineStr"/>
      <c r="Z198" s="16" t="inlineStr"/>
      <c r="AA198" s="16" t="inlineStr"/>
      <c r="AB198" s="16" t="inlineStr"/>
      <c r="AC198" s="16" t="inlineStr"/>
      <c r="AD198" s="16" t="inlineStr"/>
      <c r="AE198" s="16" t="inlineStr"/>
      <c r="AF198" s="16" t="inlineStr"/>
      <c r="AG198" s="16" t="inlineStr"/>
      <c r="AH198" s="16" t="inlineStr"/>
      <c r="AI198" s="16" t="inlineStr"/>
      <c r="AJ198" s="16" t="inlineStr"/>
      <c r="AK198" s="16" t="inlineStr"/>
      <c r="AL198" s="16" t="inlineStr"/>
      <c r="AM198" s="16" t="inlineStr"/>
    </row>
    <row r="199">
      <c r="A199" s="13" t="inlineStr">
        <is>
          <t>Тарифы</t>
        </is>
      </c>
      <c r="B199" s="13" t="inlineStr">
        <is>
          <t>Бонусные минуты</t>
        </is>
      </c>
      <c r="C199" s="13" t="inlineStr"/>
      <c r="D199" s="13" t="inlineStr"/>
      <c r="E199" s="13" t="inlineStr">
        <is>
          <t>Потребность BE</t>
        </is>
      </c>
      <c r="F199" s="13" t="inlineStr">
        <is>
          <t>BE</t>
        </is>
      </c>
      <c r="G199" s="13" t="inlineStr"/>
      <c r="H199" s="14">
        <f>IF(COUNTA(M199:AM199)=0,"",INDEX($M$1:$AM$1,AGGREGATE(15,6,(COLUMN($M$1:$AM$1)-COLUMN($M$1)+1)/(M199:AM199&lt;&gt;""),1)))</f>
        <v/>
      </c>
      <c r="I199" s="14">
        <f>IF(COUNTA(M199:AM199)=0,"",INDEX($M$1:$AM$1,AGGREGATE(14,6,(COLUMN($M$1:$AM$1)-COLUMN($M$1)+1)/(M199:AM199&lt;&gt;""),1))+MAX(0,IFERROR(LOOKUP(2,1/(M199:AM199&lt;&gt;""),M199:AM199),1)-1))</f>
        <v/>
      </c>
      <c r="J199" s="14">
        <f>IF(I199="","",WORKDAY(I199,1))</f>
        <v/>
      </c>
      <c r="K199" s="15">
        <f>IF(COUNTA(M199:AM199),SUM(M199:AM199),IF(AND(H199&lt;&gt;"",I199&lt;&gt;""),NETWORKDAYS(H199,I199),""))</f>
        <v/>
      </c>
      <c r="L199" s="13" t="inlineStr"/>
      <c r="M199" s="16" t="inlineStr"/>
      <c r="N199" s="16" t="inlineStr"/>
      <c r="O199" s="16" t="inlineStr"/>
      <c r="P199" s="16" t="inlineStr"/>
      <c r="Q199" s="16" t="inlineStr"/>
      <c r="R199" s="16" t="inlineStr"/>
      <c r="S199" s="16" t="inlineStr"/>
      <c r="T199" s="16" t="inlineStr"/>
      <c r="U199" s="16" t="inlineStr"/>
      <c r="V199" s="16" t="n">
        <v>2</v>
      </c>
      <c r="W199" s="16" t="n">
        <v>3</v>
      </c>
      <c r="X199" s="16" t="inlineStr"/>
      <c r="Y199" s="16" t="inlineStr"/>
      <c r="Z199" s="16" t="inlineStr"/>
      <c r="AA199" s="16" t="inlineStr"/>
      <c r="AB199" s="16" t="inlineStr"/>
      <c r="AC199" s="16" t="inlineStr"/>
      <c r="AD199" s="16" t="inlineStr"/>
      <c r="AE199" s="16" t="inlineStr"/>
      <c r="AF199" s="16" t="inlineStr"/>
      <c r="AG199" s="16" t="inlineStr"/>
      <c r="AH199" s="16" t="inlineStr"/>
      <c r="AI199" s="16" t="inlineStr"/>
      <c r="AJ199" s="16" t="inlineStr"/>
      <c r="AK199" s="16" t="inlineStr"/>
      <c r="AL199" s="16" t="inlineStr"/>
      <c r="AM199" s="16" t="inlineStr"/>
    </row>
    <row r="200">
      <c r="A200" s="13" t="inlineStr">
        <is>
          <t>Тарифы</t>
        </is>
      </c>
      <c r="B200" s="13" t="inlineStr">
        <is>
          <t>Бонусные минуты</t>
        </is>
      </c>
      <c r="C200" s="13" t="inlineStr"/>
      <c r="D200" s="13" t="inlineStr"/>
      <c r="E200" s="13" t="inlineStr">
        <is>
          <t>Потребность FE</t>
        </is>
      </c>
      <c r="F200" s="13" t="inlineStr">
        <is>
          <t>FE</t>
        </is>
      </c>
      <c r="G200" s="13" t="inlineStr"/>
      <c r="H200" s="14">
        <f>IF(COUNTA(M200:AM200)=0,"",INDEX($M$1:$AM$1,AGGREGATE(15,6,(COLUMN($M$1:$AM$1)-COLUMN($M$1)+1)/(M200:AM200&lt;&gt;""),1)))</f>
        <v/>
      </c>
      <c r="I200" s="14">
        <f>IF(COUNTA(M200:AM200)=0,"",INDEX($M$1:$AM$1,AGGREGATE(14,6,(COLUMN($M$1:$AM$1)-COLUMN($M$1)+1)/(M200:AM200&lt;&gt;""),1))+MAX(0,IFERROR(LOOKUP(2,1/(M200:AM200&lt;&gt;""),M200:AM200),1)-1))</f>
        <v/>
      </c>
      <c r="J200" s="14">
        <f>IF(I200="","",WORKDAY(I200,1))</f>
        <v/>
      </c>
      <c r="K200" s="15">
        <f>IF(COUNTA(M200:AM200),SUM(M200:AM200),IF(AND(H200&lt;&gt;"",I200&lt;&gt;""),NETWORKDAYS(H200,I200),""))</f>
        <v/>
      </c>
      <c r="L200" s="13" t="inlineStr"/>
      <c r="M200" s="16" t="inlineStr"/>
      <c r="N200" s="16" t="inlineStr"/>
      <c r="O200" s="16" t="inlineStr"/>
      <c r="P200" s="16" t="inlineStr"/>
      <c r="Q200" s="16" t="inlineStr"/>
      <c r="R200" s="16" t="inlineStr"/>
      <c r="S200" s="16" t="inlineStr"/>
      <c r="T200" s="16" t="inlineStr"/>
      <c r="U200" s="16" t="inlineStr"/>
      <c r="V200" s="16" t="n">
        <v>2</v>
      </c>
      <c r="W200" s="16" t="n">
        <v>3</v>
      </c>
      <c r="X200" s="16" t="inlineStr"/>
      <c r="Y200" s="16" t="inlineStr"/>
      <c r="Z200" s="16" t="inlineStr"/>
      <c r="AA200" s="16" t="inlineStr"/>
      <c r="AB200" s="16" t="inlineStr"/>
      <c r="AC200" s="16" t="inlineStr"/>
      <c r="AD200" s="16" t="inlineStr"/>
      <c r="AE200" s="16" t="inlineStr"/>
      <c r="AF200" s="16" t="inlineStr"/>
      <c r="AG200" s="16" t="inlineStr"/>
      <c r="AH200" s="16" t="inlineStr"/>
      <c r="AI200" s="16" t="inlineStr"/>
      <c r="AJ200" s="16" t="inlineStr"/>
      <c r="AK200" s="16" t="inlineStr"/>
      <c r="AL200" s="16" t="inlineStr"/>
      <c r="AM200" s="16" t="inlineStr"/>
    </row>
    <row r="201">
      <c r="A201" s="13" t="inlineStr">
        <is>
          <t>Тарифы</t>
        </is>
      </c>
      <c r="B201" s="13" t="inlineStr">
        <is>
          <t>Бонусные минуты</t>
        </is>
      </c>
      <c r="C201" s="13" t="inlineStr"/>
      <c r="D201" s="13" t="inlineStr"/>
      <c r="E201" s="13" t="inlineStr">
        <is>
          <t>Потребность QA</t>
        </is>
      </c>
      <c r="F201" s="13" t="inlineStr">
        <is>
          <t>QA</t>
        </is>
      </c>
      <c r="G201" s="13" t="inlineStr"/>
      <c r="H201" s="14">
        <f>IF(COUNTA(M201:AM201)=0,"",INDEX($M$1:$AM$1,AGGREGATE(15,6,(COLUMN($M$1:$AM$1)-COLUMN($M$1)+1)/(M201:AM201&lt;&gt;""),1)))</f>
        <v/>
      </c>
      <c r="I201" s="14">
        <f>IF(COUNTA(M201:AM201)=0,"",INDEX($M$1:$AM$1,AGGREGATE(14,6,(COLUMN($M$1:$AM$1)-COLUMN($M$1)+1)/(M201:AM201&lt;&gt;""),1))+MAX(0,IFERROR(LOOKUP(2,1/(M201:AM201&lt;&gt;""),M201:AM201),1)-1))</f>
        <v/>
      </c>
      <c r="J201" s="14">
        <f>IF(I201="","",WORKDAY(I201,1))</f>
        <v/>
      </c>
      <c r="K201" s="15">
        <f>IF(COUNTA(M201:AM201),SUM(M201:AM201),IF(AND(H201&lt;&gt;"",I201&lt;&gt;""),NETWORKDAYS(H201,I201),""))</f>
        <v/>
      </c>
      <c r="L201" s="13" t="inlineStr"/>
      <c r="M201" s="16" t="inlineStr"/>
      <c r="N201" s="16" t="inlineStr"/>
      <c r="O201" s="16" t="inlineStr"/>
      <c r="P201" s="16" t="inlineStr"/>
      <c r="Q201" s="16" t="inlineStr"/>
      <c r="R201" s="16" t="inlineStr"/>
      <c r="S201" s="16" t="inlineStr"/>
      <c r="T201" s="16" t="inlineStr"/>
      <c r="U201" s="16" t="inlineStr"/>
      <c r="V201" s="16" t="inlineStr"/>
      <c r="W201" s="16" t="n">
        <v>2</v>
      </c>
      <c r="X201" s="16" t="n">
        <v>1</v>
      </c>
      <c r="Y201" s="16" t="inlineStr"/>
      <c r="Z201" s="16" t="inlineStr"/>
      <c r="AA201" s="16" t="inlineStr"/>
      <c r="AB201" s="16" t="inlineStr"/>
      <c r="AC201" s="16" t="inlineStr"/>
      <c r="AD201" s="16" t="inlineStr"/>
      <c r="AE201" s="16" t="inlineStr"/>
      <c r="AF201" s="16" t="inlineStr"/>
      <c r="AG201" s="16" t="inlineStr"/>
      <c r="AH201" s="16" t="inlineStr"/>
      <c r="AI201" s="16" t="inlineStr"/>
      <c r="AJ201" s="16" t="inlineStr"/>
      <c r="AK201" s="16" t="inlineStr"/>
      <c r="AL201" s="16" t="inlineStr"/>
      <c r="AM201" s="16" t="inlineStr"/>
    </row>
    <row r="202">
      <c r="A202" s="13" t="inlineStr">
        <is>
          <t>Тарифы</t>
        </is>
      </c>
      <c r="B202" s="13" t="inlineStr">
        <is>
          <t>Бонусные минуты</t>
        </is>
      </c>
      <c r="C202" s="13" t="inlineStr"/>
      <c r="D202" s="13" t="inlineStr"/>
      <c r="E202" s="13" t="inlineStr">
        <is>
          <t>Крымов</t>
        </is>
      </c>
      <c r="F202" s="13" t="inlineStr">
        <is>
          <t>Контент</t>
        </is>
      </c>
      <c r="G202" s="13" t="inlineStr"/>
      <c r="H202" s="14">
        <f>IF(COUNTA(M202:AM202)=0,"",INDEX($M$1:$AM$1,AGGREGATE(15,6,(COLUMN($M$1:$AM$1)-COLUMN($M$1)+1)/(M202:AM202&lt;&gt;""),1)))</f>
        <v/>
      </c>
      <c r="I202" s="14">
        <f>IF(COUNTA(M202:AM202)=0,"",INDEX($M$1:$AM$1,AGGREGATE(14,6,(COLUMN($M$1:$AM$1)-COLUMN($M$1)+1)/(M202:AM202&lt;&gt;""),1))+MAX(0,IFERROR(LOOKUP(2,1/(M202:AM202&lt;&gt;""),M202:AM202),1)-1))</f>
        <v/>
      </c>
      <c r="J202" s="14">
        <f>IF(I202="","",WORKDAY(I202,1))</f>
        <v/>
      </c>
      <c r="K202" s="15">
        <f>IF(COUNTA(M202:AM202),SUM(M202:AM202),IF(AND(H202&lt;&gt;"",I202&lt;&gt;""),NETWORKDAYS(H202,I202),""))</f>
        <v/>
      </c>
      <c r="L202" s="13" t="inlineStr"/>
      <c r="M202" s="16" t="inlineStr"/>
      <c r="N202" s="16" t="inlineStr"/>
      <c r="O202" s="16" t="inlineStr"/>
      <c r="P202" s="16" t="inlineStr"/>
      <c r="Q202" s="16" t="inlineStr"/>
      <c r="R202" s="16" t="inlineStr"/>
      <c r="S202" s="16" t="inlineStr"/>
      <c r="T202" s="16" t="inlineStr"/>
      <c r="U202" s="16" t="inlineStr"/>
      <c r="V202" s="16" t="inlineStr"/>
      <c r="W202" s="16" t="n">
        <v>1</v>
      </c>
      <c r="X202" s="16" t="inlineStr"/>
      <c r="Y202" s="16" t="inlineStr"/>
      <c r="Z202" s="16" t="inlineStr"/>
      <c r="AA202" s="16" t="inlineStr"/>
      <c r="AB202" s="16" t="inlineStr"/>
      <c r="AC202" s="16" t="inlineStr"/>
      <c r="AD202" s="16" t="inlineStr"/>
      <c r="AE202" s="16" t="inlineStr"/>
      <c r="AF202" s="16" t="inlineStr"/>
      <c r="AG202" s="16" t="inlineStr"/>
      <c r="AH202" s="16" t="inlineStr"/>
      <c r="AI202" s="16" t="inlineStr"/>
      <c r="AJ202" s="16" t="inlineStr"/>
      <c r="AK202" s="16" t="inlineStr"/>
      <c r="AL202" s="16" t="inlineStr"/>
      <c r="AM202" s="16" t="inlineStr"/>
    </row>
    <row r="203">
      <c r="A203" s="13" t="inlineStr">
        <is>
          <t>Тарифы</t>
        </is>
      </c>
      <c r="B203" s="13" t="inlineStr">
        <is>
          <t>Бонусные ГБ</t>
        </is>
      </c>
      <c r="C203" s="13" t="inlineStr"/>
      <c r="D203" s="13" t="inlineStr"/>
      <c r="E203" s="13" t="inlineStr">
        <is>
          <t>Потребность QA</t>
        </is>
      </c>
      <c r="F203" s="13" t="inlineStr">
        <is>
          <t>QA</t>
        </is>
      </c>
      <c r="G203" s="13" t="inlineStr"/>
      <c r="H203" s="14">
        <f>IF(COUNTA(M203:AM203)=0,"",INDEX($M$1:$AM$1,AGGREGATE(15,6,(COLUMN($M$1:$AM$1)-COLUMN($M$1)+1)/(M203:AM203&lt;&gt;""),1)))</f>
        <v/>
      </c>
      <c r="I203" s="14">
        <f>IF(COUNTA(M203:AM203)=0,"",INDEX($M$1:$AM$1,AGGREGATE(14,6,(COLUMN($M$1:$AM$1)-COLUMN($M$1)+1)/(M203:AM203&lt;&gt;""),1))+MAX(0,IFERROR(LOOKUP(2,1/(M203:AM203&lt;&gt;""),M203:AM203),1)-1))</f>
        <v/>
      </c>
      <c r="J203" s="14">
        <f>IF(I203="","",WORKDAY(I203,1))</f>
        <v/>
      </c>
      <c r="K203" s="15">
        <f>IF(COUNTA(M203:AM203),SUM(M203:AM203),IF(AND(H203&lt;&gt;"",I203&lt;&gt;""),NETWORKDAYS(H203,I203),""))</f>
        <v/>
      </c>
      <c r="L203" s="13" t="inlineStr"/>
      <c r="M203" s="16" t="inlineStr"/>
      <c r="N203" s="16" t="inlineStr"/>
      <c r="O203" s="16" t="inlineStr"/>
      <c r="P203" s="16" t="inlineStr"/>
      <c r="Q203" s="16" t="inlineStr"/>
      <c r="R203" s="16" t="inlineStr"/>
      <c r="S203" s="16" t="inlineStr"/>
      <c r="T203" s="16" t="inlineStr"/>
      <c r="U203" s="16" t="inlineStr"/>
      <c r="V203" s="16" t="n">
        <v>3</v>
      </c>
      <c r="W203" s="16" t="inlineStr"/>
      <c r="X203" s="16" t="inlineStr"/>
      <c r="Y203" s="16" t="inlineStr"/>
      <c r="Z203" s="16" t="inlineStr"/>
      <c r="AA203" s="16" t="inlineStr"/>
      <c r="AB203" s="16" t="inlineStr"/>
      <c r="AC203" s="16" t="inlineStr"/>
      <c r="AD203" s="16" t="inlineStr"/>
      <c r="AE203" s="16" t="inlineStr"/>
      <c r="AF203" s="16" t="inlineStr"/>
      <c r="AG203" s="16" t="inlineStr"/>
      <c r="AH203" s="16" t="inlineStr"/>
      <c r="AI203" s="16" t="inlineStr"/>
      <c r="AJ203" s="16" t="inlineStr"/>
      <c r="AK203" s="16" t="inlineStr"/>
      <c r="AL203" s="16" t="inlineStr"/>
      <c r="AM203" s="16" t="inlineStr"/>
    </row>
    <row r="204">
      <c r="A204" s="13" t="inlineStr">
        <is>
          <t>Тарифы</t>
        </is>
      </c>
      <c r="B204" s="13" t="inlineStr">
        <is>
          <t>Флоу подключени БИ для старших ТП (ЛК)</t>
        </is>
      </c>
      <c r="C204" s="13" t="inlineStr"/>
      <c r="D204" s="13" t="inlineStr"/>
      <c r="E204" s="13" t="inlineStr">
        <is>
          <t>Потребность дизайн</t>
        </is>
      </c>
      <c r="F204" s="13" t="inlineStr">
        <is>
          <t>Дизайн</t>
        </is>
      </c>
      <c r="G204" s="13" t="inlineStr"/>
      <c r="H204" s="14">
        <f>IF(COUNTA(M204:AM204)=0,"",INDEX($M$1:$AM$1,AGGREGATE(15,6,(COLUMN($M$1:$AM$1)-COLUMN($M$1)+1)/(M204:AM204&lt;&gt;""),1)))</f>
        <v/>
      </c>
      <c r="I204" s="14">
        <f>IF(COUNTA(M204:AM204)=0,"",INDEX($M$1:$AM$1,AGGREGATE(14,6,(COLUMN($M$1:$AM$1)-COLUMN($M$1)+1)/(M204:AM204&lt;&gt;""),1))+MAX(0,IFERROR(LOOKUP(2,1/(M204:AM204&lt;&gt;""),M204:AM204),1)-1))</f>
        <v/>
      </c>
      <c r="J204" s="14">
        <f>IF(I204="","",WORKDAY(I204,1))</f>
        <v/>
      </c>
      <c r="K204" s="15">
        <f>IF(COUNTA(M204:AM204),SUM(M204:AM204),IF(AND(H204&lt;&gt;"",I204&lt;&gt;""),NETWORKDAYS(H204,I204),""))</f>
        <v/>
      </c>
      <c r="L204" s="13" t="inlineStr"/>
      <c r="M204" s="16" t="inlineStr"/>
      <c r="N204" s="16" t="inlineStr"/>
      <c r="O204" s="16" t="inlineStr"/>
      <c r="P204" s="16" t="inlineStr"/>
      <c r="Q204" s="16" t="inlineStr"/>
      <c r="R204" s="16" t="n">
        <v>1</v>
      </c>
      <c r="S204" s="16" t="inlineStr"/>
      <c r="T204" s="16" t="inlineStr"/>
      <c r="U204" s="16" t="inlineStr"/>
      <c r="V204" s="16" t="inlineStr"/>
      <c r="W204" s="16" t="inlineStr"/>
      <c r="X204" s="16" t="inlineStr"/>
      <c r="Y204" s="16" t="inlineStr"/>
      <c r="Z204" s="16" t="inlineStr"/>
      <c r="AA204" s="16" t="inlineStr"/>
      <c r="AB204" s="16" t="inlineStr"/>
      <c r="AC204" s="16" t="inlineStr"/>
      <c r="AD204" s="16" t="inlineStr"/>
      <c r="AE204" s="16" t="inlineStr"/>
      <c r="AF204" s="16" t="inlineStr"/>
      <c r="AG204" s="16" t="inlineStr"/>
      <c r="AH204" s="16" t="inlineStr"/>
      <c r="AI204" s="16" t="inlineStr"/>
      <c r="AJ204" s="16" t="inlineStr"/>
      <c r="AK204" s="16" t="inlineStr"/>
      <c r="AL204" s="16" t="inlineStr"/>
      <c r="AM204" s="16" t="inlineStr"/>
    </row>
    <row r="205">
      <c r="A205" s="13" t="inlineStr">
        <is>
          <t>Тарифы</t>
        </is>
      </c>
      <c r="B205" s="13" t="inlineStr">
        <is>
          <t>Флоу подключени БИ для старших ТП (ЛК)</t>
        </is>
      </c>
      <c r="C205" s="13" t="inlineStr"/>
      <c r="D205" s="13" t="inlineStr"/>
      <c r="E205" s="13" t="inlineStr">
        <is>
          <t>Потребность SA</t>
        </is>
      </c>
      <c r="F205" s="13" t="inlineStr">
        <is>
          <t>SA</t>
        </is>
      </c>
      <c r="G205" s="13" t="inlineStr"/>
      <c r="H205" s="14">
        <f>IF(COUNTA(M205:AM205)=0,"",INDEX($M$1:$AM$1,AGGREGATE(15,6,(COLUMN($M$1:$AM$1)-COLUMN($M$1)+1)/(M205:AM205&lt;&gt;""),1)))</f>
        <v/>
      </c>
      <c r="I205" s="14">
        <f>IF(COUNTA(M205:AM205)=0,"",INDEX($M$1:$AM$1,AGGREGATE(14,6,(COLUMN($M$1:$AM$1)-COLUMN($M$1)+1)/(M205:AM205&lt;&gt;""),1))+MAX(0,IFERROR(LOOKUP(2,1/(M205:AM205&lt;&gt;""),M205:AM205),1)-1))</f>
        <v/>
      </c>
      <c r="J205" s="14">
        <f>IF(I205="","",WORKDAY(I205,1))</f>
        <v/>
      </c>
      <c r="K205" s="15">
        <f>IF(COUNTA(M205:AM205),SUM(M205:AM205),IF(AND(H205&lt;&gt;"",I205&lt;&gt;""),NETWORKDAYS(H205,I205),""))</f>
        <v/>
      </c>
      <c r="L205" s="13" t="inlineStr"/>
      <c r="M205" s="16" t="inlineStr"/>
      <c r="N205" s="16" t="inlineStr"/>
      <c r="O205" s="16" t="inlineStr"/>
      <c r="P205" s="16" t="inlineStr"/>
      <c r="Q205" s="16" t="inlineStr"/>
      <c r="R205" s="16" t="n">
        <v>1</v>
      </c>
      <c r="S205" s="16" t="inlineStr"/>
      <c r="T205" s="16" t="inlineStr"/>
      <c r="U205" s="16" t="inlineStr"/>
      <c r="V205" s="16" t="inlineStr"/>
      <c r="W205" s="16" t="inlineStr"/>
      <c r="X205" s="16" t="inlineStr"/>
      <c r="Y205" s="16" t="inlineStr"/>
      <c r="Z205" s="16" t="inlineStr"/>
      <c r="AA205" s="16" t="inlineStr"/>
      <c r="AB205" s="16" t="inlineStr"/>
      <c r="AC205" s="16" t="inlineStr"/>
      <c r="AD205" s="16" t="inlineStr"/>
      <c r="AE205" s="16" t="inlineStr"/>
      <c r="AF205" s="16" t="inlineStr"/>
      <c r="AG205" s="16" t="inlineStr"/>
      <c r="AH205" s="16" t="inlineStr"/>
      <c r="AI205" s="16" t="inlineStr"/>
      <c r="AJ205" s="16" t="inlineStr"/>
      <c r="AK205" s="16" t="inlineStr"/>
      <c r="AL205" s="16" t="inlineStr"/>
      <c r="AM205" s="16" t="inlineStr"/>
    </row>
    <row r="206">
      <c r="A206" s="13" t="inlineStr">
        <is>
          <t>Тарифы</t>
        </is>
      </c>
      <c r="B206" s="13" t="inlineStr">
        <is>
          <t>Флоу подключени БИ для старших ТП (ЛК)</t>
        </is>
      </c>
      <c r="C206" s="13" t="inlineStr"/>
      <c r="D206" s="13" t="inlineStr"/>
      <c r="E206" s="13" t="inlineStr">
        <is>
          <t>Потребность BE</t>
        </is>
      </c>
      <c r="F206" s="13" t="inlineStr">
        <is>
          <t>BE</t>
        </is>
      </c>
      <c r="G206" s="13" t="inlineStr"/>
      <c r="H206" s="14">
        <f>IF(COUNTA(M206:AM206)=0,"",INDEX($M$1:$AM$1,AGGREGATE(15,6,(COLUMN($M$1:$AM$1)-COLUMN($M$1)+1)/(M206:AM206&lt;&gt;""),1)))</f>
        <v/>
      </c>
      <c r="I206" s="14">
        <f>IF(COUNTA(M206:AM206)=0,"",INDEX($M$1:$AM$1,AGGREGATE(14,6,(COLUMN($M$1:$AM$1)-COLUMN($M$1)+1)/(M206:AM206&lt;&gt;""),1))+MAX(0,IFERROR(LOOKUP(2,1/(M206:AM206&lt;&gt;""),M206:AM206),1)-1))</f>
        <v/>
      </c>
      <c r="J206" s="14">
        <f>IF(I206="","",WORKDAY(I206,1))</f>
        <v/>
      </c>
      <c r="K206" s="15">
        <f>IF(COUNTA(M206:AM206),SUM(M206:AM206),IF(AND(H206&lt;&gt;"",I206&lt;&gt;""),NETWORKDAYS(H206,I206),""))</f>
        <v/>
      </c>
      <c r="L206" s="13" t="inlineStr"/>
      <c r="M206" s="16" t="inlineStr"/>
      <c r="N206" s="16" t="inlineStr"/>
      <c r="O206" s="16" t="inlineStr"/>
      <c r="P206" s="16" t="inlineStr"/>
      <c r="Q206" s="16" t="inlineStr"/>
      <c r="R206" s="16" t="n">
        <v>1</v>
      </c>
      <c r="S206" s="16" t="inlineStr"/>
      <c r="T206" s="16" t="inlineStr"/>
      <c r="U206" s="16" t="inlineStr"/>
      <c r="V206" s="16" t="inlineStr"/>
      <c r="W206" s="16" t="inlineStr"/>
      <c r="X206" s="16" t="inlineStr"/>
      <c r="Y206" s="16" t="inlineStr"/>
      <c r="Z206" s="16" t="inlineStr"/>
      <c r="AA206" s="16" t="inlineStr"/>
      <c r="AB206" s="16" t="inlineStr"/>
      <c r="AC206" s="16" t="inlineStr"/>
      <c r="AD206" s="16" t="inlineStr"/>
      <c r="AE206" s="16" t="inlineStr"/>
      <c r="AF206" s="16" t="inlineStr"/>
      <c r="AG206" s="16" t="inlineStr"/>
      <c r="AH206" s="16" t="inlineStr"/>
      <c r="AI206" s="16" t="inlineStr"/>
      <c r="AJ206" s="16" t="inlineStr"/>
      <c r="AK206" s="16" t="inlineStr"/>
      <c r="AL206" s="16" t="inlineStr"/>
      <c r="AM206" s="16" t="inlineStr"/>
    </row>
    <row r="207">
      <c r="A207" s="13" t="inlineStr">
        <is>
          <t>Тарифы</t>
        </is>
      </c>
      <c r="B207" s="13" t="inlineStr">
        <is>
          <t>Флоу подключени БИ для старших ТП (ЛК)</t>
        </is>
      </c>
      <c r="C207" s="13" t="inlineStr"/>
      <c r="D207" s="13" t="inlineStr"/>
      <c r="E207" s="13" t="inlineStr">
        <is>
          <t>Потребность FE</t>
        </is>
      </c>
      <c r="F207" s="13" t="inlineStr">
        <is>
          <t>FE</t>
        </is>
      </c>
      <c r="G207" s="13" t="inlineStr"/>
      <c r="H207" s="14">
        <f>IF(COUNTA(M207:AM207)=0,"",INDEX($M$1:$AM$1,AGGREGATE(15,6,(COLUMN($M$1:$AM$1)-COLUMN($M$1)+1)/(M207:AM207&lt;&gt;""),1)))</f>
        <v/>
      </c>
      <c r="I207" s="14">
        <f>IF(COUNTA(M207:AM207)=0,"",INDEX($M$1:$AM$1,AGGREGATE(14,6,(COLUMN($M$1:$AM$1)-COLUMN($M$1)+1)/(M207:AM207&lt;&gt;""),1))+MAX(0,IFERROR(LOOKUP(2,1/(M207:AM207&lt;&gt;""),M207:AM207),1)-1))</f>
        <v/>
      </c>
      <c r="J207" s="14">
        <f>IF(I207="","",WORKDAY(I207,1))</f>
        <v/>
      </c>
      <c r="K207" s="15">
        <f>IF(COUNTA(M207:AM207),SUM(M207:AM207),IF(AND(H207&lt;&gt;"",I207&lt;&gt;""),NETWORKDAYS(H207,I207),""))</f>
        <v/>
      </c>
      <c r="L207" s="13" t="inlineStr"/>
      <c r="M207" s="16" t="inlineStr"/>
      <c r="N207" s="16" t="inlineStr"/>
      <c r="O207" s="16" t="inlineStr"/>
      <c r="P207" s="16" t="inlineStr"/>
      <c r="Q207" s="16" t="inlineStr"/>
      <c r="R207" s="16" t="n">
        <v>1</v>
      </c>
      <c r="S207" s="16" t="inlineStr"/>
      <c r="T207" s="16" t="inlineStr"/>
      <c r="U207" s="16" t="inlineStr"/>
      <c r="V207" s="16" t="inlineStr"/>
      <c r="W207" s="16" t="inlineStr"/>
      <c r="X207" s="16" t="inlineStr"/>
      <c r="Y207" s="16" t="inlineStr"/>
      <c r="Z207" s="16" t="inlineStr"/>
      <c r="AA207" s="16" t="inlineStr"/>
      <c r="AB207" s="16" t="inlineStr"/>
      <c r="AC207" s="16" t="inlineStr"/>
      <c r="AD207" s="16" t="inlineStr"/>
      <c r="AE207" s="16" t="inlineStr"/>
      <c r="AF207" s="16" t="inlineStr"/>
      <c r="AG207" s="16" t="inlineStr"/>
      <c r="AH207" s="16" t="inlineStr"/>
      <c r="AI207" s="16" t="inlineStr"/>
      <c r="AJ207" s="16" t="inlineStr"/>
      <c r="AK207" s="16" t="inlineStr"/>
      <c r="AL207" s="16" t="inlineStr"/>
      <c r="AM207" s="16" t="inlineStr"/>
    </row>
    <row r="208">
      <c r="A208" s="13" t="inlineStr">
        <is>
          <t>Тарифы</t>
        </is>
      </c>
      <c r="B208" s="13" t="inlineStr">
        <is>
          <t>Флоу подключени БИ для старших ТП (ЛК)</t>
        </is>
      </c>
      <c r="C208" s="13" t="inlineStr"/>
      <c r="D208" s="13" t="inlineStr"/>
      <c r="E208" s="13" t="inlineStr">
        <is>
          <t>Крымов</t>
        </is>
      </c>
      <c r="F208" s="13" t="inlineStr">
        <is>
          <t>Контент</t>
        </is>
      </c>
      <c r="G208" s="13" t="inlineStr"/>
      <c r="H208" s="14">
        <f>IF(COUNTA(M208:AM208)=0,"",INDEX($M$1:$AM$1,AGGREGATE(15,6,(COLUMN($M$1:$AM$1)-COLUMN($M$1)+1)/(M208:AM208&lt;&gt;""),1)))</f>
        <v/>
      </c>
      <c r="I208" s="14">
        <f>IF(COUNTA(M208:AM208)=0,"",INDEX($M$1:$AM$1,AGGREGATE(14,6,(COLUMN($M$1:$AM$1)-COLUMN($M$1)+1)/(M208:AM208&lt;&gt;""),1))+MAX(0,IFERROR(LOOKUP(2,1/(M208:AM208&lt;&gt;""),M208:AM208),1)-1))</f>
        <v/>
      </c>
      <c r="J208" s="14">
        <f>IF(I208="","",WORKDAY(I208,1))</f>
        <v/>
      </c>
      <c r="K208" s="15">
        <f>IF(COUNTA(M208:AM208),SUM(M208:AM208),IF(AND(H208&lt;&gt;"",I208&lt;&gt;""),NETWORKDAYS(H208,I208),""))</f>
        <v/>
      </c>
      <c r="L208" s="13" t="inlineStr"/>
      <c r="M208" s="16" t="inlineStr"/>
      <c r="N208" s="16" t="inlineStr"/>
      <c r="O208" s="16" t="inlineStr"/>
      <c r="P208" s="16" t="inlineStr"/>
      <c r="Q208" s="16" t="inlineStr"/>
      <c r="R208" s="16" t="n">
        <v>1</v>
      </c>
      <c r="S208" s="16" t="inlineStr"/>
      <c r="T208" s="16" t="inlineStr"/>
      <c r="U208" s="16" t="inlineStr"/>
      <c r="V208" s="16" t="inlineStr"/>
      <c r="W208" s="16" t="inlineStr"/>
      <c r="X208" s="16" t="inlineStr"/>
      <c r="Y208" s="16" t="inlineStr"/>
      <c r="Z208" s="16" t="inlineStr"/>
      <c r="AA208" s="16" t="inlineStr"/>
      <c r="AB208" s="16" t="inlineStr"/>
      <c r="AC208" s="16" t="inlineStr"/>
      <c r="AD208" s="16" t="inlineStr"/>
      <c r="AE208" s="16" t="inlineStr"/>
      <c r="AF208" s="16" t="inlineStr"/>
      <c r="AG208" s="16" t="inlineStr"/>
      <c r="AH208" s="16" t="inlineStr"/>
      <c r="AI208" s="16" t="inlineStr"/>
      <c r="AJ208" s="16" t="inlineStr"/>
      <c r="AK208" s="16" t="inlineStr"/>
      <c r="AL208" s="16" t="inlineStr"/>
      <c r="AM208" s="16" t="inlineStr"/>
    </row>
    <row r="209">
      <c r="A209" s="13" t="inlineStr">
        <is>
          <t>Тарифы</t>
        </is>
      </c>
      <c r="B209" s="13" t="inlineStr">
        <is>
          <t>Флоу подключени БИ для старших ТП (ЛК)</t>
        </is>
      </c>
      <c r="C209" s="13" t="inlineStr"/>
      <c r="D209" s="13" t="inlineStr"/>
      <c r="E209" s="13" t="inlineStr">
        <is>
          <t>Потребность QA</t>
        </is>
      </c>
      <c r="F209" s="13" t="inlineStr">
        <is>
          <t>QA</t>
        </is>
      </c>
      <c r="G209" s="13" t="inlineStr"/>
      <c r="H209" s="14">
        <f>IF(COUNTA(M209:AM209)=0,"",INDEX($M$1:$AM$1,AGGREGATE(15,6,(COLUMN($M$1:$AM$1)-COLUMN($M$1)+1)/(M209:AM209&lt;&gt;""),1)))</f>
        <v/>
      </c>
      <c r="I209" s="14">
        <f>IF(COUNTA(M209:AM209)=0,"",INDEX($M$1:$AM$1,AGGREGATE(14,6,(COLUMN($M$1:$AM$1)-COLUMN($M$1)+1)/(M209:AM209&lt;&gt;""),1))+MAX(0,IFERROR(LOOKUP(2,1/(M209:AM209&lt;&gt;""),M209:AM209),1)-1))</f>
        <v/>
      </c>
      <c r="J209" s="14">
        <f>IF(I209="","",WORKDAY(I209,1))</f>
        <v/>
      </c>
      <c r="K209" s="15">
        <f>IF(COUNTA(M209:AM209),SUM(M209:AM209),IF(AND(H209&lt;&gt;"",I209&lt;&gt;""),NETWORKDAYS(H209,I209),""))</f>
        <v/>
      </c>
      <c r="L209" s="13" t="inlineStr"/>
      <c r="M209" s="16" t="inlineStr"/>
      <c r="N209" s="16" t="inlineStr"/>
      <c r="O209" s="16" t="inlineStr"/>
      <c r="P209" s="16" t="inlineStr"/>
      <c r="Q209" s="16" t="inlineStr"/>
      <c r="R209" s="16" t="n">
        <v>1</v>
      </c>
      <c r="S209" s="16" t="inlineStr"/>
      <c r="T209" s="16" t="inlineStr"/>
      <c r="U209" s="16" t="inlineStr"/>
      <c r="V209" s="16" t="inlineStr"/>
      <c r="W209" s="16" t="inlineStr"/>
      <c r="X209" s="16" t="inlineStr"/>
      <c r="Y209" s="16" t="inlineStr"/>
      <c r="Z209" s="16" t="inlineStr"/>
      <c r="AA209" s="16" t="inlineStr"/>
      <c r="AB209" s="16" t="inlineStr"/>
      <c r="AC209" s="16" t="inlineStr"/>
      <c r="AD209" s="16" t="inlineStr"/>
      <c r="AE209" s="16" t="inlineStr"/>
      <c r="AF209" s="16" t="inlineStr"/>
      <c r="AG209" s="16" t="inlineStr"/>
      <c r="AH209" s="16" t="inlineStr"/>
      <c r="AI209" s="16" t="inlineStr"/>
      <c r="AJ209" s="16" t="inlineStr"/>
      <c r="AK209" s="16" t="inlineStr"/>
      <c r="AL209" s="16" t="inlineStr"/>
      <c r="AM209" s="16" t="inlineStr"/>
    </row>
    <row r="210">
      <c r="A210" s="13" t="inlineStr">
        <is>
          <t>Тарифы</t>
        </is>
      </c>
      <c r="B210" s="13" t="inlineStr">
        <is>
          <t>БВС для Премиума</t>
        </is>
      </c>
      <c r="C210" s="13" t="inlineStr"/>
      <c r="D210" s="13" t="inlineStr"/>
      <c r="E210" s="13" t="inlineStr">
        <is>
          <t>Крымов</t>
        </is>
      </c>
      <c r="F210" s="13" t="inlineStr">
        <is>
          <t>Контент</t>
        </is>
      </c>
      <c r="G210" s="13" t="inlineStr"/>
      <c r="H210" s="14">
        <f>IF(COUNTA(M210:AM210)=0,"",INDEX($M$1:$AM$1,AGGREGATE(15,6,(COLUMN($M$1:$AM$1)-COLUMN($M$1)+1)/(M210:AM210&lt;&gt;""),1)))</f>
        <v/>
      </c>
      <c r="I210" s="14">
        <f>IF(COUNTA(M210:AM210)=0,"",INDEX($M$1:$AM$1,AGGREGATE(14,6,(COLUMN($M$1:$AM$1)-COLUMN($M$1)+1)/(M210:AM210&lt;&gt;""),1))+MAX(0,IFERROR(LOOKUP(2,1/(M210:AM210&lt;&gt;""),M210:AM210),1)-1))</f>
        <v/>
      </c>
      <c r="J210" s="14">
        <f>IF(I210="","",WORKDAY(I210,1))</f>
        <v/>
      </c>
      <c r="K210" s="15">
        <f>IF(COUNTA(M210:AM210),SUM(M210:AM210),IF(AND(H210&lt;&gt;"",I210&lt;&gt;""),NETWORKDAYS(H210,I210),""))</f>
        <v/>
      </c>
      <c r="L210" s="13" t="inlineStr"/>
      <c r="M210" s="16" t="inlineStr"/>
      <c r="N210" s="16" t="inlineStr"/>
      <c r="O210" s="16" t="inlineStr"/>
      <c r="P210" s="16" t="inlineStr"/>
      <c r="Q210" s="16" t="inlineStr"/>
      <c r="R210" s="16" t="inlineStr"/>
      <c r="S210" s="16" t="inlineStr"/>
      <c r="T210" s="16" t="inlineStr"/>
      <c r="U210" s="16" t="inlineStr"/>
      <c r="V210" s="16" t="inlineStr"/>
      <c r="W210" s="16" t="inlineStr"/>
      <c r="X210" s="16" t="inlineStr"/>
      <c r="Y210" s="16" t="inlineStr"/>
      <c r="Z210" s="16" t="n">
        <v>1</v>
      </c>
      <c r="AA210" s="16" t="inlineStr"/>
      <c r="AB210" s="16" t="inlineStr"/>
      <c r="AC210" s="16" t="inlineStr"/>
      <c r="AD210" s="16" t="inlineStr"/>
      <c r="AE210" s="16" t="inlineStr"/>
      <c r="AF210" s="16" t="inlineStr"/>
      <c r="AG210" s="16" t="inlineStr"/>
      <c r="AH210" s="16" t="inlineStr"/>
      <c r="AI210" s="16" t="inlineStr"/>
      <c r="AJ210" s="16" t="inlineStr"/>
      <c r="AK210" s="16" t="inlineStr"/>
      <c r="AL210" s="16" t="inlineStr"/>
      <c r="AM210" s="16" t="inlineStr"/>
    </row>
    <row r="211">
      <c r="A211" s="13" t="inlineStr">
        <is>
          <t>Тарифы</t>
        </is>
      </c>
      <c r="B211" s="13" t="inlineStr">
        <is>
          <t>Флоу подключения МС 5G (ЛК)</t>
        </is>
      </c>
      <c r="C211" s="13" t="inlineStr"/>
      <c r="D211" s="13" t="inlineStr"/>
      <c r="E211" s="13" t="inlineStr">
        <is>
          <t>Потребность дизайн</t>
        </is>
      </c>
      <c r="F211" s="13" t="inlineStr">
        <is>
          <t>Дизайн</t>
        </is>
      </c>
      <c r="G211" s="13" t="inlineStr"/>
      <c r="H211" s="14">
        <f>IF(COUNTA(M211:AM211)=0,"",INDEX($M$1:$AM$1,AGGREGATE(15,6,(COLUMN($M$1:$AM$1)-COLUMN($M$1)+1)/(M211:AM211&lt;&gt;""),1)))</f>
        <v/>
      </c>
      <c r="I211" s="14">
        <f>IF(COUNTA(M211:AM211)=0,"",INDEX($M$1:$AM$1,AGGREGATE(14,6,(COLUMN($M$1:$AM$1)-COLUMN($M$1)+1)/(M211:AM211&lt;&gt;""),1))+MAX(0,IFERROR(LOOKUP(2,1/(M211:AM211&lt;&gt;""),M211:AM211),1)-1))</f>
        <v/>
      </c>
      <c r="J211" s="14">
        <f>IF(I211="","",WORKDAY(I211,1))</f>
        <v/>
      </c>
      <c r="K211" s="15">
        <f>IF(COUNTA(M211:AM211),SUM(M211:AM211),IF(AND(H211&lt;&gt;"",I211&lt;&gt;""),NETWORKDAYS(H211,I211),""))</f>
        <v/>
      </c>
      <c r="L211" s="13" t="inlineStr"/>
      <c r="M211" s="16" t="inlineStr"/>
      <c r="N211" s="16" t="inlineStr"/>
      <c r="O211" s="16" t="inlineStr"/>
      <c r="P211" s="16" t="inlineStr"/>
      <c r="Q211" s="16" t="inlineStr"/>
      <c r="R211" s="16" t="inlineStr"/>
      <c r="S211" s="16" t="inlineStr"/>
      <c r="T211" s="16" t="inlineStr"/>
      <c r="U211" s="16" t="inlineStr"/>
      <c r="V211" s="16" t="n">
        <v>5</v>
      </c>
      <c r="W211" s="16" t="inlineStr"/>
      <c r="X211" s="16" t="inlineStr"/>
      <c r="Y211" s="16" t="inlineStr"/>
      <c r="Z211" s="16" t="inlineStr"/>
      <c r="AA211" s="16" t="inlineStr"/>
      <c r="AB211" s="16" t="inlineStr"/>
      <c r="AC211" s="16" t="inlineStr"/>
      <c r="AD211" s="16" t="inlineStr"/>
      <c r="AE211" s="16" t="inlineStr"/>
      <c r="AF211" s="16" t="inlineStr"/>
      <c r="AG211" s="16" t="inlineStr"/>
      <c r="AH211" s="16" t="inlineStr"/>
      <c r="AI211" s="16" t="inlineStr"/>
      <c r="AJ211" s="16" t="inlineStr"/>
      <c r="AK211" s="16" t="inlineStr"/>
      <c r="AL211" s="16" t="inlineStr"/>
      <c r="AM211" s="16" t="inlineStr"/>
    </row>
    <row r="212">
      <c r="A212" s="13" t="inlineStr">
        <is>
          <t>Тарифы</t>
        </is>
      </c>
      <c r="B212" s="13" t="inlineStr">
        <is>
          <t>Флоу подключения МС 5G (ЛК)</t>
        </is>
      </c>
      <c r="C212" s="13" t="inlineStr"/>
      <c r="D212" s="13" t="inlineStr"/>
      <c r="E212" s="13" t="inlineStr">
        <is>
          <t>Потребность SA</t>
        </is>
      </c>
      <c r="F212" s="13" t="inlineStr">
        <is>
          <t>SA</t>
        </is>
      </c>
      <c r="G212" s="13" t="inlineStr"/>
      <c r="H212" s="14">
        <f>IF(COUNTA(M212:AM212)=0,"",INDEX($M$1:$AM$1,AGGREGATE(15,6,(COLUMN($M$1:$AM$1)-COLUMN($M$1)+1)/(M212:AM212&lt;&gt;""),1)))</f>
        <v/>
      </c>
      <c r="I212" s="14">
        <f>IF(COUNTA(M212:AM212)=0,"",INDEX($M$1:$AM$1,AGGREGATE(14,6,(COLUMN($M$1:$AM$1)-COLUMN($M$1)+1)/(M212:AM212&lt;&gt;""),1))+MAX(0,IFERROR(LOOKUP(2,1/(M212:AM212&lt;&gt;""),M212:AM212),1)-1))</f>
        <v/>
      </c>
      <c r="J212" s="14">
        <f>IF(I212="","",WORKDAY(I212,1))</f>
        <v/>
      </c>
      <c r="K212" s="15">
        <f>IF(COUNTA(M212:AM212),SUM(M212:AM212),IF(AND(H212&lt;&gt;"",I212&lt;&gt;""),NETWORKDAYS(H212,I212),""))</f>
        <v/>
      </c>
      <c r="L212" s="13" t="inlineStr"/>
      <c r="M212" s="16" t="inlineStr"/>
      <c r="N212" s="16" t="inlineStr"/>
      <c r="O212" s="16" t="inlineStr"/>
      <c r="P212" s="16" t="inlineStr"/>
      <c r="Q212" s="16" t="inlineStr"/>
      <c r="R212" s="16" t="inlineStr"/>
      <c r="S212" s="16" t="inlineStr"/>
      <c r="T212" s="16" t="inlineStr"/>
      <c r="U212" s="16" t="inlineStr"/>
      <c r="V212" s="16" t="inlineStr"/>
      <c r="W212" s="16" t="n">
        <v>5</v>
      </c>
      <c r="X212" s="16" t="inlineStr"/>
      <c r="Y212" s="16" t="inlineStr"/>
      <c r="Z212" s="16" t="inlineStr"/>
      <c r="AA212" s="16" t="inlineStr"/>
      <c r="AB212" s="16" t="inlineStr"/>
      <c r="AC212" s="16" t="inlineStr"/>
      <c r="AD212" s="16" t="inlineStr"/>
      <c r="AE212" s="16" t="inlineStr"/>
      <c r="AF212" s="16" t="inlineStr"/>
      <c r="AG212" s="16" t="inlineStr"/>
      <c r="AH212" s="16" t="inlineStr"/>
      <c r="AI212" s="16" t="inlineStr"/>
      <c r="AJ212" s="16" t="inlineStr"/>
      <c r="AK212" s="16" t="inlineStr"/>
      <c r="AL212" s="16" t="inlineStr"/>
      <c r="AM212" s="16" t="inlineStr"/>
    </row>
    <row r="213">
      <c r="A213" s="13" t="inlineStr">
        <is>
          <t>Тарифы</t>
        </is>
      </c>
      <c r="B213" s="13" t="inlineStr">
        <is>
          <t>Флоу подключения МС 5G (ЛК)</t>
        </is>
      </c>
      <c r="C213" s="13" t="inlineStr"/>
      <c r="D213" s="13" t="inlineStr"/>
      <c r="E213" s="13" t="inlineStr">
        <is>
          <t>Потребность BE</t>
        </is>
      </c>
      <c r="F213" s="13" t="inlineStr">
        <is>
          <t>BE</t>
        </is>
      </c>
      <c r="G213" s="13" t="inlineStr"/>
      <c r="H213" s="14">
        <f>IF(COUNTA(M213:AM213)=0,"",INDEX($M$1:$AM$1,AGGREGATE(15,6,(COLUMN($M$1:$AM$1)-COLUMN($M$1)+1)/(M213:AM213&lt;&gt;""),1)))</f>
        <v/>
      </c>
      <c r="I213" s="14">
        <f>IF(COUNTA(M213:AM213)=0,"",INDEX($M$1:$AM$1,AGGREGATE(14,6,(COLUMN($M$1:$AM$1)-COLUMN($M$1)+1)/(M213:AM213&lt;&gt;""),1))+MAX(0,IFERROR(LOOKUP(2,1/(M213:AM213&lt;&gt;""),M213:AM213),1)-1))</f>
        <v/>
      </c>
      <c r="J213" s="14">
        <f>IF(I213="","",WORKDAY(I213,1))</f>
        <v/>
      </c>
      <c r="K213" s="15">
        <f>IF(COUNTA(M213:AM213),SUM(M213:AM213),IF(AND(H213&lt;&gt;"",I213&lt;&gt;""),NETWORKDAYS(H213,I213),""))</f>
        <v/>
      </c>
      <c r="L213" s="13" t="inlineStr"/>
      <c r="M213" s="16" t="inlineStr"/>
      <c r="N213" s="16" t="inlineStr"/>
      <c r="O213" s="16" t="inlineStr"/>
      <c r="P213" s="16" t="inlineStr"/>
      <c r="Q213" s="16" t="inlineStr"/>
      <c r="R213" s="16" t="n">
        <v>2</v>
      </c>
      <c r="S213" s="16" t="n">
        <v>3</v>
      </c>
      <c r="T213" s="16" t="inlineStr"/>
      <c r="U213" s="16" t="inlineStr"/>
      <c r="V213" s="16" t="inlineStr"/>
      <c r="W213" s="16" t="inlineStr"/>
      <c r="X213" s="16" t="inlineStr"/>
      <c r="Y213" s="16" t="inlineStr"/>
      <c r="Z213" s="16" t="inlineStr"/>
      <c r="AA213" s="16" t="inlineStr"/>
      <c r="AB213" s="16" t="inlineStr"/>
      <c r="AC213" s="16" t="inlineStr"/>
      <c r="AD213" s="16" t="inlineStr"/>
      <c r="AE213" s="16" t="inlineStr"/>
      <c r="AF213" s="16" t="inlineStr"/>
      <c r="AG213" s="16" t="inlineStr"/>
      <c r="AH213" s="16" t="inlineStr"/>
      <c r="AI213" s="16" t="inlineStr"/>
      <c r="AJ213" s="16" t="inlineStr"/>
      <c r="AK213" s="16" t="inlineStr"/>
      <c r="AL213" s="16" t="inlineStr"/>
      <c r="AM213" s="16" t="inlineStr"/>
    </row>
    <row r="214">
      <c r="A214" s="13" t="inlineStr">
        <is>
          <t>Тарифы</t>
        </is>
      </c>
      <c r="B214" s="13" t="inlineStr">
        <is>
          <t>Флоу подключения МС 5G (ЛК)</t>
        </is>
      </c>
      <c r="C214" s="13" t="inlineStr"/>
      <c r="D214" s="13" t="inlineStr"/>
      <c r="E214" s="13" t="inlineStr">
        <is>
          <t>Потребность FE</t>
        </is>
      </c>
      <c r="F214" s="13" t="inlineStr">
        <is>
          <t>FE</t>
        </is>
      </c>
      <c r="G214" s="13" t="inlineStr"/>
      <c r="H214" s="14">
        <f>IF(COUNTA(M214:AM214)=0,"",INDEX($M$1:$AM$1,AGGREGATE(15,6,(COLUMN($M$1:$AM$1)-COLUMN($M$1)+1)/(M214:AM214&lt;&gt;""),1)))</f>
        <v/>
      </c>
      <c r="I214" s="14">
        <f>IF(COUNTA(M214:AM214)=0,"",INDEX($M$1:$AM$1,AGGREGATE(14,6,(COLUMN($M$1:$AM$1)-COLUMN($M$1)+1)/(M214:AM214&lt;&gt;""),1))+MAX(0,IFERROR(LOOKUP(2,1/(M214:AM214&lt;&gt;""),M214:AM214),1)-1))</f>
        <v/>
      </c>
      <c r="J214" s="14">
        <f>IF(I214="","",WORKDAY(I214,1))</f>
        <v/>
      </c>
      <c r="K214" s="15">
        <f>IF(COUNTA(M214:AM214),SUM(M214:AM214),IF(AND(H214&lt;&gt;"",I214&lt;&gt;""),NETWORKDAYS(H214,I214),""))</f>
        <v/>
      </c>
      <c r="L214" s="13" t="inlineStr"/>
      <c r="M214" s="16" t="inlineStr"/>
      <c r="N214" s="16" t="inlineStr"/>
      <c r="O214" s="16" t="inlineStr"/>
      <c r="P214" s="16" t="inlineStr"/>
      <c r="Q214" s="16" t="inlineStr"/>
      <c r="R214" s="16" t="inlineStr"/>
      <c r="S214" s="16" t="inlineStr"/>
      <c r="T214" s="16" t="inlineStr"/>
      <c r="U214" s="16" t="inlineStr"/>
      <c r="V214" s="16" t="inlineStr"/>
      <c r="W214" s="16" t="inlineStr"/>
      <c r="X214" s="16" t="n">
        <v>5</v>
      </c>
      <c r="Y214" s="16" t="inlineStr"/>
      <c r="Z214" s="16" t="inlineStr"/>
      <c r="AA214" s="16" t="inlineStr"/>
      <c r="AB214" s="16" t="inlineStr"/>
      <c r="AC214" s="16" t="inlineStr"/>
      <c r="AD214" s="16" t="inlineStr"/>
      <c r="AE214" s="16" t="inlineStr"/>
      <c r="AF214" s="16" t="inlineStr"/>
      <c r="AG214" s="16" t="inlineStr"/>
      <c r="AH214" s="16" t="inlineStr"/>
      <c r="AI214" s="16" t="inlineStr"/>
      <c r="AJ214" s="16" t="inlineStr"/>
      <c r="AK214" s="16" t="inlineStr"/>
      <c r="AL214" s="16" t="inlineStr"/>
      <c r="AM214" s="16" t="inlineStr"/>
    </row>
    <row r="215">
      <c r="A215" s="13" t="inlineStr">
        <is>
          <t>Тарифы</t>
        </is>
      </c>
      <c r="B215" s="13" t="inlineStr">
        <is>
          <t>Флоу подключения МС 5G (ЛК)</t>
        </is>
      </c>
      <c r="C215" s="13" t="inlineStr"/>
      <c r="D215" s="13" t="inlineStr"/>
      <c r="E215" s="13" t="inlineStr">
        <is>
          <t>Потребность QA</t>
        </is>
      </c>
      <c r="F215" s="13" t="inlineStr">
        <is>
          <t>QA</t>
        </is>
      </c>
      <c r="G215" s="13" t="inlineStr"/>
      <c r="H215" s="14">
        <f>IF(COUNTA(M215:AM215)=0,"",INDEX($M$1:$AM$1,AGGREGATE(15,6,(COLUMN($M$1:$AM$1)-COLUMN($M$1)+1)/(M215:AM215&lt;&gt;""),1)))</f>
        <v/>
      </c>
      <c r="I215" s="14">
        <f>IF(COUNTA(M215:AM215)=0,"",INDEX($M$1:$AM$1,AGGREGATE(14,6,(COLUMN($M$1:$AM$1)-COLUMN($M$1)+1)/(M215:AM215&lt;&gt;""),1))+MAX(0,IFERROR(LOOKUP(2,1/(M215:AM215&lt;&gt;""),M215:AM215),1)-1))</f>
        <v/>
      </c>
      <c r="J215" s="14">
        <f>IF(I215="","",WORKDAY(I215,1))</f>
        <v/>
      </c>
      <c r="K215" s="15">
        <f>IF(COUNTA(M215:AM215),SUM(M215:AM215),IF(AND(H215&lt;&gt;"",I215&lt;&gt;""),NETWORKDAYS(H215,I215),""))</f>
        <v/>
      </c>
      <c r="L215" s="13" t="inlineStr"/>
      <c r="M215" s="16" t="inlineStr"/>
      <c r="N215" s="16" t="inlineStr"/>
      <c r="O215" s="16" t="inlineStr"/>
      <c r="P215" s="16" t="inlineStr"/>
      <c r="Q215" s="16" t="inlineStr"/>
      <c r="R215" s="16" t="inlineStr"/>
      <c r="S215" s="16" t="inlineStr"/>
      <c r="T215" s="16" t="inlineStr"/>
      <c r="U215" s="16" t="inlineStr"/>
      <c r="V215" s="16" t="inlineStr"/>
      <c r="W215" s="16" t="inlineStr"/>
      <c r="X215" s="16" t="inlineStr"/>
      <c r="Y215" s="16" t="n">
        <v>5</v>
      </c>
      <c r="Z215" s="16" t="inlineStr"/>
      <c r="AA215" s="16" t="inlineStr"/>
      <c r="AB215" s="16" t="inlineStr"/>
      <c r="AC215" s="16" t="inlineStr"/>
      <c r="AD215" s="16" t="inlineStr"/>
      <c r="AE215" s="16" t="inlineStr"/>
      <c r="AF215" s="16" t="inlineStr"/>
      <c r="AG215" s="16" t="inlineStr"/>
      <c r="AH215" s="16" t="inlineStr"/>
      <c r="AI215" s="16" t="inlineStr"/>
      <c r="AJ215" s="16" t="inlineStr"/>
      <c r="AK215" s="16" t="inlineStr"/>
      <c r="AL215" s="16" t="inlineStr"/>
      <c r="AM215" s="16" t="inlineStr"/>
    </row>
    <row r="216">
      <c r="A216" s="13" t="inlineStr">
        <is>
          <t>Тарифы</t>
        </is>
      </c>
      <c r="B216" s="13" t="inlineStr">
        <is>
          <t>Флоу подключения МС Ева (ЛК)</t>
        </is>
      </c>
      <c r="C216" s="13" t="inlineStr"/>
      <c r="D216" s="13" t="inlineStr"/>
      <c r="E216" s="13" t="inlineStr">
        <is>
          <t>Потребность дизайн</t>
        </is>
      </c>
      <c r="F216" s="13" t="inlineStr">
        <is>
          <t>Дизайн</t>
        </is>
      </c>
      <c r="G216" s="13" t="inlineStr"/>
      <c r="H216" s="14">
        <f>IF(COUNTA(M216:AM216)=0,"",INDEX($M$1:$AM$1,AGGREGATE(15,6,(COLUMN($M$1:$AM$1)-COLUMN($M$1)+1)/(M216:AM216&lt;&gt;""),1)))</f>
        <v/>
      </c>
      <c r="I216" s="14">
        <f>IF(COUNTA(M216:AM216)=0,"",INDEX($M$1:$AM$1,AGGREGATE(14,6,(COLUMN($M$1:$AM$1)-COLUMN($M$1)+1)/(M216:AM216&lt;&gt;""),1))+MAX(0,IFERROR(LOOKUP(2,1/(M216:AM216&lt;&gt;""),M216:AM216),1)-1))</f>
        <v/>
      </c>
      <c r="J216" s="14">
        <f>IF(I216="","",WORKDAY(I216,1))</f>
        <v/>
      </c>
      <c r="K216" s="15">
        <f>IF(COUNTA(M216:AM216),SUM(M216:AM216),IF(AND(H216&lt;&gt;"",I216&lt;&gt;""),NETWORKDAYS(H216,I216),""))</f>
        <v/>
      </c>
      <c r="L216" s="13" t="inlineStr"/>
      <c r="M216" s="16" t="inlineStr"/>
      <c r="N216" s="16" t="inlineStr"/>
      <c r="O216" s="16" t="inlineStr"/>
      <c r="P216" s="16" t="inlineStr"/>
      <c r="Q216" s="16" t="inlineStr"/>
      <c r="R216" s="16" t="inlineStr"/>
      <c r="S216" s="16" t="inlineStr"/>
      <c r="T216" s="16" t="inlineStr"/>
      <c r="U216" s="16" t="n">
        <v>5</v>
      </c>
      <c r="V216" s="16" t="inlineStr"/>
      <c r="W216" s="16" t="inlineStr"/>
      <c r="X216" s="16" t="inlineStr"/>
      <c r="Y216" s="16" t="inlineStr"/>
      <c r="Z216" s="16" t="inlineStr"/>
      <c r="AA216" s="16" t="inlineStr"/>
      <c r="AB216" s="16" t="inlineStr"/>
      <c r="AC216" s="16" t="inlineStr"/>
      <c r="AD216" s="16" t="inlineStr"/>
      <c r="AE216" s="16" t="inlineStr"/>
      <c r="AF216" s="16" t="inlineStr"/>
      <c r="AG216" s="16" t="inlineStr"/>
      <c r="AH216" s="16" t="inlineStr"/>
      <c r="AI216" s="16" t="inlineStr"/>
      <c r="AJ216" s="16" t="inlineStr"/>
      <c r="AK216" s="16" t="inlineStr"/>
      <c r="AL216" s="16" t="inlineStr"/>
      <c r="AM216" s="16" t="inlineStr"/>
    </row>
    <row r="217">
      <c r="A217" s="13" t="inlineStr">
        <is>
          <t>Тарифы</t>
        </is>
      </c>
      <c r="B217" s="13" t="inlineStr">
        <is>
          <t>Флоу подключения МС Ева (ЛК)</t>
        </is>
      </c>
      <c r="C217" s="13" t="inlineStr"/>
      <c r="D217" s="13" t="inlineStr"/>
      <c r="E217" s="13" t="inlineStr">
        <is>
          <t>Потребность SA</t>
        </is>
      </c>
      <c r="F217" s="13" t="inlineStr">
        <is>
          <t>SA</t>
        </is>
      </c>
      <c r="G217" s="13" t="inlineStr"/>
      <c r="H217" s="14">
        <f>IF(COUNTA(M217:AM217)=0,"",INDEX($M$1:$AM$1,AGGREGATE(15,6,(COLUMN($M$1:$AM$1)-COLUMN($M$1)+1)/(M217:AM217&lt;&gt;""),1)))</f>
        <v/>
      </c>
      <c r="I217" s="14">
        <f>IF(COUNTA(M217:AM217)=0,"",INDEX($M$1:$AM$1,AGGREGATE(14,6,(COLUMN($M$1:$AM$1)-COLUMN($M$1)+1)/(M217:AM217&lt;&gt;""),1))+MAX(0,IFERROR(LOOKUP(2,1/(M217:AM217&lt;&gt;""),M217:AM217),1)-1))</f>
        <v/>
      </c>
      <c r="J217" s="14">
        <f>IF(I217="","",WORKDAY(I217,1))</f>
        <v/>
      </c>
      <c r="K217" s="15">
        <f>IF(COUNTA(M217:AM217),SUM(M217:AM217),IF(AND(H217&lt;&gt;"",I217&lt;&gt;""),NETWORKDAYS(H217,I217),""))</f>
        <v/>
      </c>
      <c r="L217" s="13" t="inlineStr"/>
      <c r="M217" s="16" t="inlineStr"/>
      <c r="N217" s="16" t="inlineStr"/>
      <c r="O217" s="16" t="inlineStr"/>
      <c r="P217" s="16" t="inlineStr"/>
      <c r="Q217" s="16" t="inlineStr"/>
      <c r="R217" s="16" t="inlineStr"/>
      <c r="S217" s="16" t="inlineStr"/>
      <c r="T217" s="16" t="inlineStr"/>
      <c r="U217" s="16" t="inlineStr"/>
      <c r="V217" s="16" t="n">
        <v>5</v>
      </c>
      <c r="W217" s="16" t="inlineStr"/>
      <c r="X217" s="16" t="inlineStr"/>
      <c r="Y217" s="16" t="inlineStr"/>
      <c r="Z217" s="16" t="inlineStr"/>
      <c r="AA217" s="16" t="inlineStr"/>
      <c r="AB217" s="16" t="inlineStr"/>
      <c r="AC217" s="16" t="inlineStr"/>
      <c r="AD217" s="16" t="inlineStr"/>
      <c r="AE217" s="16" t="inlineStr"/>
      <c r="AF217" s="16" t="inlineStr"/>
      <c r="AG217" s="16" t="inlineStr"/>
      <c r="AH217" s="16" t="inlineStr"/>
      <c r="AI217" s="16" t="inlineStr"/>
      <c r="AJ217" s="16" t="inlineStr"/>
      <c r="AK217" s="16" t="inlineStr"/>
      <c r="AL217" s="16" t="inlineStr"/>
      <c r="AM217" s="16" t="inlineStr"/>
    </row>
    <row r="218">
      <c r="A218" s="13" t="inlineStr">
        <is>
          <t>Тарифы</t>
        </is>
      </c>
      <c r="B218" s="13" t="inlineStr">
        <is>
          <t>Флоу подключения МС Ева (ЛК)</t>
        </is>
      </c>
      <c r="C218" s="13" t="inlineStr"/>
      <c r="D218" s="13" t="inlineStr"/>
      <c r="E218" s="13" t="inlineStr">
        <is>
          <t>Потребность BE</t>
        </is>
      </c>
      <c r="F218" s="13" t="inlineStr">
        <is>
          <t>BE</t>
        </is>
      </c>
      <c r="G218" s="13" t="inlineStr"/>
      <c r="H218" s="14">
        <f>IF(COUNTA(M218:AM218)=0,"",INDEX($M$1:$AM$1,AGGREGATE(15,6,(COLUMN($M$1:$AM$1)-COLUMN($M$1)+1)/(M218:AM218&lt;&gt;""),1)))</f>
        <v/>
      </c>
      <c r="I218" s="14">
        <f>IF(COUNTA(M218:AM218)=0,"",INDEX($M$1:$AM$1,AGGREGATE(14,6,(COLUMN($M$1:$AM$1)-COLUMN($M$1)+1)/(M218:AM218&lt;&gt;""),1))+MAX(0,IFERROR(LOOKUP(2,1/(M218:AM218&lt;&gt;""),M218:AM218),1)-1))</f>
        <v/>
      </c>
      <c r="J218" s="14">
        <f>IF(I218="","",WORKDAY(I218,1))</f>
        <v/>
      </c>
      <c r="K218" s="15">
        <f>IF(COUNTA(M218:AM218),SUM(M218:AM218),IF(AND(H218&lt;&gt;"",I218&lt;&gt;""),NETWORKDAYS(H218,I218),""))</f>
        <v/>
      </c>
      <c r="L218" s="13" t="inlineStr"/>
      <c r="M218" s="16" t="inlineStr"/>
      <c r="N218" s="16" t="inlineStr"/>
      <c r="O218" s="16" t="inlineStr"/>
      <c r="P218" s="16" t="inlineStr"/>
      <c r="Q218" s="16" t="inlineStr"/>
      <c r="R218" s="16" t="n">
        <v>2</v>
      </c>
      <c r="S218" s="16" t="n">
        <v>3</v>
      </c>
      <c r="T218" s="16" t="inlineStr"/>
      <c r="U218" s="16" t="inlineStr"/>
      <c r="V218" s="16" t="inlineStr"/>
      <c r="W218" s="16" t="inlineStr"/>
      <c r="X218" s="16" t="inlineStr"/>
      <c r="Y218" s="16" t="inlineStr"/>
      <c r="Z218" s="16" t="inlineStr"/>
      <c r="AA218" s="16" t="inlineStr"/>
      <c r="AB218" s="16" t="inlineStr"/>
      <c r="AC218" s="16" t="inlineStr"/>
      <c r="AD218" s="16" t="inlineStr"/>
      <c r="AE218" s="16" t="inlineStr"/>
      <c r="AF218" s="16" t="inlineStr"/>
      <c r="AG218" s="16" t="inlineStr"/>
      <c r="AH218" s="16" t="inlineStr"/>
      <c r="AI218" s="16" t="inlineStr"/>
      <c r="AJ218" s="16" t="inlineStr"/>
      <c r="AK218" s="16" t="inlineStr"/>
      <c r="AL218" s="16" t="inlineStr"/>
      <c r="AM218" s="16" t="inlineStr"/>
    </row>
    <row r="219">
      <c r="A219" s="13" t="inlineStr">
        <is>
          <t>Тарифы</t>
        </is>
      </c>
      <c r="B219" s="13" t="inlineStr">
        <is>
          <t>Флоу подключения МС Ева (ЛК)</t>
        </is>
      </c>
      <c r="C219" s="13" t="inlineStr"/>
      <c r="D219" s="13" t="inlineStr"/>
      <c r="E219" s="13" t="inlineStr">
        <is>
          <t>Потребность FE</t>
        </is>
      </c>
      <c r="F219" s="13" t="inlineStr">
        <is>
          <t>FE</t>
        </is>
      </c>
      <c r="G219" s="13" t="inlineStr"/>
      <c r="H219" s="14">
        <f>IF(COUNTA(M219:AM219)=0,"",INDEX($M$1:$AM$1,AGGREGATE(15,6,(COLUMN($M$1:$AM$1)-COLUMN($M$1)+1)/(M219:AM219&lt;&gt;""),1)))</f>
        <v/>
      </c>
      <c r="I219" s="14">
        <f>IF(COUNTA(M219:AM219)=0,"",INDEX($M$1:$AM$1,AGGREGATE(14,6,(COLUMN($M$1:$AM$1)-COLUMN($M$1)+1)/(M219:AM219&lt;&gt;""),1))+MAX(0,IFERROR(LOOKUP(2,1/(M219:AM219&lt;&gt;""),M219:AM219),1)-1))</f>
        <v/>
      </c>
      <c r="J219" s="14">
        <f>IF(I219="","",WORKDAY(I219,1))</f>
        <v/>
      </c>
      <c r="K219" s="15">
        <f>IF(COUNTA(M219:AM219),SUM(M219:AM219),IF(AND(H219&lt;&gt;"",I219&lt;&gt;""),NETWORKDAYS(H219,I219),""))</f>
        <v/>
      </c>
      <c r="L219" s="13" t="inlineStr"/>
      <c r="M219" s="16" t="inlineStr"/>
      <c r="N219" s="16" t="inlineStr"/>
      <c r="O219" s="16" t="inlineStr"/>
      <c r="P219" s="16" t="inlineStr"/>
      <c r="Q219" s="16" t="inlineStr"/>
      <c r="R219" s="16" t="inlineStr"/>
      <c r="S219" s="16" t="inlineStr"/>
      <c r="T219" s="16" t="inlineStr"/>
      <c r="U219" s="16" t="inlineStr"/>
      <c r="V219" s="16" t="inlineStr"/>
      <c r="W219" s="16" t="n">
        <v>5</v>
      </c>
      <c r="X219" s="16" t="inlineStr"/>
      <c r="Y219" s="16" t="inlineStr"/>
      <c r="Z219" s="16" t="inlineStr"/>
      <c r="AA219" s="16" t="inlineStr"/>
      <c r="AB219" s="16" t="inlineStr"/>
      <c r="AC219" s="16" t="inlineStr"/>
      <c r="AD219" s="16" t="inlineStr"/>
      <c r="AE219" s="16" t="inlineStr"/>
      <c r="AF219" s="16" t="inlineStr"/>
      <c r="AG219" s="16" t="inlineStr"/>
      <c r="AH219" s="16" t="inlineStr"/>
      <c r="AI219" s="16" t="inlineStr"/>
      <c r="AJ219" s="16" t="inlineStr"/>
      <c r="AK219" s="16" t="inlineStr"/>
      <c r="AL219" s="16" t="inlineStr"/>
      <c r="AM219" s="16" t="inlineStr"/>
    </row>
    <row r="220">
      <c r="A220" s="13" t="inlineStr">
        <is>
          <t>Тарифы</t>
        </is>
      </c>
      <c r="B220" s="13" t="inlineStr">
        <is>
          <t>Флоу подключения МС Ева (ЛК)</t>
        </is>
      </c>
      <c r="C220" s="13" t="inlineStr"/>
      <c r="D220" s="13" t="inlineStr"/>
      <c r="E220" s="13" t="inlineStr">
        <is>
          <t>Потребность QA</t>
        </is>
      </c>
      <c r="F220" s="13" t="inlineStr">
        <is>
          <t>QA</t>
        </is>
      </c>
      <c r="G220" s="13" t="inlineStr"/>
      <c r="H220" s="14">
        <f>IF(COUNTA(M220:AM220)=0,"",INDEX($M$1:$AM$1,AGGREGATE(15,6,(COLUMN($M$1:$AM$1)-COLUMN($M$1)+1)/(M220:AM220&lt;&gt;""),1)))</f>
        <v/>
      </c>
      <c r="I220" s="14">
        <f>IF(COUNTA(M220:AM220)=0,"",INDEX($M$1:$AM$1,AGGREGATE(14,6,(COLUMN($M$1:$AM$1)-COLUMN($M$1)+1)/(M220:AM220&lt;&gt;""),1))+MAX(0,IFERROR(LOOKUP(2,1/(M220:AM220&lt;&gt;""),M220:AM220),1)-1))</f>
        <v/>
      </c>
      <c r="J220" s="14">
        <f>IF(I220="","",WORKDAY(I220,1))</f>
        <v/>
      </c>
      <c r="K220" s="15">
        <f>IF(COUNTA(M220:AM220),SUM(M220:AM220),IF(AND(H220&lt;&gt;"",I220&lt;&gt;""),NETWORKDAYS(H220,I220),""))</f>
        <v/>
      </c>
      <c r="L220" s="13" t="inlineStr"/>
      <c r="M220" s="16" t="inlineStr"/>
      <c r="N220" s="16" t="inlineStr"/>
      <c r="O220" s="16" t="inlineStr"/>
      <c r="P220" s="16" t="inlineStr"/>
      <c r="Q220" s="16" t="inlineStr"/>
      <c r="R220" s="16" t="inlineStr"/>
      <c r="S220" s="16" t="inlineStr"/>
      <c r="T220" s="16" t="inlineStr"/>
      <c r="U220" s="16" t="inlineStr"/>
      <c r="V220" s="16" t="inlineStr"/>
      <c r="W220" s="16" t="inlineStr"/>
      <c r="X220" s="16" t="n">
        <v>5</v>
      </c>
      <c r="Y220" s="16" t="inlineStr"/>
      <c r="Z220" s="16" t="inlineStr"/>
      <c r="AA220" s="16" t="inlineStr"/>
      <c r="AB220" s="16" t="inlineStr"/>
      <c r="AC220" s="16" t="inlineStr"/>
      <c r="AD220" s="16" t="inlineStr"/>
      <c r="AE220" s="16" t="inlineStr"/>
      <c r="AF220" s="16" t="inlineStr"/>
      <c r="AG220" s="16" t="inlineStr"/>
      <c r="AH220" s="16" t="inlineStr"/>
      <c r="AI220" s="16" t="inlineStr"/>
      <c r="AJ220" s="16" t="inlineStr"/>
      <c r="AK220" s="16" t="inlineStr"/>
      <c r="AL220" s="16" t="inlineStr"/>
      <c r="AM220" s="16" t="inlineStr"/>
    </row>
    <row r="221">
      <c r="A221" s="13" t="inlineStr">
        <is>
          <t>Тарифы</t>
        </is>
      </c>
      <c r="B221" s="13" t="inlineStr">
        <is>
          <t>Флоу подключения МС Мегакино (ЛК)</t>
        </is>
      </c>
      <c r="C221" s="13" t="inlineStr"/>
      <c r="D221" s="13" t="inlineStr"/>
      <c r="E221" s="13" t="inlineStr">
        <is>
          <t>Потребность дизайн</t>
        </is>
      </c>
      <c r="F221" s="13" t="inlineStr">
        <is>
          <t>Дизайн</t>
        </is>
      </c>
      <c r="G221" s="13" t="inlineStr"/>
      <c r="H221" s="14">
        <f>IF(COUNTA(M221:AM221)=0,"",INDEX($M$1:$AM$1,AGGREGATE(15,6,(COLUMN($M$1:$AM$1)-COLUMN($M$1)+1)/(M221:AM221&lt;&gt;""),1)))</f>
        <v/>
      </c>
      <c r="I221" s="14">
        <f>IF(COUNTA(M221:AM221)=0,"",INDEX($M$1:$AM$1,AGGREGATE(14,6,(COLUMN($M$1:$AM$1)-COLUMN($M$1)+1)/(M221:AM221&lt;&gt;""),1))+MAX(0,IFERROR(LOOKUP(2,1/(M221:AM221&lt;&gt;""),M221:AM221),1)-1))</f>
        <v/>
      </c>
      <c r="J221" s="14">
        <f>IF(I221="","",WORKDAY(I221,1))</f>
        <v/>
      </c>
      <c r="K221" s="15">
        <f>IF(COUNTA(M221:AM221),SUM(M221:AM221),IF(AND(H221&lt;&gt;"",I221&lt;&gt;""),NETWORKDAYS(H221,I221),""))</f>
        <v/>
      </c>
      <c r="L221" s="13" t="inlineStr"/>
      <c r="M221" s="16" t="inlineStr"/>
      <c r="N221" s="16" t="inlineStr"/>
      <c r="O221" s="16" t="inlineStr"/>
      <c r="P221" s="16" t="inlineStr"/>
      <c r="Q221" s="16" t="inlineStr"/>
      <c r="R221" s="16" t="inlineStr"/>
      <c r="S221" s="16" t="inlineStr"/>
      <c r="T221" s="16" t="inlineStr"/>
      <c r="U221" s="16" t="n">
        <v>5</v>
      </c>
      <c r="V221" s="16" t="inlineStr"/>
      <c r="W221" s="16" t="inlineStr"/>
      <c r="X221" s="16" t="inlineStr"/>
      <c r="Y221" s="16" t="inlineStr"/>
      <c r="Z221" s="16" t="inlineStr"/>
      <c r="AA221" s="16" t="inlineStr"/>
      <c r="AB221" s="16" t="inlineStr"/>
      <c r="AC221" s="16" t="inlineStr"/>
      <c r="AD221" s="16" t="inlineStr"/>
      <c r="AE221" s="16" t="inlineStr"/>
      <c r="AF221" s="16" t="inlineStr"/>
      <c r="AG221" s="16" t="inlineStr"/>
      <c r="AH221" s="16" t="inlineStr"/>
      <c r="AI221" s="16" t="inlineStr"/>
      <c r="AJ221" s="16" t="inlineStr"/>
      <c r="AK221" s="16" t="inlineStr"/>
      <c r="AL221" s="16" t="inlineStr"/>
      <c r="AM221" s="16" t="inlineStr"/>
    </row>
    <row r="222">
      <c r="A222" s="13" t="inlineStr">
        <is>
          <t>Тарифы</t>
        </is>
      </c>
      <c r="B222" s="13" t="inlineStr">
        <is>
          <t>Флоу подключения МС Мегакино (ЛК)</t>
        </is>
      </c>
      <c r="C222" s="13" t="inlineStr"/>
      <c r="D222" s="13" t="inlineStr"/>
      <c r="E222" s="13" t="inlineStr">
        <is>
          <t>Потребность SA</t>
        </is>
      </c>
      <c r="F222" s="13" t="inlineStr">
        <is>
          <t>SA</t>
        </is>
      </c>
      <c r="G222" s="13" t="inlineStr"/>
      <c r="H222" s="14">
        <f>IF(COUNTA(M222:AM222)=0,"",INDEX($M$1:$AM$1,AGGREGATE(15,6,(COLUMN($M$1:$AM$1)-COLUMN($M$1)+1)/(M222:AM222&lt;&gt;""),1)))</f>
        <v/>
      </c>
      <c r="I222" s="14">
        <f>IF(COUNTA(M222:AM222)=0,"",INDEX($M$1:$AM$1,AGGREGATE(14,6,(COLUMN($M$1:$AM$1)-COLUMN($M$1)+1)/(M222:AM222&lt;&gt;""),1))+MAX(0,IFERROR(LOOKUP(2,1/(M222:AM222&lt;&gt;""),M222:AM222),1)-1))</f>
        <v/>
      </c>
      <c r="J222" s="14">
        <f>IF(I222="","",WORKDAY(I222,1))</f>
        <v/>
      </c>
      <c r="K222" s="15">
        <f>IF(COUNTA(M222:AM222),SUM(M222:AM222),IF(AND(H222&lt;&gt;"",I222&lt;&gt;""),NETWORKDAYS(H222,I222),""))</f>
        <v/>
      </c>
      <c r="L222" s="13" t="inlineStr"/>
      <c r="M222" s="16" t="inlineStr"/>
      <c r="N222" s="16" t="inlineStr"/>
      <c r="O222" s="16" t="inlineStr"/>
      <c r="P222" s="16" t="inlineStr"/>
      <c r="Q222" s="16" t="inlineStr"/>
      <c r="R222" s="16" t="inlineStr"/>
      <c r="S222" s="16" t="inlineStr"/>
      <c r="T222" s="16" t="inlineStr"/>
      <c r="U222" s="16" t="inlineStr"/>
      <c r="V222" s="16" t="inlineStr"/>
      <c r="W222" s="16" t="n">
        <v>5</v>
      </c>
      <c r="X222" s="16" t="inlineStr"/>
      <c r="Y222" s="16" t="inlineStr"/>
      <c r="Z222" s="16" t="inlineStr"/>
      <c r="AA222" s="16" t="inlineStr"/>
      <c r="AB222" s="16" t="inlineStr"/>
      <c r="AC222" s="16" t="inlineStr"/>
      <c r="AD222" s="16" t="inlineStr"/>
      <c r="AE222" s="16" t="inlineStr"/>
      <c r="AF222" s="16" t="inlineStr"/>
      <c r="AG222" s="16" t="inlineStr"/>
      <c r="AH222" s="16" t="inlineStr"/>
      <c r="AI222" s="16" t="inlineStr"/>
      <c r="AJ222" s="16" t="inlineStr"/>
      <c r="AK222" s="16" t="inlineStr"/>
      <c r="AL222" s="16" t="inlineStr"/>
      <c r="AM222" s="16" t="inlineStr"/>
    </row>
    <row r="223">
      <c r="A223" s="13" t="inlineStr">
        <is>
          <t>Тарифы</t>
        </is>
      </c>
      <c r="B223" s="13" t="inlineStr">
        <is>
          <t>Флоу подключения МС Мегакино (ЛК)</t>
        </is>
      </c>
      <c r="C223" s="13" t="inlineStr"/>
      <c r="D223" s="13" t="inlineStr"/>
      <c r="E223" s="13" t="inlineStr">
        <is>
          <t>Потребность BE</t>
        </is>
      </c>
      <c r="F223" s="13" t="inlineStr">
        <is>
          <t>BE</t>
        </is>
      </c>
      <c r="G223" s="13" t="inlineStr"/>
      <c r="H223" s="14">
        <f>IF(COUNTA(M223:AM223)=0,"",INDEX($M$1:$AM$1,AGGREGATE(15,6,(COLUMN($M$1:$AM$1)-COLUMN($M$1)+1)/(M223:AM223&lt;&gt;""),1)))</f>
        <v/>
      </c>
      <c r="I223" s="14">
        <f>IF(COUNTA(M223:AM223)=0,"",INDEX($M$1:$AM$1,AGGREGATE(14,6,(COLUMN($M$1:$AM$1)-COLUMN($M$1)+1)/(M223:AM223&lt;&gt;""),1))+MAX(0,IFERROR(LOOKUP(2,1/(M223:AM223&lt;&gt;""),M223:AM223),1)-1))</f>
        <v/>
      </c>
      <c r="J223" s="14">
        <f>IF(I223="","",WORKDAY(I223,1))</f>
        <v/>
      </c>
      <c r="K223" s="15">
        <f>IF(COUNTA(M223:AM223),SUM(M223:AM223),IF(AND(H223&lt;&gt;"",I223&lt;&gt;""),NETWORKDAYS(H223,I223),""))</f>
        <v/>
      </c>
      <c r="L223" s="13" t="inlineStr"/>
      <c r="M223" s="16" t="inlineStr"/>
      <c r="N223" s="16" t="inlineStr"/>
      <c r="O223" s="16" t="inlineStr"/>
      <c r="P223" s="16" t="inlineStr"/>
      <c r="Q223" s="16" t="inlineStr"/>
      <c r="R223" s="16" t="inlineStr"/>
      <c r="S223" s="16" t="inlineStr"/>
      <c r="T223" s="16" t="inlineStr"/>
      <c r="U223" s="16" t="inlineStr"/>
      <c r="V223" s="16" t="inlineStr"/>
      <c r="W223" s="16" t="inlineStr"/>
      <c r="X223" s="16" t="n">
        <v>5</v>
      </c>
      <c r="Y223" s="16" t="inlineStr"/>
      <c r="Z223" s="16" t="inlineStr"/>
      <c r="AA223" s="16" t="inlineStr"/>
      <c r="AB223" s="16" t="inlineStr"/>
      <c r="AC223" s="16" t="inlineStr"/>
      <c r="AD223" s="16" t="inlineStr"/>
      <c r="AE223" s="16" t="inlineStr"/>
      <c r="AF223" s="16" t="inlineStr"/>
      <c r="AG223" s="16" t="inlineStr"/>
      <c r="AH223" s="16" t="inlineStr"/>
      <c r="AI223" s="16" t="inlineStr"/>
      <c r="AJ223" s="16" t="inlineStr"/>
      <c r="AK223" s="16" t="inlineStr"/>
      <c r="AL223" s="16" t="inlineStr"/>
      <c r="AM223" s="16" t="inlineStr"/>
    </row>
    <row r="224">
      <c r="A224" s="13" t="inlineStr">
        <is>
          <t>Тарифы</t>
        </is>
      </c>
      <c r="B224" s="13" t="inlineStr">
        <is>
          <t>Флоу подключения МС Мегакино (ЛК)</t>
        </is>
      </c>
      <c r="C224" s="13" t="inlineStr"/>
      <c r="D224" s="13" t="inlineStr"/>
      <c r="E224" s="13" t="inlineStr">
        <is>
          <t>Потребность FE</t>
        </is>
      </c>
      <c r="F224" s="13" t="inlineStr">
        <is>
          <t>FE</t>
        </is>
      </c>
      <c r="G224" s="13" t="inlineStr"/>
      <c r="H224" s="14">
        <f>IF(COUNTA(M224:AM224)=0,"",INDEX($M$1:$AM$1,AGGREGATE(15,6,(COLUMN($M$1:$AM$1)-COLUMN($M$1)+1)/(M224:AM224&lt;&gt;""),1)))</f>
        <v/>
      </c>
      <c r="I224" s="14">
        <f>IF(COUNTA(M224:AM224)=0,"",INDEX($M$1:$AM$1,AGGREGATE(14,6,(COLUMN($M$1:$AM$1)-COLUMN($M$1)+1)/(M224:AM224&lt;&gt;""),1))+MAX(0,IFERROR(LOOKUP(2,1/(M224:AM224&lt;&gt;""),M224:AM224),1)-1))</f>
        <v/>
      </c>
      <c r="J224" s="14">
        <f>IF(I224="","",WORKDAY(I224,1))</f>
        <v/>
      </c>
      <c r="K224" s="15">
        <f>IF(COUNTA(M224:AM224),SUM(M224:AM224),IF(AND(H224&lt;&gt;"",I224&lt;&gt;""),NETWORKDAYS(H224,I224),""))</f>
        <v/>
      </c>
      <c r="L224" s="13" t="inlineStr"/>
      <c r="M224" s="16" t="inlineStr"/>
      <c r="N224" s="16" t="inlineStr"/>
      <c r="O224" s="16" t="inlineStr"/>
      <c r="P224" s="16" t="inlineStr"/>
      <c r="Q224" s="16" t="inlineStr"/>
      <c r="R224" s="16" t="inlineStr"/>
      <c r="S224" s="16" t="inlineStr"/>
      <c r="T224" s="16" t="inlineStr"/>
      <c r="U224" s="16" t="inlineStr"/>
      <c r="V224" s="16" t="inlineStr"/>
      <c r="W224" s="16" t="inlineStr"/>
      <c r="X224" s="16" t="inlineStr"/>
      <c r="Y224" s="16" t="n">
        <v>5</v>
      </c>
      <c r="Z224" s="16" t="inlineStr"/>
      <c r="AA224" s="16" t="inlineStr"/>
      <c r="AB224" s="16" t="inlineStr"/>
      <c r="AC224" s="16" t="inlineStr"/>
      <c r="AD224" s="16" t="inlineStr"/>
      <c r="AE224" s="16" t="inlineStr"/>
      <c r="AF224" s="16" t="inlineStr"/>
      <c r="AG224" s="16" t="inlineStr"/>
      <c r="AH224" s="16" t="inlineStr"/>
      <c r="AI224" s="16" t="inlineStr"/>
      <c r="AJ224" s="16" t="inlineStr"/>
      <c r="AK224" s="16" t="inlineStr"/>
      <c r="AL224" s="16" t="inlineStr"/>
      <c r="AM224" s="16" t="inlineStr"/>
    </row>
    <row r="225">
      <c r="A225" s="13" t="inlineStr">
        <is>
          <t>Тарифы</t>
        </is>
      </c>
      <c r="B225" s="13" t="inlineStr">
        <is>
          <t>Флоу подключения МС Мегакино (ЛК)</t>
        </is>
      </c>
      <c r="C225" s="13" t="inlineStr"/>
      <c r="D225" s="13" t="inlineStr"/>
      <c r="E225" s="13" t="inlineStr">
        <is>
          <t>Потребность QA</t>
        </is>
      </c>
      <c r="F225" s="13" t="inlineStr">
        <is>
          <t>QA</t>
        </is>
      </c>
      <c r="G225" s="13" t="inlineStr"/>
      <c r="H225" s="14">
        <f>IF(COUNTA(M225:AM225)=0,"",INDEX($M$1:$AM$1,AGGREGATE(15,6,(COLUMN($M$1:$AM$1)-COLUMN($M$1)+1)/(M225:AM225&lt;&gt;""),1)))</f>
        <v/>
      </c>
      <c r="I225" s="14">
        <f>IF(COUNTA(M225:AM225)=0,"",INDEX($M$1:$AM$1,AGGREGATE(14,6,(COLUMN($M$1:$AM$1)-COLUMN($M$1)+1)/(M225:AM225&lt;&gt;""),1))+MAX(0,IFERROR(LOOKUP(2,1/(M225:AM225&lt;&gt;""),M225:AM225),1)-1))</f>
        <v/>
      </c>
      <c r="J225" s="14">
        <f>IF(I225="","",WORKDAY(I225,1))</f>
        <v/>
      </c>
      <c r="K225" s="15">
        <f>IF(COUNTA(M225:AM225),SUM(M225:AM225),IF(AND(H225&lt;&gt;"",I225&lt;&gt;""),NETWORKDAYS(H225,I225),""))</f>
        <v/>
      </c>
      <c r="L225" s="13" t="inlineStr"/>
      <c r="M225" s="16" t="inlineStr"/>
      <c r="N225" s="16" t="inlineStr"/>
      <c r="O225" s="16" t="inlineStr"/>
      <c r="P225" s="16" t="inlineStr"/>
      <c r="Q225" s="16" t="inlineStr"/>
      <c r="R225" s="16" t="inlineStr"/>
      <c r="S225" s="16" t="inlineStr"/>
      <c r="T225" s="16" t="inlineStr"/>
      <c r="U225" s="16" t="inlineStr"/>
      <c r="V225" s="16" t="inlineStr"/>
      <c r="W225" s="16" t="inlineStr"/>
      <c r="X225" s="16" t="inlineStr"/>
      <c r="Y225" s="16" t="inlineStr"/>
      <c r="Z225" s="16" t="n">
        <v>4</v>
      </c>
      <c r="AA225" s="16" t="inlineStr"/>
      <c r="AB225" s="16" t="inlineStr"/>
      <c r="AC225" s="16" t="inlineStr"/>
      <c r="AD225" s="16" t="inlineStr"/>
      <c r="AE225" s="16" t="inlineStr"/>
      <c r="AF225" s="16" t="inlineStr"/>
      <c r="AG225" s="16" t="inlineStr"/>
      <c r="AH225" s="16" t="inlineStr"/>
      <c r="AI225" s="16" t="inlineStr"/>
      <c r="AJ225" s="16" t="inlineStr"/>
      <c r="AK225" s="16" t="inlineStr"/>
      <c r="AL225" s="16" t="inlineStr"/>
      <c r="AM225" s="16" t="inlineStr"/>
    </row>
    <row r="226">
      <c r="A226" s="13" t="inlineStr">
        <is>
          <t>Тарифы</t>
        </is>
      </c>
      <c r="B226" s="13" t="inlineStr">
        <is>
          <t>Флоу подключения МФ Консьерж-сервис (ЛК)</t>
        </is>
      </c>
      <c r="C226" s="13" t="inlineStr"/>
      <c r="D226" s="13" t="inlineStr"/>
      <c r="E226" s="13" t="inlineStr">
        <is>
          <t>Потребность дизайн</t>
        </is>
      </c>
      <c r="F226" s="13" t="inlineStr">
        <is>
          <t>Дизайн</t>
        </is>
      </c>
      <c r="G226" s="13" t="inlineStr"/>
      <c r="H226" s="14">
        <f>IF(COUNTA(M226:AM226)=0,"",INDEX($M$1:$AM$1,AGGREGATE(15,6,(COLUMN($M$1:$AM$1)-COLUMN($M$1)+1)/(M226:AM226&lt;&gt;""),1)))</f>
        <v/>
      </c>
      <c r="I226" s="14">
        <f>IF(COUNTA(M226:AM226)=0,"",INDEX($M$1:$AM$1,AGGREGATE(14,6,(COLUMN($M$1:$AM$1)-COLUMN($M$1)+1)/(M226:AM226&lt;&gt;""),1))+MAX(0,IFERROR(LOOKUP(2,1/(M226:AM226&lt;&gt;""),M226:AM226),1)-1))</f>
        <v/>
      </c>
      <c r="J226" s="14">
        <f>IF(I226="","",WORKDAY(I226,1))</f>
        <v/>
      </c>
      <c r="K226" s="15">
        <f>IF(COUNTA(M226:AM226),SUM(M226:AM226),IF(AND(H226&lt;&gt;"",I226&lt;&gt;""),NETWORKDAYS(H226,I226),""))</f>
        <v/>
      </c>
      <c r="L226" s="13" t="inlineStr"/>
      <c r="M226" s="16" t="inlineStr"/>
      <c r="N226" s="16" t="inlineStr"/>
      <c r="O226" s="16" t="inlineStr"/>
      <c r="P226" s="16" t="inlineStr"/>
      <c r="Q226" s="16" t="inlineStr"/>
      <c r="R226" s="16" t="inlineStr"/>
      <c r="S226" s="16" t="inlineStr"/>
      <c r="T226" s="16" t="inlineStr"/>
      <c r="U226" s="16" t="n">
        <v>5</v>
      </c>
      <c r="V226" s="16" t="inlineStr"/>
      <c r="W226" s="16" t="inlineStr"/>
      <c r="X226" s="16" t="inlineStr"/>
      <c r="Y226" s="16" t="inlineStr"/>
      <c r="Z226" s="16" t="inlineStr"/>
      <c r="AA226" s="16" t="inlineStr"/>
      <c r="AB226" s="16" t="inlineStr"/>
      <c r="AC226" s="16" t="inlineStr"/>
      <c r="AD226" s="16" t="inlineStr"/>
      <c r="AE226" s="16" t="inlineStr"/>
      <c r="AF226" s="16" t="inlineStr"/>
      <c r="AG226" s="16" t="inlineStr"/>
      <c r="AH226" s="16" t="inlineStr"/>
      <c r="AI226" s="16" t="inlineStr"/>
      <c r="AJ226" s="16" t="inlineStr"/>
      <c r="AK226" s="16" t="inlineStr"/>
      <c r="AL226" s="16" t="inlineStr"/>
      <c r="AM226" s="16" t="inlineStr"/>
    </row>
    <row r="227">
      <c r="A227" s="13" t="inlineStr">
        <is>
          <t>Тарифы</t>
        </is>
      </c>
      <c r="B227" s="13" t="inlineStr">
        <is>
          <t>Флоу подключения МФ Консьерж-сервис (ЛК)</t>
        </is>
      </c>
      <c r="C227" s="13" t="inlineStr"/>
      <c r="D227" s="13" t="inlineStr"/>
      <c r="E227" s="13" t="inlineStr">
        <is>
          <t>Потребность SA</t>
        </is>
      </c>
      <c r="F227" s="13" t="inlineStr">
        <is>
          <t>SA</t>
        </is>
      </c>
      <c r="G227" s="13" t="inlineStr"/>
      <c r="H227" s="14">
        <f>IF(COUNTA(M227:AM227)=0,"",INDEX($M$1:$AM$1,AGGREGATE(15,6,(COLUMN($M$1:$AM$1)-COLUMN($M$1)+1)/(M227:AM227&lt;&gt;""),1)))</f>
        <v/>
      </c>
      <c r="I227" s="14">
        <f>IF(COUNTA(M227:AM227)=0,"",INDEX($M$1:$AM$1,AGGREGATE(14,6,(COLUMN($M$1:$AM$1)-COLUMN($M$1)+1)/(M227:AM227&lt;&gt;""),1))+MAX(0,IFERROR(LOOKUP(2,1/(M227:AM227&lt;&gt;""),M227:AM227),1)-1))</f>
        <v/>
      </c>
      <c r="J227" s="14">
        <f>IF(I227="","",WORKDAY(I227,1))</f>
        <v/>
      </c>
      <c r="K227" s="15">
        <f>IF(COUNTA(M227:AM227),SUM(M227:AM227),IF(AND(H227&lt;&gt;"",I227&lt;&gt;""),NETWORKDAYS(H227,I227),""))</f>
        <v/>
      </c>
      <c r="L227" s="13" t="inlineStr"/>
      <c r="M227" s="16" t="inlineStr"/>
      <c r="N227" s="16" t="inlineStr"/>
      <c r="O227" s="16" t="inlineStr"/>
      <c r="P227" s="16" t="inlineStr"/>
      <c r="Q227" s="16" t="inlineStr"/>
      <c r="R227" s="16" t="inlineStr"/>
      <c r="S227" s="16" t="inlineStr"/>
      <c r="T227" s="16" t="inlineStr"/>
      <c r="U227" s="16" t="inlineStr"/>
      <c r="V227" s="16" t="inlineStr"/>
      <c r="W227" s="16" t="n">
        <v>5</v>
      </c>
      <c r="X227" s="16" t="inlineStr"/>
      <c r="Y227" s="16" t="inlineStr"/>
      <c r="Z227" s="16" t="inlineStr"/>
      <c r="AA227" s="16" t="inlineStr"/>
      <c r="AB227" s="16" t="inlineStr"/>
      <c r="AC227" s="16" t="inlineStr"/>
      <c r="AD227" s="16" t="inlineStr"/>
      <c r="AE227" s="16" t="inlineStr"/>
      <c r="AF227" s="16" t="inlineStr"/>
      <c r="AG227" s="16" t="inlineStr"/>
      <c r="AH227" s="16" t="inlineStr"/>
      <c r="AI227" s="16" t="inlineStr"/>
      <c r="AJ227" s="16" t="inlineStr"/>
      <c r="AK227" s="16" t="inlineStr"/>
      <c r="AL227" s="16" t="inlineStr"/>
      <c r="AM227" s="16" t="inlineStr"/>
    </row>
    <row r="228">
      <c r="A228" s="13" t="inlineStr">
        <is>
          <t>Тарифы</t>
        </is>
      </c>
      <c r="B228" s="13" t="inlineStr">
        <is>
          <t>Флоу подключения МФ Консьерж-сервис (ЛК)</t>
        </is>
      </c>
      <c r="C228" s="13" t="inlineStr"/>
      <c r="D228" s="13" t="inlineStr"/>
      <c r="E228" s="13" t="inlineStr">
        <is>
          <t>Потребность BE</t>
        </is>
      </c>
      <c r="F228" s="13" t="inlineStr">
        <is>
          <t>BE</t>
        </is>
      </c>
      <c r="G228" s="13" t="inlineStr"/>
      <c r="H228" s="14">
        <f>IF(COUNTA(M228:AM228)=0,"",INDEX($M$1:$AM$1,AGGREGATE(15,6,(COLUMN($M$1:$AM$1)-COLUMN($M$1)+1)/(M228:AM228&lt;&gt;""),1)))</f>
        <v/>
      </c>
      <c r="I228" s="14">
        <f>IF(COUNTA(M228:AM228)=0,"",INDEX($M$1:$AM$1,AGGREGATE(14,6,(COLUMN($M$1:$AM$1)-COLUMN($M$1)+1)/(M228:AM228&lt;&gt;""),1))+MAX(0,IFERROR(LOOKUP(2,1/(M228:AM228&lt;&gt;""),M228:AM228),1)-1))</f>
        <v/>
      </c>
      <c r="J228" s="14">
        <f>IF(I228="","",WORKDAY(I228,1))</f>
        <v/>
      </c>
      <c r="K228" s="15">
        <f>IF(COUNTA(M228:AM228),SUM(M228:AM228),IF(AND(H228&lt;&gt;"",I228&lt;&gt;""),NETWORKDAYS(H228,I228),""))</f>
        <v/>
      </c>
      <c r="L228" s="13" t="inlineStr"/>
      <c r="M228" s="16" t="inlineStr"/>
      <c r="N228" s="16" t="inlineStr"/>
      <c r="O228" s="16" t="inlineStr"/>
      <c r="P228" s="16" t="inlineStr"/>
      <c r="Q228" s="16" t="inlineStr"/>
      <c r="R228" s="16" t="inlineStr"/>
      <c r="S228" s="16" t="inlineStr"/>
      <c r="T228" s="16" t="inlineStr"/>
      <c r="U228" s="16" t="inlineStr"/>
      <c r="V228" s="16" t="inlineStr"/>
      <c r="W228" s="16" t="inlineStr"/>
      <c r="X228" s="16" t="n">
        <v>5</v>
      </c>
      <c r="Y228" s="16" t="inlineStr"/>
      <c r="Z228" s="16" t="inlineStr"/>
      <c r="AA228" s="16" t="inlineStr"/>
      <c r="AB228" s="16" t="inlineStr"/>
      <c r="AC228" s="16" t="inlineStr"/>
      <c r="AD228" s="16" t="inlineStr"/>
      <c r="AE228" s="16" t="inlineStr"/>
      <c r="AF228" s="16" t="inlineStr"/>
      <c r="AG228" s="16" t="inlineStr"/>
      <c r="AH228" s="16" t="inlineStr"/>
      <c r="AI228" s="16" t="inlineStr"/>
      <c r="AJ228" s="16" t="inlineStr"/>
      <c r="AK228" s="16" t="inlineStr"/>
      <c r="AL228" s="16" t="inlineStr"/>
      <c r="AM228" s="16" t="inlineStr"/>
    </row>
    <row r="229">
      <c r="A229" s="13" t="inlineStr">
        <is>
          <t>Тарифы</t>
        </is>
      </c>
      <c r="B229" s="13" t="inlineStr">
        <is>
          <t>Флоу подключения МФ Консьерж-сервис (ЛК)</t>
        </is>
      </c>
      <c r="C229" s="13" t="inlineStr"/>
      <c r="D229" s="13" t="inlineStr"/>
      <c r="E229" s="13" t="inlineStr">
        <is>
          <t>Потребность FE</t>
        </is>
      </c>
      <c r="F229" s="13" t="inlineStr">
        <is>
          <t>FE</t>
        </is>
      </c>
      <c r="G229" s="13" t="inlineStr"/>
      <c r="H229" s="14">
        <f>IF(COUNTA(M229:AM229)=0,"",INDEX($M$1:$AM$1,AGGREGATE(15,6,(COLUMN($M$1:$AM$1)-COLUMN($M$1)+1)/(M229:AM229&lt;&gt;""),1)))</f>
        <v/>
      </c>
      <c r="I229" s="14">
        <f>IF(COUNTA(M229:AM229)=0,"",INDEX($M$1:$AM$1,AGGREGATE(14,6,(COLUMN($M$1:$AM$1)-COLUMN($M$1)+1)/(M229:AM229&lt;&gt;""),1))+MAX(0,IFERROR(LOOKUP(2,1/(M229:AM229&lt;&gt;""),M229:AM229),1)-1))</f>
        <v/>
      </c>
      <c r="J229" s="14">
        <f>IF(I229="","",WORKDAY(I229,1))</f>
        <v/>
      </c>
      <c r="K229" s="15">
        <f>IF(COUNTA(M229:AM229),SUM(M229:AM229),IF(AND(H229&lt;&gt;"",I229&lt;&gt;""),NETWORKDAYS(H229,I229),""))</f>
        <v/>
      </c>
      <c r="L229" s="13" t="inlineStr"/>
      <c r="M229" s="16" t="inlineStr"/>
      <c r="N229" s="16" t="inlineStr"/>
      <c r="O229" s="16" t="inlineStr"/>
      <c r="P229" s="16" t="inlineStr"/>
      <c r="Q229" s="16" t="inlineStr"/>
      <c r="R229" s="16" t="inlineStr"/>
      <c r="S229" s="16" t="inlineStr"/>
      <c r="T229" s="16" t="inlineStr"/>
      <c r="U229" s="16" t="inlineStr"/>
      <c r="V229" s="16" t="inlineStr"/>
      <c r="W229" s="16" t="inlineStr"/>
      <c r="X229" s="16" t="n">
        <v>5</v>
      </c>
      <c r="Y229" s="16" t="n">
        <v>5</v>
      </c>
      <c r="Z229" s="16" t="inlineStr"/>
      <c r="AA229" s="16" t="inlineStr"/>
      <c r="AB229" s="16" t="inlineStr"/>
      <c r="AC229" s="16" t="inlineStr"/>
      <c r="AD229" s="16" t="inlineStr"/>
      <c r="AE229" s="16" t="inlineStr"/>
      <c r="AF229" s="16" t="inlineStr"/>
      <c r="AG229" s="16" t="inlineStr"/>
      <c r="AH229" s="16" t="inlineStr"/>
      <c r="AI229" s="16" t="inlineStr"/>
      <c r="AJ229" s="16" t="inlineStr"/>
      <c r="AK229" s="16" t="inlineStr"/>
      <c r="AL229" s="16" t="inlineStr"/>
      <c r="AM229" s="16" t="inlineStr"/>
    </row>
    <row r="230">
      <c r="A230" s="13" t="inlineStr">
        <is>
          <t>Тарифы</t>
        </is>
      </c>
      <c r="B230" s="13" t="inlineStr">
        <is>
          <t>Флоу подключения МФ Консьерж-сервис (ЛК)</t>
        </is>
      </c>
      <c r="C230" s="13" t="inlineStr"/>
      <c r="D230" s="13" t="inlineStr"/>
      <c r="E230" s="13" t="inlineStr">
        <is>
          <t>Потребность QA</t>
        </is>
      </c>
      <c r="F230" s="13" t="inlineStr">
        <is>
          <t>QA</t>
        </is>
      </c>
      <c r="G230" s="13" t="inlineStr"/>
      <c r="H230" s="14">
        <f>IF(COUNTA(M230:AM230)=0,"",INDEX($M$1:$AM$1,AGGREGATE(15,6,(COLUMN($M$1:$AM$1)-COLUMN($M$1)+1)/(M230:AM230&lt;&gt;""),1)))</f>
        <v/>
      </c>
      <c r="I230" s="14">
        <f>IF(COUNTA(M230:AM230)=0,"",INDEX($M$1:$AM$1,AGGREGATE(14,6,(COLUMN($M$1:$AM$1)-COLUMN($M$1)+1)/(M230:AM230&lt;&gt;""),1))+MAX(0,IFERROR(LOOKUP(2,1/(M230:AM230&lt;&gt;""),M230:AM230),1)-1))</f>
        <v/>
      </c>
      <c r="J230" s="14">
        <f>IF(I230="","",WORKDAY(I230,1))</f>
        <v/>
      </c>
      <c r="K230" s="15">
        <f>IF(COUNTA(M230:AM230),SUM(M230:AM230),IF(AND(H230&lt;&gt;"",I230&lt;&gt;""),NETWORKDAYS(H230,I230),""))</f>
        <v/>
      </c>
      <c r="L230" s="13" t="inlineStr"/>
      <c r="M230" s="16" t="inlineStr"/>
      <c r="N230" s="16" t="inlineStr"/>
      <c r="O230" s="16" t="inlineStr"/>
      <c r="P230" s="16" t="inlineStr"/>
      <c r="Q230" s="16" t="inlineStr"/>
      <c r="R230" s="16" t="inlineStr"/>
      <c r="S230" s="16" t="inlineStr"/>
      <c r="T230" s="16" t="inlineStr"/>
      <c r="U230" s="16" t="inlineStr"/>
      <c r="V230" s="16" t="inlineStr"/>
      <c r="W230" s="16" t="inlineStr"/>
      <c r="X230" s="16" t="inlineStr"/>
      <c r="Y230" s="16" t="inlineStr"/>
      <c r="Z230" s="16" t="n">
        <v>3</v>
      </c>
      <c r="AA230" s="16" t="inlineStr"/>
      <c r="AB230" s="16" t="inlineStr"/>
      <c r="AC230" s="16" t="inlineStr"/>
      <c r="AD230" s="16" t="inlineStr"/>
      <c r="AE230" s="16" t="inlineStr"/>
      <c r="AF230" s="16" t="inlineStr"/>
      <c r="AG230" s="16" t="inlineStr"/>
      <c r="AH230" s="16" t="inlineStr"/>
      <c r="AI230" s="16" t="inlineStr"/>
      <c r="AJ230" s="16" t="inlineStr"/>
      <c r="AK230" s="16" t="inlineStr"/>
      <c r="AL230" s="16" t="inlineStr"/>
      <c r="AM230" s="16" t="inlineStr"/>
    </row>
    <row r="231">
      <c r="A231" s="13" t="inlineStr">
        <is>
          <t>Тарифы</t>
        </is>
      </c>
      <c r="B231" s="13" t="inlineStr">
        <is>
          <t>Консьерж сервис</t>
        </is>
      </c>
      <c r="C231" s="13" t="inlineStr"/>
      <c r="D231" s="13" t="inlineStr"/>
      <c r="E231" s="13" t="inlineStr">
        <is>
          <t>Крымов</t>
        </is>
      </c>
      <c r="F231" s="13" t="inlineStr">
        <is>
          <t>Контент</t>
        </is>
      </c>
      <c r="G231" s="13" t="inlineStr"/>
      <c r="H231" s="14">
        <f>IF(COUNTA(M231:AM231)=0,"",INDEX($M$1:$AM$1,AGGREGATE(15,6,(COLUMN($M$1:$AM$1)-COLUMN($M$1)+1)/(M231:AM231&lt;&gt;""),1)))</f>
        <v/>
      </c>
      <c r="I231" s="14">
        <f>IF(COUNTA(M231:AM231)=0,"",INDEX($M$1:$AM$1,AGGREGATE(14,6,(COLUMN($M$1:$AM$1)-COLUMN($M$1)+1)/(M231:AM231&lt;&gt;""),1))+MAX(0,IFERROR(LOOKUP(2,1/(M231:AM231&lt;&gt;""),M231:AM231),1)-1))</f>
        <v/>
      </c>
      <c r="J231" s="14">
        <f>IF(I231="","",WORKDAY(I231,1))</f>
        <v/>
      </c>
      <c r="K231" s="15">
        <f>IF(COUNTA(M231:AM231),SUM(M231:AM231),IF(AND(H231&lt;&gt;"",I231&lt;&gt;""),NETWORKDAYS(H231,I231),""))</f>
        <v/>
      </c>
      <c r="L231" s="13" t="inlineStr"/>
      <c r="M231" s="16" t="inlineStr"/>
      <c r="N231" s="16" t="inlineStr"/>
      <c r="O231" s="16" t="inlineStr"/>
      <c r="P231" s="16" t="inlineStr"/>
      <c r="Q231" s="16" t="inlineStr"/>
      <c r="R231" s="16" t="n">
        <v>1</v>
      </c>
      <c r="S231" s="16" t="inlineStr"/>
      <c r="T231" s="16" t="inlineStr"/>
      <c r="U231" s="16" t="inlineStr"/>
      <c r="V231" s="16" t="inlineStr"/>
      <c r="W231" s="16" t="inlineStr"/>
      <c r="X231" s="16" t="inlineStr"/>
      <c r="Y231" s="16" t="inlineStr"/>
      <c r="Z231" s="16" t="inlineStr"/>
      <c r="AA231" s="16" t="inlineStr"/>
      <c r="AB231" s="16" t="inlineStr"/>
      <c r="AC231" s="16" t="inlineStr"/>
      <c r="AD231" s="16" t="inlineStr"/>
      <c r="AE231" s="16" t="inlineStr"/>
      <c r="AF231" s="16" t="inlineStr"/>
      <c r="AG231" s="16" t="inlineStr"/>
      <c r="AH231" s="16" t="inlineStr"/>
      <c r="AI231" s="16" t="inlineStr"/>
      <c r="AJ231" s="16" t="inlineStr"/>
      <c r="AK231" s="16" t="inlineStr"/>
      <c r="AL231" s="16" t="inlineStr"/>
      <c r="AM231" s="16" t="inlineStr"/>
    </row>
    <row r="232">
      <c r="A232" s="13" t="inlineStr">
        <is>
          <t>Тарифы</t>
        </is>
      </c>
      <c r="B232" s="13" t="inlineStr">
        <is>
          <t>Абонементы</t>
        </is>
      </c>
      <c r="C232" s="13" t="inlineStr"/>
      <c r="D232" s="13" t="inlineStr"/>
      <c r="E232" s="13" t="inlineStr">
        <is>
          <t>Крымов</t>
        </is>
      </c>
      <c r="F232" s="13" t="inlineStr">
        <is>
          <t>Контент</t>
        </is>
      </c>
      <c r="G232" s="13" t="inlineStr"/>
      <c r="H232" s="14">
        <f>IF(COUNTA(M232:AM232)=0,"",INDEX($M$1:$AM$1,AGGREGATE(15,6,(COLUMN($M$1:$AM$1)-COLUMN($M$1)+1)/(M232:AM232&lt;&gt;""),1)))</f>
        <v/>
      </c>
      <c r="I232" s="14">
        <f>IF(COUNTA(M232:AM232)=0,"",INDEX($M$1:$AM$1,AGGREGATE(14,6,(COLUMN($M$1:$AM$1)-COLUMN($M$1)+1)/(M232:AM232&lt;&gt;""),1))+MAX(0,IFERROR(LOOKUP(2,1/(M232:AM232&lt;&gt;""),M232:AM232),1)-1))</f>
        <v/>
      </c>
      <c r="J232" s="14">
        <f>IF(I232="","",WORKDAY(I232,1))</f>
        <v/>
      </c>
      <c r="K232" s="15">
        <f>IF(COUNTA(M232:AM232),SUM(M232:AM232),IF(AND(H232&lt;&gt;"",I232&lt;&gt;""),NETWORKDAYS(H232,I232),""))</f>
        <v/>
      </c>
      <c r="L232" s="13" t="inlineStr"/>
      <c r="M232" s="16" t="inlineStr"/>
      <c r="N232" s="16" t="inlineStr"/>
      <c r="O232" s="16" t="inlineStr"/>
      <c r="P232" s="16" t="inlineStr"/>
      <c r="Q232" s="16" t="inlineStr"/>
      <c r="R232" s="16" t="inlineStr"/>
      <c r="S232" s="16" t="inlineStr"/>
      <c r="T232" s="16" t="inlineStr"/>
      <c r="U232" s="16" t="inlineStr"/>
      <c r="V232" s="16" t="inlineStr"/>
      <c r="W232" s="16" t="n">
        <v>1</v>
      </c>
      <c r="X232" s="16" t="inlineStr"/>
      <c r="Y232" s="16" t="inlineStr"/>
      <c r="Z232" s="16" t="inlineStr"/>
      <c r="AA232" s="16" t="inlineStr"/>
      <c r="AB232" s="16" t="inlineStr"/>
      <c r="AC232" s="16" t="inlineStr"/>
      <c r="AD232" s="16" t="inlineStr"/>
      <c r="AE232" s="16" t="inlineStr"/>
      <c r="AF232" s="16" t="inlineStr"/>
      <c r="AG232" s="16" t="inlineStr"/>
      <c r="AH232" s="16" t="inlineStr"/>
      <c r="AI232" s="16" t="inlineStr"/>
      <c r="AJ232" s="16" t="inlineStr"/>
      <c r="AK232" s="16" t="inlineStr"/>
      <c r="AL232" s="16" t="inlineStr"/>
      <c r="AM232" s="16" t="inlineStr"/>
    </row>
    <row r="233">
      <c r="A233" s="13" t="inlineStr">
        <is>
          <t>Тарифы</t>
        </is>
      </c>
      <c r="B233" s="13" t="inlineStr">
        <is>
          <t>Много минут</t>
        </is>
      </c>
      <c r="C233" s="13" t="inlineStr"/>
      <c r="D233" s="13" t="inlineStr"/>
      <c r="E233" s="13" t="inlineStr">
        <is>
          <t>Крымов</t>
        </is>
      </c>
      <c r="F233" s="13" t="inlineStr">
        <is>
          <t>Контент</t>
        </is>
      </c>
      <c r="G233" s="13" t="inlineStr"/>
      <c r="H233" s="14">
        <f>IF(COUNTA(M233:AM233)=0,"",INDEX($M$1:$AM$1,AGGREGATE(15,6,(COLUMN($M$1:$AM$1)-COLUMN($M$1)+1)/(M233:AM233&lt;&gt;""),1)))</f>
        <v/>
      </c>
      <c r="I233" s="14">
        <f>IF(COUNTA(M233:AM233)=0,"",INDEX($M$1:$AM$1,AGGREGATE(14,6,(COLUMN($M$1:$AM$1)-COLUMN($M$1)+1)/(M233:AM233&lt;&gt;""),1))+MAX(0,IFERROR(LOOKUP(2,1/(M233:AM233&lt;&gt;""),M233:AM233),1)-1))</f>
        <v/>
      </c>
      <c r="J233" s="14">
        <f>IF(I233="","",WORKDAY(I233,1))</f>
        <v/>
      </c>
      <c r="K233" s="15">
        <f>IF(COUNTA(M233:AM233),SUM(M233:AM233),IF(AND(H233&lt;&gt;"",I233&lt;&gt;""),NETWORKDAYS(H233,I233),""))</f>
        <v/>
      </c>
      <c r="L233" s="13" t="inlineStr"/>
      <c r="M233" s="16" t="inlineStr"/>
      <c r="N233" s="16" t="inlineStr"/>
      <c r="O233" s="16" t="inlineStr"/>
      <c r="P233" s="16" t="inlineStr"/>
      <c r="Q233" s="16" t="inlineStr"/>
      <c r="R233" s="16" t="inlineStr"/>
      <c r="S233" s="16" t="inlineStr"/>
      <c r="T233" s="16" t="inlineStr"/>
      <c r="U233" s="16" t="inlineStr"/>
      <c r="V233" s="16" t="inlineStr"/>
      <c r="W233" s="16" t="n">
        <v>1</v>
      </c>
      <c r="X233" s="16" t="inlineStr"/>
      <c r="Y233" s="16" t="inlineStr"/>
      <c r="Z233" s="16" t="inlineStr"/>
      <c r="AA233" s="16" t="inlineStr"/>
      <c r="AB233" s="16" t="inlineStr"/>
      <c r="AC233" s="16" t="inlineStr"/>
      <c r="AD233" s="16" t="inlineStr"/>
      <c r="AE233" s="16" t="inlineStr"/>
      <c r="AF233" s="16" t="inlineStr"/>
      <c r="AG233" s="16" t="inlineStr"/>
      <c r="AH233" s="16" t="inlineStr"/>
      <c r="AI233" s="16" t="inlineStr"/>
      <c r="AJ233" s="16" t="inlineStr"/>
      <c r="AK233" s="16" t="inlineStr"/>
      <c r="AL233" s="16" t="inlineStr"/>
      <c r="AM233" s="16" t="inlineStr"/>
    </row>
    <row r="234">
      <c r="A234" s="13" t="inlineStr">
        <is>
          <t>Тарифы</t>
        </is>
      </c>
      <c r="B234" s="13" t="inlineStr">
        <is>
          <t>Много СМС</t>
        </is>
      </c>
      <c r="C234" s="13" t="inlineStr"/>
      <c r="D234" s="13" t="inlineStr"/>
      <c r="E234" s="13" t="inlineStr">
        <is>
          <t>Крымов</t>
        </is>
      </c>
      <c r="F234" s="13" t="inlineStr">
        <is>
          <t>Контент</t>
        </is>
      </c>
      <c r="G234" s="13" t="inlineStr"/>
      <c r="H234" s="14">
        <f>IF(COUNTA(M234:AM234)=0,"",INDEX($M$1:$AM$1,AGGREGATE(15,6,(COLUMN($M$1:$AM$1)-COLUMN($M$1)+1)/(M234:AM234&lt;&gt;""),1)))</f>
        <v/>
      </c>
      <c r="I234" s="14">
        <f>IF(COUNTA(M234:AM234)=0,"",INDEX($M$1:$AM$1,AGGREGATE(14,6,(COLUMN($M$1:$AM$1)-COLUMN($M$1)+1)/(M234:AM234&lt;&gt;""),1))+MAX(0,IFERROR(LOOKUP(2,1/(M234:AM234&lt;&gt;""),M234:AM234),1)-1))</f>
        <v/>
      </c>
      <c r="J234" s="14">
        <f>IF(I234="","",WORKDAY(I234,1))</f>
        <v/>
      </c>
      <c r="K234" s="15">
        <f>IF(COUNTA(M234:AM234),SUM(M234:AM234),IF(AND(H234&lt;&gt;"",I234&lt;&gt;""),NETWORKDAYS(H234,I234),""))</f>
        <v/>
      </c>
      <c r="L234" s="13" t="inlineStr"/>
      <c r="M234" s="16" t="inlineStr"/>
      <c r="N234" s="16" t="inlineStr"/>
      <c r="O234" s="16" t="inlineStr"/>
      <c r="P234" s="16" t="inlineStr"/>
      <c r="Q234" s="16" t="inlineStr"/>
      <c r="R234" s="16" t="inlineStr"/>
      <c r="S234" s="16" t="inlineStr"/>
      <c r="T234" s="16" t="inlineStr"/>
      <c r="U234" s="16" t="inlineStr"/>
      <c r="V234" s="16" t="inlineStr"/>
      <c r="W234" s="16" t="n">
        <v>1</v>
      </c>
      <c r="X234" s="16" t="inlineStr"/>
      <c r="Y234" s="16" t="inlineStr"/>
      <c r="Z234" s="16" t="inlineStr"/>
      <c r="AA234" s="16" t="inlineStr"/>
      <c r="AB234" s="16" t="inlineStr"/>
      <c r="AC234" s="16" t="inlineStr"/>
      <c r="AD234" s="16" t="inlineStr"/>
      <c r="AE234" s="16" t="inlineStr"/>
      <c r="AF234" s="16" t="inlineStr"/>
      <c r="AG234" s="16" t="inlineStr"/>
      <c r="AH234" s="16" t="inlineStr"/>
      <c r="AI234" s="16" t="inlineStr"/>
      <c r="AJ234" s="16" t="inlineStr"/>
      <c r="AK234" s="16" t="inlineStr"/>
      <c r="AL234" s="16" t="inlineStr"/>
      <c r="AM234" s="16" t="inlineStr"/>
    </row>
    <row r="235">
      <c r="A235" s="13" t="inlineStr">
        <is>
          <t>Тарифы</t>
        </is>
      </c>
      <c r="B235" s="13" t="inlineStr">
        <is>
          <t>Новый экран Мой тариф (ЛК) подключенный</t>
        </is>
      </c>
      <c r="C235" s="13" t="inlineStr"/>
      <c r="D235" s="13" t="inlineStr"/>
      <c r="E235" s="13" t="inlineStr">
        <is>
          <t>Жогина Екатерина</t>
        </is>
      </c>
      <c r="F235" s="13" t="inlineStr">
        <is>
          <t>PO</t>
        </is>
      </c>
      <c r="G235" s="13" t="inlineStr"/>
      <c r="H235" s="14">
        <f>IF(COUNTA(M235:AM235)=0,"",INDEX($M$1:$AM$1,AGGREGATE(15,6,(COLUMN($M$1:$AM$1)-COLUMN($M$1)+1)/(M235:AM235&lt;&gt;""),1)))</f>
        <v/>
      </c>
      <c r="I235" s="14">
        <f>IF(COUNTA(M235:AM235)=0,"",INDEX($M$1:$AM$1,AGGREGATE(14,6,(COLUMN($M$1:$AM$1)-COLUMN($M$1)+1)/(M235:AM235&lt;&gt;""),1))+MAX(0,IFERROR(LOOKUP(2,1/(M235:AM235&lt;&gt;""),M235:AM235),1)-1))</f>
        <v/>
      </c>
      <c r="J235" s="14">
        <f>IF(I235="","",WORKDAY(I235,1))</f>
        <v/>
      </c>
      <c r="K235" s="15">
        <f>IF(COUNTA(M235:AM235),SUM(M235:AM235),IF(AND(H235&lt;&gt;"",I235&lt;&gt;""),NETWORKDAYS(H235,I235),""))</f>
        <v/>
      </c>
      <c r="L235" s="13" t="inlineStr"/>
      <c r="M235" s="16" t="inlineStr"/>
      <c r="N235" s="16" t="inlineStr"/>
      <c r="O235" s="16" t="inlineStr"/>
      <c r="P235" s="16" t="inlineStr"/>
      <c r="Q235" s="16" t="inlineStr"/>
      <c r="R235" s="16" t="inlineStr"/>
      <c r="S235" s="16" t="n">
        <v>5</v>
      </c>
      <c r="T235" s="16" t="n">
        <v>5</v>
      </c>
      <c r="U235" s="16" t="n">
        <v>5</v>
      </c>
      <c r="V235" s="16" t="n">
        <v>1</v>
      </c>
      <c r="W235" s="16" t="inlineStr"/>
      <c r="X235" s="16" t="inlineStr"/>
      <c r="Y235" s="16" t="inlineStr"/>
      <c r="Z235" s="16" t="inlineStr"/>
      <c r="AA235" s="16" t="inlineStr"/>
      <c r="AB235" s="16" t="inlineStr"/>
      <c r="AC235" s="16" t="inlineStr"/>
      <c r="AD235" s="16" t="inlineStr"/>
      <c r="AE235" s="16" t="inlineStr"/>
      <c r="AF235" s="16" t="inlineStr"/>
      <c r="AG235" s="16" t="inlineStr"/>
      <c r="AH235" s="16" t="inlineStr"/>
      <c r="AI235" s="16" t="inlineStr"/>
      <c r="AJ235" s="16" t="inlineStr"/>
      <c r="AK235" s="16" t="inlineStr"/>
      <c r="AL235" s="16" t="inlineStr"/>
      <c r="AM235" s="16" t="inlineStr"/>
    </row>
    <row r="236">
      <c r="A236" s="13" t="inlineStr">
        <is>
          <t>Тарифы</t>
        </is>
      </c>
      <c r="B236" s="13" t="inlineStr">
        <is>
          <t>Новый экран Мой тариф (ЛК) подключенный</t>
        </is>
      </c>
      <c r="C236" s="13" t="inlineStr"/>
      <c r="D236" s="13" t="inlineStr"/>
      <c r="E236" s="13" t="inlineStr">
        <is>
          <t>Калинкин</t>
        </is>
      </c>
      <c r="F236" s="13" t="inlineStr">
        <is>
          <t>Дизайн</t>
        </is>
      </c>
      <c r="G236" s="13" t="inlineStr"/>
      <c r="H236" s="14">
        <f>IF(COUNTA(M236:AM236)=0,"",INDEX($M$1:$AM$1,AGGREGATE(15,6,(COLUMN($M$1:$AM$1)-COLUMN($M$1)+1)/(M236:AM236&lt;&gt;""),1)))</f>
        <v/>
      </c>
      <c r="I236" s="14">
        <f>IF(COUNTA(M236:AM236)=0,"",INDEX($M$1:$AM$1,AGGREGATE(14,6,(COLUMN($M$1:$AM$1)-COLUMN($M$1)+1)/(M236:AM236&lt;&gt;""),1))+MAX(0,IFERROR(LOOKUP(2,1/(M236:AM236&lt;&gt;""),M236:AM236),1)-1))</f>
        <v/>
      </c>
      <c r="J236" s="14">
        <f>IF(I236="","",WORKDAY(I236,1))</f>
        <v/>
      </c>
      <c r="K236" s="15">
        <f>IF(COUNTA(M236:AM236),SUM(M236:AM236),IF(AND(H236&lt;&gt;"",I236&lt;&gt;""),NETWORKDAYS(H236,I236),""))</f>
        <v/>
      </c>
      <c r="L236" s="13" t="inlineStr"/>
      <c r="M236" s="16" t="inlineStr"/>
      <c r="N236" s="16" t="inlineStr"/>
      <c r="O236" s="16" t="inlineStr"/>
      <c r="P236" s="16" t="inlineStr"/>
      <c r="Q236" s="16" t="inlineStr"/>
      <c r="R236" s="16" t="inlineStr"/>
      <c r="S236" s="16" t="inlineStr"/>
      <c r="T236" s="16" t="inlineStr"/>
      <c r="U236" s="16" t="inlineStr"/>
      <c r="V236" s="16" t="inlineStr"/>
      <c r="W236" s="16" t="inlineStr"/>
      <c r="X236" s="16" t="inlineStr"/>
      <c r="Y236" s="16" t="inlineStr"/>
      <c r="Z236" s="16" t="inlineStr"/>
      <c r="AA236" s="16" t="n">
        <v>5</v>
      </c>
      <c r="AB236" s="16" t="n">
        <v>5</v>
      </c>
      <c r="AC236" s="16" t="n">
        <v>4</v>
      </c>
      <c r="AD236" s="16" t="inlineStr"/>
      <c r="AE236" s="16" t="inlineStr"/>
      <c r="AF236" s="16" t="inlineStr"/>
      <c r="AG236" s="16" t="inlineStr"/>
      <c r="AH236" s="16" t="inlineStr"/>
      <c r="AI236" s="16" t="inlineStr"/>
      <c r="AJ236" s="16" t="inlineStr"/>
      <c r="AK236" s="16" t="inlineStr"/>
      <c r="AL236" s="16" t="inlineStr"/>
      <c r="AM236" s="16" t="inlineStr"/>
    </row>
    <row r="237">
      <c r="A237" s="13" t="inlineStr">
        <is>
          <t>Тарифы</t>
        </is>
      </c>
      <c r="B237" s="13" t="inlineStr">
        <is>
          <t>Новый экран Мой тариф (ЛК) подключенный</t>
        </is>
      </c>
      <c r="C237" s="13" t="inlineStr"/>
      <c r="D237" s="13" t="inlineStr"/>
      <c r="E237" s="13" t="inlineStr">
        <is>
          <t>Мерзликин Антон</t>
        </is>
      </c>
      <c r="F237" s="13" t="inlineStr">
        <is>
          <t>SA</t>
        </is>
      </c>
      <c r="G237" s="13" t="inlineStr"/>
      <c r="H237" s="14">
        <f>IF(COUNTA(M237:AM237)=0,"",INDEX($M$1:$AM$1,AGGREGATE(15,6,(COLUMN($M$1:$AM$1)-COLUMN($M$1)+1)/(M237:AM237&lt;&gt;""),1)))</f>
        <v/>
      </c>
      <c r="I237" s="14">
        <f>IF(COUNTA(M237:AM237)=0,"",INDEX($M$1:$AM$1,AGGREGATE(14,6,(COLUMN($M$1:$AM$1)-COLUMN($M$1)+1)/(M237:AM237&lt;&gt;""),1))+MAX(0,IFERROR(LOOKUP(2,1/(M237:AM237&lt;&gt;""),M237:AM237),1)-1))</f>
        <v/>
      </c>
      <c r="J237" s="14">
        <f>IF(I237="","",WORKDAY(I237,1))</f>
        <v/>
      </c>
      <c r="K237" s="15">
        <f>IF(COUNTA(M237:AM237),SUM(M237:AM237),IF(AND(H237&lt;&gt;"",I237&lt;&gt;""),NETWORKDAYS(H237,I237),""))</f>
        <v/>
      </c>
      <c r="L237" s="13" t="inlineStr"/>
      <c r="M237" s="16" t="inlineStr"/>
      <c r="N237" s="16" t="inlineStr"/>
      <c r="O237" s="16" t="inlineStr"/>
      <c r="P237" s="16" t="inlineStr"/>
      <c r="Q237" s="16" t="inlineStr"/>
      <c r="R237" s="16" t="inlineStr"/>
      <c r="S237" s="16" t="inlineStr"/>
      <c r="T237" s="16" t="inlineStr"/>
      <c r="U237" s="16" t="inlineStr"/>
      <c r="V237" s="16" t="inlineStr"/>
      <c r="W237" s="16" t="inlineStr"/>
      <c r="X237" s="16" t="inlineStr"/>
      <c r="Y237" s="16" t="inlineStr"/>
      <c r="Z237" s="16" t="inlineStr"/>
      <c r="AA237" s="16" t="inlineStr"/>
      <c r="AB237" s="16" t="inlineStr"/>
      <c r="AC237" s="16" t="n">
        <v>1</v>
      </c>
      <c r="AD237" s="16" t="n">
        <v>5</v>
      </c>
      <c r="AE237" s="16" t="n">
        <v>5</v>
      </c>
      <c r="AF237" s="16" t="n">
        <v>5</v>
      </c>
      <c r="AG237" s="16" t="inlineStr"/>
      <c r="AH237" s="16" t="inlineStr"/>
      <c r="AI237" s="16" t="inlineStr"/>
      <c r="AJ237" s="16" t="inlineStr"/>
      <c r="AK237" s="16" t="inlineStr"/>
      <c r="AL237" s="16" t="inlineStr"/>
      <c r="AM237" s="16" t="inlineStr"/>
    </row>
    <row r="238">
      <c r="A238" s="13" t="inlineStr">
        <is>
          <t>Тарифы</t>
        </is>
      </c>
      <c r="B238" s="13" t="inlineStr">
        <is>
          <t>Новый экран Мой тариф (ЛК) подключенный</t>
        </is>
      </c>
      <c r="C238" s="13" t="inlineStr"/>
      <c r="D238" s="13" t="inlineStr"/>
      <c r="E238" s="13" t="inlineStr">
        <is>
          <t>Успенский Павел</t>
        </is>
      </c>
      <c r="F238" s="13" t="inlineStr">
        <is>
          <t>BE</t>
        </is>
      </c>
      <c r="G238" s="13" t="inlineStr"/>
      <c r="H238" s="14">
        <f>IF(COUNTA(M238:AM238)=0,"",INDEX($M$1:$AM$1,AGGREGATE(15,6,(COLUMN($M$1:$AM$1)-COLUMN($M$1)+1)/(M238:AM238&lt;&gt;""),1)))</f>
        <v/>
      </c>
      <c r="I238" s="14">
        <f>IF(COUNTA(M238:AM238)=0,"",INDEX($M$1:$AM$1,AGGREGATE(14,6,(COLUMN($M$1:$AM$1)-COLUMN($M$1)+1)/(M238:AM238&lt;&gt;""),1))+MAX(0,IFERROR(LOOKUP(2,1/(M238:AM238&lt;&gt;""),M238:AM238),1)-1))</f>
        <v/>
      </c>
      <c r="J238" s="14">
        <f>IF(I238="","",WORKDAY(I238,1))</f>
        <v/>
      </c>
      <c r="K238" s="15">
        <f>IF(COUNTA(M238:AM238),SUM(M238:AM238),IF(AND(H238&lt;&gt;"",I238&lt;&gt;""),NETWORKDAYS(H238,I238),""))</f>
        <v/>
      </c>
      <c r="L238" s="13" t="inlineStr"/>
      <c r="M238" s="16" t="inlineStr"/>
      <c r="N238" s="16" t="inlineStr"/>
      <c r="O238" s="16" t="inlineStr"/>
      <c r="P238" s="16" t="inlineStr"/>
      <c r="Q238" s="16" t="inlineStr"/>
      <c r="R238" s="16" t="inlineStr"/>
      <c r="S238" s="16" t="inlineStr"/>
      <c r="T238" s="16" t="inlineStr"/>
      <c r="U238" s="16" t="inlineStr"/>
      <c r="V238" s="16" t="inlineStr"/>
      <c r="W238" s="16" t="inlineStr"/>
      <c r="X238" s="16" t="inlineStr"/>
      <c r="Y238" s="16" t="inlineStr"/>
      <c r="Z238" s="16" t="inlineStr"/>
      <c r="AA238" s="16" t="inlineStr"/>
      <c r="AB238" s="16" t="inlineStr"/>
      <c r="AC238" s="16" t="inlineStr"/>
      <c r="AD238" s="16" t="inlineStr"/>
      <c r="AE238" s="16" t="inlineStr"/>
      <c r="AF238" s="16" t="inlineStr"/>
      <c r="AG238" s="16" t="n">
        <v>5</v>
      </c>
      <c r="AH238" s="16" t="inlineStr"/>
      <c r="AI238" s="16" t="inlineStr"/>
      <c r="AJ238" s="16" t="inlineStr"/>
      <c r="AK238" s="16" t="inlineStr"/>
      <c r="AL238" s="16" t="inlineStr"/>
      <c r="AM238" s="16" t="inlineStr"/>
    </row>
    <row r="239">
      <c r="A239" s="13" t="inlineStr">
        <is>
          <t>Тарифы</t>
        </is>
      </c>
      <c r="B239" s="13" t="inlineStr">
        <is>
          <t>Новый экран Мой тариф (ЛК) подключенный</t>
        </is>
      </c>
      <c r="C239" s="13" t="inlineStr"/>
      <c r="D239" s="13" t="inlineStr"/>
      <c r="E239" s="13" t="inlineStr">
        <is>
          <t>Косенко Данил</t>
        </is>
      </c>
      <c r="F239" s="13" t="inlineStr">
        <is>
          <t>FE</t>
        </is>
      </c>
      <c r="G239" s="13" t="inlineStr"/>
      <c r="H239" s="14">
        <f>IF(COUNTA(M239:AM239)=0,"",INDEX($M$1:$AM$1,AGGREGATE(15,6,(COLUMN($M$1:$AM$1)-COLUMN($M$1)+1)/(M239:AM239&lt;&gt;""),1)))</f>
        <v/>
      </c>
      <c r="I239" s="14">
        <f>IF(COUNTA(M239:AM239)=0,"",INDEX($M$1:$AM$1,AGGREGATE(14,6,(COLUMN($M$1:$AM$1)-COLUMN($M$1)+1)/(M239:AM239&lt;&gt;""),1))+MAX(0,IFERROR(LOOKUP(2,1/(M239:AM239&lt;&gt;""),M239:AM239),1)-1))</f>
        <v/>
      </c>
      <c r="J239" s="14">
        <f>IF(I239="","",WORKDAY(I239,1))</f>
        <v/>
      </c>
      <c r="K239" s="15">
        <f>IF(COUNTA(M239:AM239),SUM(M239:AM239),IF(AND(H239&lt;&gt;"",I239&lt;&gt;""),NETWORKDAYS(H239,I239),""))</f>
        <v/>
      </c>
      <c r="L239" s="13" t="inlineStr"/>
      <c r="M239" s="16" t="inlineStr"/>
      <c r="N239" s="16" t="inlineStr"/>
      <c r="O239" s="16" t="inlineStr"/>
      <c r="P239" s="16" t="inlineStr"/>
      <c r="Q239" s="16" t="inlineStr"/>
      <c r="R239" s="16" t="inlineStr"/>
      <c r="S239" s="16" t="inlineStr"/>
      <c r="T239" s="16" t="inlineStr"/>
      <c r="U239" s="16" t="inlineStr"/>
      <c r="V239" s="16" t="inlineStr"/>
      <c r="W239" s="16" t="inlineStr"/>
      <c r="X239" s="16" t="inlineStr"/>
      <c r="Y239" s="16" t="inlineStr"/>
      <c r="Z239" s="16" t="inlineStr"/>
      <c r="AA239" s="16" t="inlineStr"/>
      <c r="AB239" s="16" t="inlineStr"/>
      <c r="AC239" s="16" t="inlineStr"/>
      <c r="AD239" s="16" t="inlineStr"/>
      <c r="AE239" s="16" t="inlineStr"/>
      <c r="AF239" s="16" t="inlineStr"/>
      <c r="AG239" s="16" t="n">
        <v>5</v>
      </c>
      <c r="AH239" s="16" t="n">
        <v>5</v>
      </c>
      <c r="AI239" s="16" t="n">
        <v>5</v>
      </c>
      <c r="AJ239" s="16" t="inlineStr"/>
      <c r="AK239" s="16" t="inlineStr"/>
      <c r="AL239" s="16" t="inlineStr"/>
      <c r="AM239" s="16" t="inlineStr"/>
    </row>
    <row r="240">
      <c r="A240" s="13" t="inlineStr">
        <is>
          <t>Тарифы</t>
        </is>
      </c>
      <c r="B240" s="13" t="inlineStr">
        <is>
          <t>Новый экран Мой тариф (ЛК) подключенный</t>
        </is>
      </c>
      <c r="C240" s="13" t="inlineStr"/>
      <c r="D240" s="13" t="inlineStr"/>
      <c r="E240" s="13" t="inlineStr">
        <is>
          <t>Шлотгауэр Иван</t>
        </is>
      </c>
      <c r="F240" s="13" t="inlineStr">
        <is>
          <t>QA</t>
        </is>
      </c>
      <c r="G240" s="13" t="inlineStr"/>
      <c r="H240" s="14">
        <f>IF(COUNTA(M240:AM240)=0,"",INDEX($M$1:$AM$1,AGGREGATE(15,6,(COLUMN($M$1:$AM$1)-COLUMN($M$1)+1)/(M240:AM240&lt;&gt;""),1)))</f>
        <v/>
      </c>
      <c r="I240" s="14">
        <f>IF(COUNTA(M240:AM240)=0,"",INDEX($M$1:$AM$1,AGGREGATE(14,6,(COLUMN($M$1:$AM$1)-COLUMN($M$1)+1)/(M240:AM240&lt;&gt;""),1))+MAX(0,IFERROR(LOOKUP(2,1/(M240:AM240&lt;&gt;""),M240:AM240),1)-1))</f>
        <v/>
      </c>
      <c r="J240" s="14">
        <f>IF(I240="","",WORKDAY(I240,1))</f>
        <v/>
      </c>
      <c r="K240" s="15">
        <f>IF(COUNTA(M240:AM240),SUM(M240:AM240),IF(AND(H240&lt;&gt;"",I240&lt;&gt;""),NETWORKDAYS(H240,I240),""))</f>
        <v/>
      </c>
      <c r="L240" s="13" t="inlineStr"/>
      <c r="M240" s="16" t="inlineStr"/>
      <c r="N240" s="16" t="inlineStr"/>
      <c r="O240" s="16" t="inlineStr"/>
      <c r="P240" s="16" t="inlineStr"/>
      <c r="Q240" s="16" t="inlineStr"/>
      <c r="R240" s="16" t="inlineStr"/>
      <c r="S240" s="16" t="inlineStr"/>
      <c r="T240" s="16" t="inlineStr"/>
      <c r="U240" s="16" t="inlineStr"/>
      <c r="V240" s="16" t="inlineStr"/>
      <c r="W240" s="16" t="inlineStr"/>
      <c r="X240" s="16" t="inlineStr"/>
      <c r="Y240" s="16" t="inlineStr"/>
      <c r="Z240" s="16" t="inlineStr"/>
      <c r="AA240" s="16" t="inlineStr"/>
      <c r="AB240" s="16" t="inlineStr"/>
      <c r="AC240" s="16" t="inlineStr"/>
      <c r="AD240" s="16" t="inlineStr"/>
      <c r="AE240" s="16" t="inlineStr"/>
      <c r="AF240" s="16" t="inlineStr"/>
      <c r="AG240" s="16" t="inlineStr"/>
      <c r="AH240" s="16" t="n">
        <v>5</v>
      </c>
      <c r="AI240" s="16" t="n">
        <v>3</v>
      </c>
      <c r="AJ240" s="16" t="n">
        <v>5</v>
      </c>
      <c r="AK240" s="16" t="n">
        <v>2</v>
      </c>
      <c r="AL240" s="16" t="inlineStr"/>
      <c r="AM240" s="16" t="inlineStr"/>
    </row>
    <row r="241">
      <c r="A241" s="13" t="inlineStr">
        <is>
          <t>Тарифы</t>
        </is>
      </c>
      <c r="B241" s="13" t="inlineStr">
        <is>
          <t>Другие проекты</t>
        </is>
      </c>
      <c r="C241" s="13" t="inlineStr"/>
      <c r="D241" s="13" t="inlineStr"/>
      <c r="E241" s="13" t="inlineStr">
        <is>
          <t>Мерзликин Антон</t>
        </is>
      </c>
      <c r="F241" s="13" t="inlineStr">
        <is>
          <t>SA</t>
        </is>
      </c>
      <c r="G241" s="13" t="inlineStr"/>
      <c r="H241" s="14">
        <f>IF(COUNTA(M241:AM241)=0,"",INDEX($M$1:$AM$1,AGGREGATE(15,6,(COLUMN($M$1:$AM$1)-COLUMN($M$1)+1)/(M241:AM241&lt;&gt;""),1)))</f>
        <v/>
      </c>
      <c r="I241" s="14">
        <f>IF(COUNTA(M241:AM241)=0,"",INDEX($M$1:$AM$1,AGGREGATE(14,6,(COLUMN($M$1:$AM$1)-COLUMN($M$1)+1)/(M241:AM241&lt;&gt;""),1))+MAX(0,IFERROR(LOOKUP(2,1/(M241:AM241&lt;&gt;""),M241:AM241),1)-1))</f>
        <v/>
      </c>
      <c r="J241" s="14">
        <f>IF(I241="","",WORKDAY(I241,1))</f>
        <v/>
      </c>
      <c r="K241" s="15">
        <f>IF(COUNTA(M241:AM241),SUM(M241:AM241),IF(AND(H241&lt;&gt;"",I241&lt;&gt;""),NETWORKDAYS(H241,I241),""))</f>
        <v/>
      </c>
      <c r="L241" s="13" t="inlineStr"/>
      <c r="M241" s="16" t="inlineStr"/>
      <c r="N241" s="16" t="inlineStr"/>
      <c r="O241" s="16" t="inlineStr"/>
      <c r="P241" s="16" t="inlineStr"/>
      <c r="Q241" s="16" t="inlineStr"/>
      <c r="R241" s="16" t="inlineStr"/>
      <c r="S241" s="16" t="inlineStr"/>
      <c r="T241" s="16" t="n">
        <v>5</v>
      </c>
      <c r="U241" s="16" t="inlineStr"/>
      <c r="V241" s="16" t="inlineStr"/>
      <c r="W241" s="16" t="inlineStr"/>
      <c r="X241" s="16" t="inlineStr"/>
      <c r="Y241" s="16" t="inlineStr"/>
      <c r="Z241" s="16" t="inlineStr"/>
      <c r="AA241" s="16" t="inlineStr"/>
      <c r="AB241" s="16" t="inlineStr"/>
      <c r="AC241" s="16" t="inlineStr"/>
      <c r="AD241" s="16" t="inlineStr"/>
      <c r="AE241" s="16" t="inlineStr"/>
      <c r="AF241" s="16" t="inlineStr"/>
      <c r="AG241" s="16" t="inlineStr"/>
      <c r="AH241" s="16" t="inlineStr"/>
      <c r="AI241" s="16" t="inlineStr"/>
      <c r="AJ241" s="16" t="inlineStr"/>
      <c r="AK241" s="16" t="inlineStr"/>
      <c r="AL241" s="16" t="inlineStr"/>
      <c r="AM241" s="16" t="inlineStr"/>
    </row>
    <row r="242">
      <c r="A242" s="13" t="inlineStr"/>
      <c r="B242" s="13" t="inlineStr"/>
      <c r="C242" s="13" t="inlineStr"/>
      <c r="D242" s="13" t="inlineStr"/>
      <c r="E242" s="13" t="inlineStr"/>
      <c r="F242" s="13" t="inlineStr"/>
      <c r="G242" s="13" t="inlineStr"/>
      <c r="H242" s="14">
        <f>IF(COUNTA(M242:AM242)=0,"",INDEX($M$1:$AM$1,AGGREGATE(15,6,(COLUMN($M$1:$AM$1)-COLUMN($M$1)+1)/(M242:AM242&lt;&gt;""),1)))</f>
        <v/>
      </c>
      <c r="I242" s="14">
        <f>IF(COUNTA(M242:AM242)=0,"",INDEX($M$1:$AM$1,AGGREGATE(14,6,(COLUMN($M$1:$AM$1)-COLUMN($M$1)+1)/(M242:AM242&lt;&gt;""),1))+MAX(0,IFERROR(LOOKUP(2,1/(M242:AM242&lt;&gt;""),M242:AM242),1)-1))</f>
        <v/>
      </c>
      <c r="J242" s="14">
        <f>IF(I242="","",WORKDAY(I242,1))</f>
        <v/>
      </c>
      <c r="K242" s="15">
        <f>IF(COUNTA(M242:AM242),SUM(M242:AM242),IF(AND(H242&lt;&gt;"",I242&lt;&gt;""),NETWORKDAYS(H242,I242),""))</f>
        <v/>
      </c>
      <c r="L242" s="13" t="inlineStr"/>
      <c r="M242" s="16" t="inlineStr"/>
      <c r="N242" s="16" t="inlineStr"/>
      <c r="O242" s="16" t="inlineStr"/>
      <c r="P242" s="16" t="inlineStr"/>
      <c r="Q242" s="16" t="inlineStr"/>
      <c r="R242" s="16" t="inlineStr"/>
      <c r="S242" s="16" t="inlineStr"/>
      <c r="T242" s="16" t="inlineStr"/>
      <c r="U242" s="16" t="inlineStr"/>
      <c r="V242" s="16" t="inlineStr"/>
      <c r="W242" s="16" t="inlineStr"/>
      <c r="X242" s="16" t="inlineStr"/>
      <c r="Y242" s="16" t="inlineStr"/>
      <c r="Z242" s="16" t="inlineStr"/>
      <c r="AA242" s="16" t="inlineStr"/>
      <c r="AB242" s="16" t="inlineStr"/>
      <c r="AC242" s="16" t="inlineStr"/>
      <c r="AD242" s="16" t="inlineStr"/>
      <c r="AE242" s="16" t="inlineStr"/>
      <c r="AF242" s="16" t="inlineStr"/>
      <c r="AG242" s="16" t="inlineStr"/>
      <c r="AH242" s="16" t="inlineStr"/>
      <c r="AI242" s="16" t="inlineStr"/>
      <c r="AJ242" s="16" t="inlineStr"/>
      <c r="AK242" s="16" t="inlineStr"/>
      <c r="AL242" s="16" t="inlineStr"/>
      <c r="AM242" s="16" t="inlineStr"/>
    </row>
    <row r="243">
      <c r="A243" s="13" t="inlineStr"/>
      <c r="B243" s="13" t="inlineStr"/>
      <c r="C243" s="13" t="inlineStr"/>
      <c r="D243" s="13" t="inlineStr"/>
      <c r="E243" s="13" t="inlineStr"/>
      <c r="F243" s="13" t="inlineStr"/>
      <c r="G243" s="13" t="inlineStr"/>
      <c r="H243" s="14">
        <f>IF(COUNTA(M243:AM243)=0,"",INDEX($M$1:$AM$1,AGGREGATE(15,6,(COLUMN($M$1:$AM$1)-COLUMN($M$1)+1)/(M243:AM243&lt;&gt;""),1)))</f>
        <v/>
      </c>
      <c r="I243" s="14">
        <f>IF(COUNTA(M243:AM243)=0,"",INDEX($M$1:$AM$1,AGGREGATE(14,6,(COLUMN($M$1:$AM$1)-COLUMN($M$1)+1)/(M243:AM243&lt;&gt;""),1))+MAX(0,IFERROR(LOOKUP(2,1/(M243:AM243&lt;&gt;""),M243:AM243),1)-1))</f>
        <v/>
      </c>
      <c r="J243" s="14">
        <f>IF(I243="","",WORKDAY(I243,1))</f>
        <v/>
      </c>
      <c r="K243" s="15">
        <f>IF(COUNTA(M243:AM243),SUM(M243:AM243),IF(AND(H243&lt;&gt;"",I243&lt;&gt;""),NETWORKDAYS(H243,I243),""))</f>
        <v/>
      </c>
      <c r="L243" s="13" t="inlineStr"/>
      <c r="M243" s="16" t="inlineStr"/>
      <c r="N243" s="16" t="inlineStr"/>
      <c r="O243" s="16" t="inlineStr"/>
      <c r="P243" s="16" t="inlineStr"/>
      <c r="Q243" s="16" t="inlineStr"/>
      <c r="R243" s="16" t="inlineStr"/>
      <c r="S243" s="16" t="inlineStr"/>
      <c r="T243" s="16" t="inlineStr"/>
      <c r="U243" s="16" t="inlineStr"/>
      <c r="V243" s="16" t="inlineStr"/>
      <c r="W243" s="16" t="inlineStr"/>
      <c r="X243" s="16" t="inlineStr"/>
      <c r="Y243" s="16" t="inlineStr"/>
      <c r="Z243" s="16" t="inlineStr"/>
      <c r="AA243" s="16" t="inlineStr"/>
      <c r="AB243" s="16" t="inlineStr"/>
      <c r="AC243" s="16" t="inlineStr"/>
      <c r="AD243" s="16" t="inlineStr"/>
      <c r="AE243" s="16" t="inlineStr"/>
      <c r="AF243" s="16" t="inlineStr"/>
      <c r="AG243" s="16" t="inlineStr"/>
      <c r="AH243" s="16" t="inlineStr"/>
      <c r="AI243" s="16" t="inlineStr"/>
      <c r="AJ243" s="16" t="inlineStr"/>
      <c r="AK243" s="16" t="inlineStr"/>
      <c r="AL243" s="16" t="inlineStr"/>
      <c r="AM243" s="16" t="inlineStr"/>
    </row>
    <row r="244">
      <c r="A244" s="13" t="inlineStr"/>
      <c r="B244" s="13" t="inlineStr"/>
      <c r="C244" s="13" t="inlineStr"/>
      <c r="D244" s="13" t="inlineStr"/>
      <c r="E244" s="13" t="inlineStr"/>
      <c r="F244" s="13" t="inlineStr"/>
      <c r="G244" s="13" t="inlineStr"/>
      <c r="H244" s="14">
        <f>IF(COUNTA(M244:AM244)=0,"",INDEX($M$1:$AM$1,AGGREGATE(15,6,(COLUMN($M$1:$AM$1)-COLUMN($M$1)+1)/(M244:AM244&lt;&gt;""),1)))</f>
        <v/>
      </c>
      <c r="I244" s="14">
        <f>IF(COUNTA(M244:AM244)=0,"",INDEX($M$1:$AM$1,AGGREGATE(14,6,(COLUMN($M$1:$AM$1)-COLUMN($M$1)+1)/(M244:AM244&lt;&gt;""),1))+MAX(0,IFERROR(LOOKUP(2,1/(M244:AM244&lt;&gt;""),M244:AM244),1)-1))</f>
        <v/>
      </c>
      <c r="J244" s="14">
        <f>IF(I244="","",WORKDAY(I244,1))</f>
        <v/>
      </c>
      <c r="K244" s="15">
        <f>IF(COUNTA(M244:AM244),SUM(M244:AM244),IF(AND(H244&lt;&gt;"",I244&lt;&gt;""),NETWORKDAYS(H244,I244),""))</f>
        <v/>
      </c>
      <c r="L244" s="13" t="inlineStr"/>
      <c r="M244" s="16" t="inlineStr"/>
      <c r="N244" s="16" t="inlineStr"/>
      <c r="O244" s="16" t="inlineStr"/>
      <c r="P244" s="16" t="inlineStr"/>
      <c r="Q244" s="16" t="inlineStr"/>
      <c r="R244" s="16" t="inlineStr"/>
      <c r="S244" s="16" t="inlineStr"/>
      <c r="T244" s="16" t="inlineStr"/>
      <c r="U244" s="16" t="inlineStr"/>
      <c r="V244" s="16" t="inlineStr"/>
      <c r="W244" s="16" t="inlineStr"/>
      <c r="X244" s="16" t="inlineStr"/>
      <c r="Y244" s="16" t="inlineStr"/>
      <c r="Z244" s="16" t="inlineStr"/>
      <c r="AA244" s="16" t="inlineStr"/>
      <c r="AB244" s="16" t="inlineStr"/>
      <c r="AC244" s="16" t="inlineStr"/>
      <c r="AD244" s="16" t="inlineStr"/>
      <c r="AE244" s="16" t="inlineStr"/>
      <c r="AF244" s="16" t="inlineStr"/>
      <c r="AG244" s="16" t="inlineStr"/>
      <c r="AH244" s="16" t="inlineStr"/>
      <c r="AI244" s="16" t="inlineStr"/>
      <c r="AJ244" s="16" t="inlineStr"/>
      <c r="AK244" s="16" t="inlineStr"/>
      <c r="AL244" s="16" t="inlineStr"/>
      <c r="AM244" s="16" t="inlineStr"/>
    </row>
    <row r="245">
      <c r="A245" s="13" t="inlineStr"/>
      <c r="B245" s="13" t="inlineStr"/>
      <c r="C245" s="13" t="inlineStr"/>
      <c r="D245" s="13" t="inlineStr"/>
      <c r="E245" s="13" t="inlineStr"/>
      <c r="F245" s="13" t="inlineStr"/>
      <c r="G245" s="13" t="inlineStr"/>
      <c r="H245" s="14">
        <f>IF(COUNTA(M245:AM245)=0,"",INDEX($M$1:$AM$1,AGGREGATE(15,6,(COLUMN($M$1:$AM$1)-COLUMN($M$1)+1)/(M245:AM245&lt;&gt;""),1)))</f>
        <v/>
      </c>
      <c r="I245" s="14">
        <f>IF(COUNTA(M245:AM245)=0,"",INDEX($M$1:$AM$1,AGGREGATE(14,6,(COLUMN($M$1:$AM$1)-COLUMN($M$1)+1)/(M245:AM245&lt;&gt;""),1))+MAX(0,IFERROR(LOOKUP(2,1/(M245:AM245&lt;&gt;""),M245:AM245),1)-1))</f>
        <v/>
      </c>
      <c r="J245" s="14">
        <f>IF(I245="","",WORKDAY(I245,1))</f>
        <v/>
      </c>
      <c r="K245" s="15">
        <f>IF(COUNTA(M245:AM245),SUM(M245:AM245),IF(AND(H245&lt;&gt;"",I245&lt;&gt;""),NETWORKDAYS(H245,I245),""))</f>
        <v/>
      </c>
      <c r="L245" s="13" t="inlineStr"/>
      <c r="M245" s="16" t="inlineStr"/>
      <c r="N245" s="16" t="inlineStr"/>
      <c r="O245" s="16" t="inlineStr"/>
      <c r="P245" s="16" t="inlineStr"/>
      <c r="Q245" s="16" t="inlineStr"/>
      <c r="R245" s="16" t="inlineStr"/>
      <c r="S245" s="16" t="inlineStr"/>
      <c r="T245" s="16" t="inlineStr"/>
      <c r="U245" s="16" t="inlineStr"/>
      <c r="V245" s="16" t="inlineStr"/>
      <c r="W245" s="16" t="inlineStr"/>
      <c r="X245" s="16" t="inlineStr"/>
      <c r="Y245" s="16" t="inlineStr"/>
      <c r="Z245" s="16" t="inlineStr"/>
      <c r="AA245" s="16" t="inlineStr"/>
      <c r="AB245" s="16" t="inlineStr"/>
      <c r="AC245" s="16" t="inlineStr"/>
      <c r="AD245" s="16" t="inlineStr"/>
      <c r="AE245" s="16" t="inlineStr"/>
      <c r="AF245" s="16" t="inlineStr"/>
      <c r="AG245" s="16" t="inlineStr"/>
      <c r="AH245" s="16" t="inlineStr"/>
      <c r="AI245" s="16" t="inlineStr"/>
      <c r="AJ245" s="16" t="inlineStr"/>
      <c r="AK245" s="16" t="inlineStr"/>
      <c r="AL245" s="16" t="inlineStr"/>
      <c r="AM245" s="16" t="inlineStr"/>
    </row>
    <row r="246">
      <c r="A246" s="13" t="inlineStr"/>
      <c r="B246" s="13" t="inlineStr"/>
      <c r="C246" s="13" t="inlineStr"/>
      <c r="D246" s="13" t="inlineStr"/>
      <c r="E246" s="13" t="inlineStr"/>
      <c r="F246" s="13" t="inlineStr"/>
      <c r="G246" s="13" t="inlineStr"/>
      <c r="H246" s="14">
        <f>IF(COUNTA(M246:AM246)=0,"",INDEX($M$1:$AM$1,AGGREGATE(15,6,(COLUMN($M$1:$AM$1)-COLUMN($M$1)+1)/(M246:AM246&lt;&gt;""),1)))</f>
        <v/>
      </c>
      <c r="I246" s="14">
        <f>IF(COUNTA(M246:AM246)=0,"",INDEX($M$1:$AM$1,AGGREGATE(14,6,(COLUMN($M$1:$AM$1)-COLUMN($M$1)+1)/(M246:AM246&lt;&gt;""),1))+MAX(0,IFERROR(LOOKUP(2,1/(M246:AM246&lt;&gt;""),M246:AM246),1)-1))</f>
        <v/>
      </c>
      <c r="J246" s="14">
        <f>IF(I246="","",WORKDAY(I246,1))</f>
        <v/>
      </c>
      <c r="K246" s="15">
        <f>IF(COUNTA(M246:AM246),SUM(M246:AM246),IF(AND(H246&lt;&gt;"",I246&lt;&gt;""),NETWORKDAYS(H246,I246),""))</f>
        <v/>
      </c>
      <c r="L246" s="13" t="inlineStr"/>
      <c r="M246" s="16" t="inlineStr"/>
      <c r="N246" s="16" t="inlineStr"/>
      <c r="O246" s="16" t="inlineStr"/>
      <c r="P246" s="16" t="inlineStr"/>
      <c r="Q246" s="16" t="inlineStr"/>
      <c r="R246" s="16" t="inlineStr"/>
      <c r="S246" s="16" t="inlineStr"/>
      <c r="T246" s="16" t="inlineStr"/>
      <c r="U246" s="16" t="inlineStr"/>
      <c r="V246" s="16" t="inlineStr"/>
      <c r="W246" s="16" t="inlineStr"/>
      <c r="X246" s="16" t="inlineStr"/>
      <c r="Y246" s="16" t="inlineStr"/>
      <c r="Z246" s="16" t="inlineStr"/>
      <c r="AA246" s="16" t="inlineStr"/>
      <c r="AB246" s="16" t="inlineStr"/>
      <c r="AC246" s="16" t="inlineStr"/>
      <c r="AD246" s="16" t="inlineStr"/>
      <c r="AE246" s="16" t="inlineStr"/>
      <c r="AF246" s="16" t="inlineStr"/>
      <c r="AG246" s="16" t="inlineStr"/>
      <c r="AH246" s="16" t="inlineStr"/>
      <c r="AI246" s="16" t="inlineStr"/>
      <c r="AJ246" s="16" t="inlineStr"/>
      <c r="AK246" s="16" t="inlineStr"/>
      <c r="AL246" s="16" t="inlineStr"/>
      <c r="AM246" s="16" t="inlineStr"/>
    </row>
    <row r="247">
      <c r="A247" s="13" t="inlineStr"/>
      <c r="B247" s="13" t="inlineStr"/>
      <c r="C247" s="13" t="inlineStr"/>
      <c r="D247" s="13" t="inlineStr"/>
      <c r="E247" s="13" t="inlineStr"/>
      <c r="F247" s="13" t="inlineStr"/>
      <c r="G247" s="13" t="inlineStr"/>
      <c r="H247" s="14">
        <f>IF(COUNTA(M247:AM247)=0,"",INDEX($M$1:$AM$1,AGGREGATE(15,6,(COLUMN($M$1:$AM$1)-COLUMN($M$1)+1)/(M247:AM247&lt;&gt;""),1)))</f>
        <v/>
      </c>
      <c r="I247" s="14">
        <f>IF(COUNTA(M247:AM247)=0,"",INDEX($M$1:$AM$1,AGGREGATE(14,6,(COLUMN($M$1:$AM$1)-COLUMN($M$1)+1)/(M247:AM247&lt;&gt;""),1))+MAX(0,IFERROR(LOOKUP(2,1/(M247:AM247&lt;&gt;""),M247:AM247),1)-1))</f>
        <v/>
      </c>
      <c r="J247" s="14">
        <f>IF(I247="","",WORKDAY(I247,1))</f>
        <v/>
      </c>
      <c r="K247" s="15">
        <f>IF(COUNTA(M247:AM247),SUM(M247:AM247),IF(AND(H247&lt;&gt;"",I247&lt;&gt;""),NETWORKDAYS(H247,I247),""))</f>
        <v/>
      </c>
      <c r="L247" s="13" t="inlineStr"/>
      <c r="M247" s="16" t="inlineStr"/>
      <c r="N247" s="16" t="inlineStr"/>
      <c r="O247" s="16" t="inlineStr"/>
      <c r="P247" s="16" t="inlineStr"/>
      <c r="Q247" s="16" t="inlineStr"/>
      <c r="R247" s="16" t="inlineStr"/>
      <c r="S247" s="16" t="inlineStr"/>
      <c r="T247" s="16" t="inlineStr"/>
      <c r="U247" s="16" t="inlineStr"/>
      <c r="V247" s="16" t="inlineStr"/>
      <c r="W247" s="16" t="inlineStr"/>
      <c r="X247" s="16" t="inlineStr"/>
      <c r="Y247" s="16" t="inlineStr"/>
      <c r="Z247" s="16" t="inlineStr"/>
      <c r="AA247" s="16" t="inlineStr"/>
      <c r="AB247" s="16" t="inlineStr"/>
      <c r="AC247" s="16" t="inlineStr"/>
      <c r="AD247" s="16" t="inlineStr"/>
      <c r="AE247" s="16" t="inlineStr"/>
      <c r="AF247" s="16" t="inlineStr"/>
      <c r="AG247" s="16" t="inlineStr"/>
      <c r="AH247" s="16" t="inlineStr"/>
      <c r="AI247" s="16" t="inlineStr"/>
      <c r="AJ247" s="16" t="inlineStr"/>
      <c r="AK247" s="16" t="inlineStr"/>
      <c r="AL247" s="16" t="inlineStr"/>
      <c r="AM247" s="16" t="inlineStr"/>
    </row>
    <row r="248">
      <c r="A248" s="13" t="inlineStr"/>
      <c r="B248" s="13" t="inlineStr"/>
      <c r="C248" s="13" t="inlineStr"/>
      <c r="D248" s="13" t="inlineStr"/>
      <c r="E248" s="13" t="inlineStr"/>
      <c r="F248" s="13" t="inlineStr"/>
      <c r="G248" s="13" t="inlineStr"/>
      <c r="H248" s="14">
        <f>IF(COUNTA(M248:AM248)=0,"",INDEX($M$1:$AM$1,AGGREGATE(15,6,(COLUMN($M$1:$AM$1)-COLUMN($M$1)+1)/(M248:AM248&lt;&gt;""),1)))</f>
        <v/>
      </c>
      <c r="I248" s="14">
        <f>IF(COUNTA(M248:AM248)=0,"",INDEX($M$1:$AM$1,AGGREGATE(14,6,(COLUMN($M$1:$AM$1)-COLUMN($M$1)+1)/(M248:AM248&lt;&gt;""),1))+MAX(0,IFERROR(LOOKUP(2,1/(M248:AM248&lt;&gt;""),M248:AM248),1)-1))</f>
        <v/>
      </c>
      <c r="J248" s="14">
        <f>IF(I248="","",WORKDAY(I248,1))</f>
        <v/>
      </c>
      <c r="K248" s="15">
        <f>IF(COUNTA(M248:AM248),SUM(M248:AM248),IF(AND(H248&lt;&gt;"",I248&lt;&gt;""),NETWORKDAYS(H248,I248),""))</f>
        <v/>
      </c>
      <c r="L248" s="13" t="inlineStr"/>
      <c r="M248" s="16" t="inlineStr"/>
      <c r="N248" s="16" t="inlineStr"/>
      <c r="O248" s="16" t="inlineStr"/>
      <c r="P248" s="16" t="inlineStr"/>
      <c r="Q248" s="16" t="inlineStr"/>
      <c r="R248" s="16" t="inlineStr"/>
      <c r="S248" s="16" t="inlineStr"/>
      <c r="T248" s="16" t="inlineStr"/>
      <c r="U248" s="16" t="inlineStr"/>
      <c r="V248" s="16" t="inlineStr"/>
      <c r="W248" s="16" t="inlineStr"/>
      <c r="X248" s="16" t="inlineStr"/>
      <c r="Y248" s="16" t="inlineStr"/>
      <c r="Z248" s="16" t="inlineStr"/>
      <c r="AA248" s="16" t="inlineStr"/>
      <c r="AB248" s="16" t="inlineStr"/>
      <c r="AC248" s="16" t="inlineStr"/>
      <c r="AD248" s="16" t="inlineStr"/>
      <c r="AE248" s="16" t="inlineStr"/>
      <c r="AF248" s="16" t="inlineStr"/>
      <c r="AG248" s="16" t="inlineStr"/>
      <c r="AH248" s="16" t="inlineStr"/>
      <c r="AI248" s="16" t="inlineStr"/>
      <c r="AJ248" s="16" t="inlineStr"/>
      <c r="AK248" s="16" t="inlineStr"/>
      <c r="AL248" s="16" t="inlineStr"/>
      <c r="AM248" s="16" t="inlineStr"/>
    </row>
    <row r="249">
      <c r="A249" s="13" t="inlineStr"/>
      <c r="B249" s="13" t="inlineStr"/>
      <c r="C249" s="13" t="inlineStr"/>
      <c r="D249" s="13" t="inlineStr"/>
      <c r="E249" s="13" t="inlineStr"/>
      <c r="F249" s="13" t="inlineStr"/>
      <c r="G249" s="13" t="inlineStr"/>
      <c r="H249" s="14">
        <f>IF(COUNTA(M249:AM249)=0,"",INDEX($M$1:$AM$1,AGGREGATE(15,6,(COLUMN($M$1:$AM$1)-COLUMN($M$1)+1)/(M249:AM249&lt;&gt;""),1)))</f>
        <v/>
      </c>
      <c r="I249" s="14">
        <f>IF(COUNTA(M249:AM249)=0,"",INDEX($M$1:$AM$1,AGGREGATE(14,6,(COLUMN($M$1:$AM$1)-COLUMN($M$1)+1)/(M249:AM249&lt;&gt;""),1))+MAX(0,IFERROR(LOOKUP(2,1/(M249:AM249&lt;&gt;""),M249:AM249),1)-1))</f>
        <v/>
      </c>
      <c r="J249" s="14">
        <f>IF(I249="","",WORKDAY(I249,1))</f>
        <v/>
      </c>
      <c r="K249" s="15">
        <f>IF(COUNTA(M249:AM249),SUM(M249:AM249),IF(AND(H249&lt;&gt;"",I249&lt;&gt;""),NETWORKDAYS(H249,I249),""))</f>
        <v/>
      </c>
      <c r="L249" s="13" t="inlineStr"/>
      <c r="M249" s="16" t="inlineStr"/>
      <c r="N249" s="16" t="inlineStr"/>
      <c r="O249" s="16" t="inlineStr"/>
      <c r="P249" s="16" t="inlineStr"/>
      <c r="Q249" s="16" t="inlineStr"/>
      <c r="R249" s="16" t="inlineStr"/>
      <c r="S249" s="16" t="inlineStr"/>
      <c r="T249" s="16" t="inlineStr"/>
      <c r="U249" s="16" t="inlineStr"/>
      <c r="V249" s="16" t="inlineStr"/>
      <c r="W249" s="16" t="inlineStr"/>
      <c r="X249" s="16" t="inlineStr"/>
      <c r="Y249" s="16" t="inlineStr"/>
      <c r="Z249" s="16" t="inlineStr"/>
      <c r="AA249" s="16" t="inlineStr"/>
      <c r="AB249" s="16" t="inlineStr"/>
      <c r="AC249" s="16" t="inlineStr"/>
      <c r="AD249" s="16" t="inlineStr"/>
      <c r="AE249" s="16" t="inlineStr"/>
      <c r="AF249" s="16" t="inlineStr"/>
      <c r="AG249" s="16" t="inlineStr"/>
      <c r="AH249" s="16" t="inlineStr"/>
      <c r="AI249" s="16" t="inlineStr"/>
      <c r="AJ249" s="16" t="inlineStr"/>
      <c r="AK249" s="16" t="inlineStr"/>
      <c r="AL249" s="16" t="inlineStr"/>
      <c r="AM249" s="16" t="inlineStr"/>
    </row>
    <row r="250">
      <c r="A250" s="13" t="inlineStr"/>
      <c r="B250" s="13" t="inlineStr"/>
      <c r="C250" s="13" t="inlineStr"/>
      <c r="D250" s="13" t="inlineStr"/>
      <c r="E250" s="13" t="inlineStr"/>
      <c r="F250" s="13" t="inlineStr"/>
      <c r="G250" s="13" t="inlineStr"/>
      <c r="H250" s="14">
        <f>IF(COUNTA(M250:AM250)=0,"",INDEX($M$1:$AM$1,AGGREGATE(15,6,(COLUMN($M$1:$AM$1)-COLUMN($M$1)+1)/(M250:AM250&lt;&gt;""),1)))</f>
        <v/>
      </c>
      <c r="I250" s="14">
        <f>IF(COUNTA(M250:AM250)=0,"",INDEX($M$1:$AM$1,AGGREGATE(14,6,(COLUMN($M$1:$AM$1)-COLUMN($M$1)+1)/(M250:AM250&lt;&gt;""),1))+MAX(0,IFERROR(LOOKUP(2,1/(M250:AM250&lt;&gt;""),M250:AM250),1)-1))</f>
        <v/>
      </c>
      <c r="J250" s="14">
        <f>IF(I250="","",WORKDAY(I250,1))</f>
        <v/>
      </c>
      <c r="K250" s="15">
        <f>IF(COUNTA(M250:AM250),SUM(M250:AM250),IF(AND(H250&lt;&gt;"",I250&lt;&gt;""),NETWORKDAYS(H250,I250),""))</f>
        <v/>
      </c>
      <c r="L250" s="13" t="inlineStr"/>
      <c r="M250" s="16" t="inlineStr"/>
      <c r="N250" s="16" t="inlineStr"/>
      <c r="O250" s="16" t="inlineStr"/>
      <c r="P250" s="16" t="inlineStr"/>
      <c r="Q250" s="16" t="inlineStr"/>
      <c r="R250" s="16" t="inlineStr"/>
      <c r="S250" s="16" t="inlineStr"/>
      <c r="T250" s="16" t="inlineStr"/>
      <c r="U250" s="16" t="inlineStr"/>
      <c r="V250" s="16" t="inlineStr"/>
      <c r="W250" s="16" t="inlineStr"/>
      <c r="X250" s="16" t="inlineStr"/>
      <c r="Y250" s="16" t="inlineStr"/>
      <c r="Z250" s="16" t="inlineStr"/>
      <c r="AA250" s="16" t="inlineStr"/>
      <c r="AB250" s="16" t="inlineStr"/>
      <c r="AC250" s="16" t="inlineStr"/>
      <c r="AD250" s="16" t="inlineStr"/>
      <c r="AE250" s="16" t="inlineStr"/>
      <c r="AF250" s="16" t="inlineStr"/>
      <c r="AG250" s="16" t="inlineStr"/>
      <c r="AH250" s="16" t="inlineStr"/>
      <c r="AI250" s="16" t="inlineStr"/>
      <c r="AJ250" s="16" t="inlineStr"/>
      <c r="AK250" s="16" t="inlineStr"/>
      <c r="AL250" s="16" t="inlineStr"/>
      <c r="AM250" s="16" t="inlineStr"/>
    </row>
    <row r="251">
      <c r="A251" s="13" t="inlineStr"/>
      <c r="B251" s="13" t="inlineStr"/>
      <c r="C251" s="13" t="inlineStr"/>
      <c r="D251" s="13" t="inlineStr"/>
      <c r="E251" s="13" t="inlineStr"/>
      <c r="F251" s="13" t="inlineStr"/>
      <c r="G251" s="13" t="inlineStr"/>
      <c r="H251" s="14">
        <f>IF(COUNTA(M251:AM251)=0,"",INDEX($M$1:$AM$1,AGGREGATE(15,6,(COLUMN($M$1:$AM$1)-COLUMN($M$1)+1)/(M251:AM251&lt;&gt;""),1)))</f>
        <v/>
      </c>
      <c r="I251" s="14">
        <f>IF(COUNTA(M251:AM251)=0,"",INDEX($M$1:$AM$1,AGGREGATE(14,6,(COLUMN($M$1:$AM$1)-COLUMN($M$1)+1)/(M251:AM251&lt;&gt;""),1))+MAX(0,IFERROR(LOOKUP(2,1/(M251:AM251&lt;&gt;""),M251:AM251),1)-1))</f>
        <v/>
      </c>
      <c r="J251" s="14">
        <f>IF(I251="","",WORKDAY(I251,1))</f>
        <v/>
      </c>
      <c r="K251" s="15">
        <f>IF(COUNTA(M251:AM251),SUM(M251:AM251),IF(AND(H251&lt;&gt;"",I251&lt;&gt;""),NETWORKDAYS(H251,I251),""))</f>
        <v/>
      </c>
      <c r="L251" s="13" t="inlineStr"/>
      <c r="M251" s="16" t="inlineStr"/>
      <c r="N251" s="16" t="inlineStr"/>
      <c r="O251" s="16" t="inlineStr"/>
      <c r="P251" s="16" t="inlineStr"/>
      <c r="Q251" s="16" t="inlineStr"/>
      <c r="R251" s="16" t="inlineStr"/>
      <c r="S251" s="16" t="inlineStr"/>
      <c r="T251" s="16" t="inlineStr"/>
      <c r="U251" s="16" t="inlineStr"/>
      <c r="V251" s="16" t="inlineStr"/>
      <c r="W251" s="16" t="inlineStr"/>
      <c r="X251" s="16" t="inlineStr"/>
      <c r="Y251" s="16" t="inlineStr"/>
      <c r="Z251" s="16" t="inlineStr"/>
      <c r="AA251" s="16" t="inlineStr"/>
      <c r="AB251" s="16" t="inlineStr"/>
      <c r="AC251" s="16" t="inlineStr"/>
      <c r="AD251" s="16" t="inlineStr"/>
      <c r="AE251" s="16" t="inlineStr"/>
      <c r="AF251" s="16" t="inlineStr"/>
      <c r="AG251" s="16" t="inlineStr"/>
      <c r="AH251" s="16" t="inlineStr"/>
      <c r="AI251" s="16" t="inlineStr"/>
      <c r="AJ251" s="16" t="inlineStr"/>
      <c r="AK251" s="16" t="inlineStr"/>
      <c r="AL251" s="16" t="inlineStr"/>
      <c r="AM251" s="16" t="inlineStr"/>
    </row>
    <row r="252">
      <c r="A252" s="13" t="inlineStr"/>
      <c r="B252" s="13" t="inlineStr"/>
      <c r="C252" s="13" t="inlineStr"/>
      <c r="D252" s="13" t="inlineStr"/>
      <c r="E252" s="13" t="inlineStr"/>
      <c r="F252" s="13" t="inlineStr"/>
      <c r="G252" s="13" t="inlineStr"/>
      <c r="H252" s="14">
        <f>IF(COUNTA(M252:AM252)=0,"",INDEX($M$1:$AM$1,AGGREGATE(15,6,(COLUMN($M$1:$AM$1)-COLUMN($M$1)+1)/(M252:AM252&lt;&gt;""),1)))</f>
        <v/>
      </c>
      <c r="I252" s="14">
        <f>IF(COUNTA(M252:AM252)=0,"",INDEX($M$1:$AM$1,AGGREGATE(14,6,(COLUMN($M$1:$AM$1)-COLUMN($M$1)+1)/(M252:AM252&lt;&gt;""),1))+MAX(0,IFERROR(LOOKUP(2,1/(M252:AM252&lt;&gt;""),M252:AM252),1)-1))</f>
        <v/>
      </c>
      <c r="J252" s="14">
        <f>IF(I252="","",WORKDAY(I252,1))</f>
        <v/>
      </c>
      <c r="K252" s="15">
        <f>IF(COUNTA(M252:AM252),SUM(M252:AM252),IF(AND(H252&lt;&gt;"",I252&lt;&gt;""),NETWORKDAYS(H252,I252),""))</f>
        <v/>
      </c>
      <c r="L252" s="13" t="inlineStr"/>
      <c r="M252" s="16" t="inlineStr"/>
      <c r="N252" s="16" t="inlineStr"/>
      <c r="O252" s="16" t="inlineStr"/>
      <c r="P252" s="16" t="inlineStr"/>
      <c r="Q252" s="16" t="inlineStr"/>
      <c r="R252" s="16" t="inlineStr"/>
      <c r="S252" s="16" t="inlineStr"/>
      <c r="T252" s="16" t="inlineStr"/>
      <c r="U252" s="16" t="inlineStr"/>
      <c r="V252" s="16" t="inlineStr"/>
      <c r="W252" s="16" t="inlineStr"/>
      <c r="X252" s="16" t="inlineStr"/>
      <c r="Y252" s="16" t="inlineStr"/>
      <c r="Z252" s="16" t="inlineStr"/>
      <c r="AA252" s="16" t="inlineStr"/>
      <c r="AB252" s="16" t="inlineStr"/>
      <c r="AC252" s="16" t="inlineStr"/>
      <c r="AD252" s="16" t="inlineStr"/>
      <c r="AE252" s="16" t="inlineStr"/>
      <c r="AF252" s="16" t="inlineStr"/>
      <c r="AG252" s="16" t="inlineStr"/>
      <c r="AH252" s="16" t="inlineStr"/>
      <c r="AI252" s="16" t="inlineStr"/>
      <c r="AJ252" s="16" t="inlineStr"/>
      <c r="AK252" s="16" t="inlineStr"/>
      <c r="AL252" s="16" t="inlineStr"/>
      <c r="AM252" s="16" t="inlineStr"/>
    </row>
    <row r="253">
      <c r="A253" s="13" t="inlineStr"/>
      <c r="B253" s="13" t="inlineStr"/>
      <c r="C253" s="13" t="inlineStr"/>
      <c r="D253" s="13" t="inlineStr"/>
      <c r="E253" s="13" t="inlineStr"/>
      <c r="F253" s="13" t="inlineStr"/>
      <c r="G253" s="13" t="inlineStr"/>
      <c r="H253" s="14">
        <f>IF(COUNTA(M253:AM253)=0,"",INDEX($M$1:$AM$1,AGGREGATE(15,6,(COLUMN($M$1:$AM$1)-COLUMN($M$1)+1)/(M253:AM253&lt;&gt;""),1)))</f>
        <v/>
      </c>
      <c r="I253" s="14">
        <f>IF(COUNTA(M253:AM253)=0,"",INDEX($M$1:$AM$1,AGGREGATE(14,6,(COLUMN($M$1:$AM$1)-COLUMN($M$1)+1)/(M253:AM253&lt;&gt;""),1))+MAX(0,IFERROR(LOOKUP(2,1/(M253:AM253&lt;&gt;""),M253:AM253),1)-1))</f>
        <v/>
      </c>
      <c r="J253" s="14">
        <f>IF(I253="","",WORKDAY(I253,1))</f>
        <v/>
      </c>
      <c r="K253" s="15">
        <f>IF(COUNTA(M253:AM253),SUM(M253:AM253),IF(AND(H253&lt;&gt;"",I253&lt;&gt;""),NETWORKDAYS(H253,I253),""))</f>
        <v/>
      </c>
      <c r="L253" s="13" t="inlineStr"/>
      <c r="M253" s="16" t="inlineStr"/>
      <c r="N253" s="16" t="inlineStr"/>
      <c r="O253" s="16" t="inlineStr"/>
      <c r="P253" s="16" t="inlineStr"/>
      <c r="Q253" s="16" t="inlineStr"/>
      <c r="R253" s="16" t="inlineStr"/>
      <c r="S253" s="16" t="inlineStr"/>
      <c r="T253" s="16" t="inlineStr"/>
      <c r="U253" s="16" t="inlineStr"/>
      <c r="V253" s="16" t="inlineStr"/>
      <c r="W253" s="16" t="inlineStr"/>
      <c r="X253" s="16" t="inlineStr"/>
      <c r="Y253" s="16" t="inlineStr"/>
      <c r="Z253" s="16" t="inlineStr"/>
      <c r="AA253" s="16" t="inlineStr"/>
      <c r="AB253" s="16" t="inlineStr"/>
      <c r="AC253" s="16" t="inlineStr"/>
      <c r="AD253" s="16" t="inlineStr"/>
      <c r="AE253" s="16" t="inlineStr"/>
      <c r="AF253" s="16" t="inlineStr"/>
      <c r="AG253" s="16" t="inlineStr"/>
      <c r="AH253" s="16" t="inlineStr"/>
      <c r="AI253" s="16" t="inlineStr"/>
      <c r="AJ253" s="16" t="inlineStr"/>
      <c r="AK253" s="16" t="inlineStr"/>
      <c r="AL253" s="16" t="inlineStr"/>
      <c r="AM253" s="16" t="inlineStr"/>
    </row>
    <row r="254">
      <c r="A254" s="13" t="inlineStr"/>
      <c r="B254" s="13" t="inlineStr"/>
      <c r="C254" s="13" t="inlineStr"/>
      <c r="D254" s="13" t="inlineStr"/>
      <c r="E254" s="13" t="inlineStr"/>
      <c r="F254" s="13" t="inlineStr"/>
      <c r="G254" s="13" t="inlineStr"/>
      <c r="H254" s="14">
        <f>IF(COUNTA(M254:AM254)=0,"",INDEX($M$1:$AM$1,AGGREGATE(15,6,(COLUMN($M$1:$AM$1)-COLUMN($M$1)+1)/(M254:AM254&lt;&gt;""),1)))</f>
        <v/>
      </c>
      <c r="I254" s="14">
        <f>IF(COUNTA(M254:AM254)=0,"",INDEX($M$1:$AM$1,AGGREGATE(14,6,(COLUMN($M$1:$AM$1)-COLUMN($M$1)+1)/(M254:AM254&lt;&gt;""),1))+MAX(0,IFERROR(LOOKUP(2,1/(M254:AM254&lt;&gt;""),M254:AM254),1)-1))</f>
        <v/>
      </c>
      <c r="J254" s="14">
        <f>IF(I254="","",WORKDAY(I254,1))</f>
        <v/>
      </c>
      <c r="K254" s="15">
        <f>IF(COUNTA(M254:AM254),SUM(M254:AM254),IF(AND(H254&lt;&gt;"",I254&lt;&gt;""),NETWORKDAYS(H254,I254),""))</f>
        <v/>
      </c>
      <c r="L254" s="13" t="inlineStr"/>
      <c r="M254" s="16" t="inlineStr"/>
      <c r="N254" s="16" t="inlineStr"/>
      <c r="O254" s="16" t="inlineStr"/>
      <c r="P254" s="16" t="inlineStr"/>
      <c r="Q254" s="16" t="inlineStr"/>
      <c r="R254" s="16" t="inlineStr"/>
      <c r="S254" s="16" t="inlineStr"/>
      <c r="T254" s="16" t="inlineStr"/>
      <c r="U254" s="16" t="inlineStr"/>
      <c r="V254" s="16" t="inlineStr"/>
      <c r="W254" s="16" t="inlineStr"/>
      <c r="X254" s="16" t="inlineStr"/>
      <c r="Y254" s="16" t="inlineStr"/>
      <c r="Z254" s="16" t="inlineStr"/>
      <c r="AA254" s="16" t="inlineStr"/>
      <c r="AB254" s="16" t="inlineStr"/>
      <c r="AC254" s="16" t="inlineStr"/>
      <c r="AD254" s="16" t="inlineStr"/>
      <c r="AE254" s="16" t="inlineStr"/>
      <c r="AF254" s="16" t="inlineStr"/>
      <c r="AG254" s="16" t="inlineStr"/>
      <c r="AH254" s="16" t="inlineStr"/>
      <c r="AI254" s="16" t="inlineStr"/>
      <c r="AJ254" s="16" t="inlineStr"/>
      <c r="AK254" s="16" t="inlineStr"/>
      <c r="AL254" s="16" t="inlineStr"/>
      <c r="AM254" s="16" t="inlineStr"/>
    </row>
    <row r="255">
      <c r="A255" s="13" t="inlineStr"/>
      <c r="B255" s="13" t="inlineStr"/>
      <c r="C255" s="13" t="inlineStr"/>
      <c r="D255" s="13" t="inlineStr"/>
      <c r="E255" s="13" t="inlineStr"/>
      <c r="F255" s="13" t="inlineStr"/>
      <c r="G255" s="13" t="inlineStr"/>
      <c r="H255" s="14">
        <f>IF(COUNTA(M255:AM255)=0,"",INDEX($M$1:$AM$1,AGGREGATE(15,6,(COLUMN($M$1:$AM$1)-COLUMN($M$1)+1)/(M255:AM255&lt;&gt;""),1)))</f>
        <v/>
      </c>
      <c r="I255" s="14">
        <f>IF(COUNTA(M255:AM255)=0,"",INDEX($M$1:$AM$1,AGGREGATE(14,6,(COLUMN($M$1:$AM$1)-COLUMN($M$1)+1)/(M255:AM255&lt;&gt;""),1))+MAX(0,IFERROR(LOOKUP(2,1/(M255:AM255&lt;&gt;""),M255:AM255),1)-1))</f>
        <v/>
      </c>
      <c r="J255" s="14">
        <f>IF(I255="","",WORKDAY(I255,1))</f>
        <v/>
      </c>
      <c r="K255" s="15">
        <f>IF(COUNTA(M255:AM255),SUM(M255:AM255),IF(AND(H255&lt;&gt;"",I255&lt;&gt;""),NETWORKDAYS(H255,I255),""))</f>
        <v/>
      </c>
      <c r="L255" s="13" t="inlineStr"/>
      <c r="M255" s="16" t="inlineStr"/>
      <c r="N255" s="16" t="inlineStr"/>
      <c r="O255" s="16" t="inlineStr"/>
      <c r="P255" s="16" t="inlineStr"/>
      <c r="Q255" s="16" t="inlineStr"/>
      <c r="R255" s="16" t="inlineStr"/>
      <c r="S255" s="16" t="inlineStr"/>
      <c r="T255" s="16" t="inlineStr"/>
      <c r="U255" s="16" t="inlineStr"/>
      <c r="V255" s="16" t="inlineStr"/>
      <c r="W255" s="16" t="inlineStr"/>
      <c r="X255" s="16" t="inlineStr"/>
      <c r="Y255" s="16" t="inlineStr"/>
      <c r="Z255" s="16" t="inlineStr"/>
      <c r="AA255" s="16" t="inlineStr"/>
      <c r="AB255" s="16" t="inlineStr"/>
      <c r="AC255" s="16" t="inlineStr"/>
      <c r="AD255" s="16" t="inlineStr"/>
      <c r="AE255" s="16" t="inlineStr"/>
      <c r="AF255" s="16" t="inlineStr"/>
      <c r="AG255" s="16" t="inlineStr"/>
      <c r="AH255" s="16" t="inlineStr"/>
      <c r="AI255" s="16" t="inlineStr"/>
      <c r="AJ255" s="16" t="inlineStr"/>
      <c r="AK255" s="16" t="inlineStr"/>
      <c r="AL255" s="16" t="inlineStr"/>
      <c r="AM255" s="16" t="inlineStr"/>
    </row>
    <row r="256">
      <c r="A256" s="13" t="inlineStr"/>
      <c r="B256" s="13" t="inlineStr"/>
      <c r="C256" s="13" t="inlineStr"/>
      <c r="D256" s="13" t="inlineStr"/>
      <c r="E256" s="13" t="inlineStr"/>
      <c r="F256" s="13" t="inlineStr"/>
      <c r="G256" s="13" t="inlineStr"/>
      <c r="H256" s="14">
        <f>IF(COUNTA(M256:AM256)=0,"",INDEX($M$1:$AM$1,AGGREGATE(15,6,(COLUMN($M$1:$AM$1)-COLUMN($M$1)+1)/(M256:AM256&lt;&gt;""),1)))</f>
        <v/>
      </c>
      <c r="I256" s="14">
        <f>IF(COUNTA(M256:AM256)=0,"",INDEX($M$1:$AM$1,AGGREGATE(14,6,(COLUMN($M$1:$AM$1)-COLUMN($M$1)+1)/(M256:AM256&lt;&gt;""),1))+MAX(0,IFERROR(LOOKUP(2,1/(M256:AM256&lt;&gt;""),M256:AM256),1)-1))</f>
        <v/>
      </c>
      <c r="J256" s="14">
        <f>IF(I256="","",WORKDAY(I256,1))</f>
        <v/>
      </c>
      <c r="K256" s="15">
        <f>IF(COUNTA(M256:AM256),SUM(M256:AM256),IF(AND(H256&lt;&gt;"",I256&lt;&gt;""),NETWORKDAYS(H256,I256),""))</f>
        <v/>
      </c>
      <c r="L256" s="13" t="inlineStr"/>
      <c r="M256" s="16" t="inlineStr"/>
      <c r="N256" s="16" t="inlineStr"/>
      <c r="O256" s="16" t="inlineStr"/>
      <c r="P256" s="16" t="inlineStr"/>
      <c r="Q256" s="16" t="inlineStr"/>
      <c r="R256" s="16" t="inlineStr"/>
      <c r="S256" s="16" t="inlineStr"/>
      <c r="T256" s="16" t="inlineStr"/>
      <c r="U256" s="16" t="inlineStr"/>
      <c r="V256" s="16" t="inlineStr"/>
      <c r="W256" s="16" t="inlineStr"/>
      <c r="X256" s="16" t="inlineStr"/>
      <c r="Y256" s="16" t="inlineStr"/>
      <c r="Z256" s="16" t="inlineStr"/>
      <c r="AA256" s="16" t="inlineStr"/>
      <c r="AB256" s="16" t="inlineStr"/>
      <c r="AC256" s="16" t="inlineStr"/>
      <c r="AD256" s="16" t="inlineStr"/>
      <c r="AE256" s="16" t="inlineStr"/>
      <c r="AF256" s="16" t="inlineStr"/>
      <c r="AG256" s="16" t="inlineStr"/>
      <c r="AH256" s="16" t="inlineStr"/>
      <c r="AI256" s="16" t="inlineStr"/>
      <c r="AJ256" s="16" t="inlineStr"/>
      <c r="AK256" s="16" t="inlineStr"/>
      <c r="AL256" s="16" t="inlineStr"/>
      <c r="AM256" s="16" t="inlineStr"/>
    </row>
    <row r="257">
      <c r="A257" s="13" t="inlineStr"/>
      <c r="B257" s="13" t="inlineStr"/>
      <c r="C257" s="13" t="inlineStr"/>
      <c r="D257" s="13" t="inlineStr"/>
      <c r="E257" s="13" t="inlineStr"/>
      <c r="F257" s="13" t="inlineStr"/>
      <c r="G257" s="13" t="inlineStr"/>
      <c r="H257" s="14">
        <f>IF(COUNTA(M257:AM257)=0,"",INDEX($M$1:$AM$1,AGGREGATE(15,6,(COLUMN($M$1:$AM$1)-COLUMN($M$1)+1)/(M257:AM257&lt;&gt;""),1)))</f>
        <v/>
      </c>
      <c r="I257" s="14">
        <f>IF(COUNTA(M257:AM257)=0,"",INDEX($M$1:$AM$1,AGGREGATE(14,6,(COLUMN($M$1:$AM$1)-COLUMN($M$1)+1)/(M257:AM257&lt;&gt;""),1))+MAX(0,IFERROR(LOOKUP(2,1/(M257:AM257&lt;&gt;""),M257:AM257),1)-1))</f>
        <v/>
      </c>
      <c r="J257" s="14">
        <f>IF(I257="","",WORKDAY(I257,1))</f>
        <v/>
      </c>
      <c r="K257" s="15">
        <f>IF(COUNTA(M257:AM257),SUM(M257:AM257),IF(AND(H257&lt;&gt;"",I257&lt;&gt;""),NETWORKDAYS(H257,I257),""))</f>
        <v/>
      </c>
      <c r="L257" s="13" t="inlineStr"/>
      <c r="M257" s="16" t="inlineStr"/>
      <c r="N257" s="16" t="inlineStr"/>
      <c r="O257" s="16" t="inlineStr"/>
      <c r="P257" s="16" t="inlineStr"/>
      <c r="Q257" s="16" t="inlineStr"/>
      <c r="R257" s="16" t="inlineStr"/>
      <c r="S257" s="16" t="inlineStr"/>
      <c r="T257" s="16" t="inlineStr"/>
      <c r="U257" s="16" t="inlineStr"/>
      <c r="V257" s="16" t="inlineStr"/>
      <c r="W257" s="16" t="inlineStr"/>
      <c r="X257" s="16" t="inlineStr"/>
      <c r="Y257" s="16" t="inlineStr"/>
      <c r="Z257" s="16" t="inlineStr"/>
      <c r="AA257" s="16" t="inlineStr"/>
      <c r="AB257" s="16" t="inlineStr"/>
      <c r="AC257" s="16" t="inlineStr"/>
      <c r="AD257" s="16" t="inlineStr"/>
      <c r="AE257" s="16" t="inlineStr"/>
      <c r="AF257" s="16" t="inlineStr"/>
      <c r="AG257" s="16" t="inlineStr"/>
      <c r="AH257" s="16" t="inlineStr"/>
      <c r="AI257" s="16" t="inlineStr"/>
      <c r="AJ257" s="16" t="inlineStr"/>
      <c r="AK257" s="16" t="inlineStr"/>
      <c r="AL257" s="16" t="inlineStr"/>
      <c r="AM257" s="16" t="inlineStr"/>
    </row>
    <row r="258">
      <c r="A258" s="13" t="inlineStr"/>
      <c r="B258" s="13" t="inlineStr"/>
      <c r="C258" s="13" t="inlineStr"/>
      <c r="D258" s="13" t="inlineStr"/>
      <c r="E258" s="13" t="inlineStr"/>
      <c r="F258" s="13" t="inlineStr"/>
      <c r="G258" s="13" t="inlineStr"/>
      <c r="H258" s="14">
        <f>IF(COUNTA(M258:AM258)=0,"",INDEX($M$1:$AM$1,AGGREGATE(15,6,(COLUMN($M$1:$AM$1)-COLUMN($M$1)+1)/(M258:AM258&lt;&gt;""),1)))</f>
        <v/>
      </c>
      <c r="I258" s="14">
        <f>IF(COUNTA(M258:AM258)=0,"",INDEX($M$1:$AM$1,AGGREGATE(14,6,(COLUMN($M$1:$AM$1)-COLUMN($M$1)+1)/(M258:AM258&lt;&gt;""),1))+MAX(0,IFERROR(LOOKUP(2,1/(M258:AM258&lt;&gt;""),M258:AM258),1)-1))</f>
        <v/>
      </c>
      <c r="J258" s="14">
        <f>IF(I258="","",WORKDAY(I258,1))</f>
        <v/>
      </c>
      <c r="K258" s="15">
        <f>IF(COUNTA(M258:AM258),SUM(M258:AM258),IF(AND(H258&lt;&gt;"",I258&lt;&gt;""),NETWORKDAYS(H258,I258),""))</f>
        <v/>
      </c>
      <c r="L258" s="13" t="inlineStr"/>
      <c r="M258" s="16" t="inlineStr"/>
      <c r="N258" s="16" t="inlineStr"/>
      <c r="O258" s="16" t="inlineStr"/>
      <c r="P258" s="16" t="inlineStr"/>
      <c r="Q258" s="16" t="inlineStr"/>
      <c r="R258" s="16" t="inlineStr"/>
      <c r="S258" s="16" t="inlineStr"/>
      <c r="T258" s="16" t="inlineStr"/>
      <c r="U258" s="16" t="inlineStr"/>
      <c r="V258" s="16" t="inlineStr"/>
      <c r="W258" s="16" t="inlineStr"/>
      <c r="X258" s="16" t="inlineStr"/>
      <c r="Y258" s="16" t="inlineStr"/>
      <c r="Z258" s="16" t="inlineStr"/>
      <c r="AA258" s="16" t="inlineStr"/>
      <c r="AB258" s="16" t="inlineStr"/>
      <c r="AC258" s="16" t="inlineStr"/>
      <c r="AD258" s="16" t="inlineStr"/>
      <c r="AE258" s="16" t="inlineStr"/>
      <c r="AF258" s="16" t="inlineStr"/>
      <c r="AG258" s="16" t="inlineStr"/>
      <c r="AH258" s="16" t="inlineStr"/>
      <c r="AI258" s="16" t="inlineStr"/>
      <c r="AJ258" s="16" t="inlineStr"/>
      <c r="AK258" s="16" t="inlineStr"/>
      <c r="AL258" s="16" t="inlineStr"/>
      <c r="AM258" s="16" t="inlineStr"/>
    </row>
    <row r="259">
      <c r="A259" s="13" t="inlineStr"/>
      <c r="B259" s="13" t="inlineStr"/>
      <c r="C259" s="13" t="inlineStr"/>
      <c r="D259" s="13" t="inlineStr"/>
      <c r="E259" s="13" t="inlineStr"/>
      <c r="F259" s="13" t="inlineStr"/>
      <c r="G259" s="13" t="inlineStr"/>
      <c r="H259" s="14">
        <f>IF(COUNTA(M259:AM259)=0,"",INDEX($M$1:$AM$1,AGGREGATE(15,6,(COLUMN($M$1:$AM$1)-COLUMN($M$1)+1)/(M259:AM259&lt;&gt;""),1)))</f>
        <v/>
      </c>
      <c r="I259" s="14">
        <f>IF(COUNTA(M259:AM259)=0,"",INDEX($M$1:$AM$1,AGGREGATE(14,6,(COLUMN($M$1:$AM$1)-COLUMN($M$1)+1)/(M259:AM259&lt;&gt;""),1))+MAX(0,IFERROR(LOOKUP(2,1/(M259:AM259&lt;&gt;""),M259:AM259),1)-1))</f>
        <v/>
      </c>
      <c r="J259" s="14">
        <f>IF(I259="","",WORKDAY(I259,1))</f>
        <v/>
      </c>
      <c r="K259" s="15">
        <f>IF(COUNTA(M259:AM259),SUM(M259:AM259),IF(AND(H259&lt;&gt;"",I259&lt;&gt;""),NETWORKDAYS(H259,I259),""))</f>
        <v/>
      </c>
      <c r="L259" s="13" t="inlineStr"/>
      <c r="M259" s="16" t="inlineStr"/>
      <c r="N259" s="16" t="inlineStr"/>
      <c r="O259" s="16" t="inlineStr"/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6" t="inlineStr"/>
      <c r="X259" s="16" t="inlineStr"/>
      <c r="Y259" s="16" t="inlineStr"/>
      <c r="Z259" s="16" t="inlineStr"/>
      <c r="AA259" s="16" t="inlineStr"/>
      <c r="AB259" s="16" t="inlineStr"/>
      <c r="AC259" s="16" t="inlineStr"/>
      <c r="AD259" s="16" t="inlineStr"/>
      <c r="AE259" s="16" t="inlineStr"/>
      <c r="AF259" s="16" t="inlineStr"/>
      <c r="AG259" s="16" t="inlineStr"/>
      <c r="AH259" s="16" t="inlineStr"/>
      <c r="AI259" s="16" t="inlineStr"/>
      <c r="AJ259" s="16" t="inlineStr"/>
      <c r="AK259" s="16" t="inlineStr"/>
      <c r="AL259" s="16" t="inlineStr"/>
      <c r="AM259" s="16" t="inlineStr"/>
    </row>
    <row r="260">
      <c r="A260" s="13" t="inlineStr"/>
      <c r="B260" s="13" t="inlineStr"/>
      <c r="C260" s="13" t="inlineStr"/>
      <c r="D260" s="13" t="inlineStr"/>
      <c r="E260" s="13" t="inlineStr"/>
      <c r="F260" s="13" t="inlineStr"/>
      <c r="G260" s="13" t="inlineStr"/>
      <c r="H260" s="14">
        <f>IF(COUNTA(M260:AM260)=0,"",INDEX($M$1:$AM$1,AGGREGATE(15,6,(COLUMN($M$1:$AM$1)-COLUMN($M$1)+1)/(M260:AM260&lt;&gt;""),1)))</f>
        <v/>
      </c>
      <c r="I260" s="14">
        <f>IF(COUNTA(M260:AM260)=0,"",INDEX($M$1:$AM$1,AGGREGATE(14,6,(COLUMN($M$1:$AM$1)-COLUMN($M$1)+1)/(M260:AM260&lt;&gt;""),1))+MAX(0,IFERROR(LOOKUP(2,1/(M260:AM260&lt;&gt;""),M260:AM260),1)-1))</f>
        <v/>
      </c>
      <c r="J260" s="14">
        <f>IF(I260="","",WORKDAY(I260,1))</f>
        <v/>
      </c>
      <c r="K260" s="15">
        <f>IF(COUNTA(M260:AM260),SUM(M260:AM260),IF(AND(H260&lt;&gt;"",I260&lt;&gt;""),NETWORKDAYS(H260,I260),""))</f>
        <v/>
      </c>
      <c r="L260" s="13" t="inlineStr"/>
      <c r="M260" s="16" t="inlineStr"/>
      <c r="N260" s="16" t="inlineStr"/>
      <c r="O260" s="16" t="inlineStr"/>
      <c r="P260" s="16" t="inlineStr"/>
      <c r="Q260" s="16" t="inlineStr"/>
      <c r="R260" s="16" t="inlineStr"/>
      <c r="S260" s="16" t="inlineStr"/>
      <c r="T260" s="16" t="inlineStr"/>
      <c r="U260" s="16" t="inlineStr"/>
      <c r="V260" s="16" t="inlineStr"/>
      <c r="W260" s="16" t="inlineStr"/>
      <c r="X260" s="16" t="inlineStr"/>
      <c r="Y260" s="16" t="inlineStr"/>
      <c r="Z260" s="16" t="inlineStr"/>
      <c r="AA260" s="16" t="inlineStr"/>
      <c r="AB260" s="16" t="inlineStr"/>
      <c r="AC260" s="16" t="inlineStr"/>
      <c r="AD260" s="16" t="inlineStr"/>
      <c r="AE260" s="16" t="inlineStr"/>
      <c r="AF260" s="16" t="inlineStr"/>
      <c r="AG260" s="16" t="inlineStr"/>
      <c r="AH260" s="16" t="inlineStr"/>
      <c r="AI260" s="16" t="inlineStr"/>
      <c r="AJ260" s="16" t="inlineStr"/>
      <c r="AK260" s="16" t="inlineStr"/>
      <c r="AL260" s="16" t="inlineStr"/>
      <c r="AM260" s="16" t="inlineStr"/>
    </row>
    <row r="261">
      <c r="A261" s="13" t="inlineStr"/>
      <c r="B261" s="13" t="inlineStr"/>
      <c r="C261" s="13" t="inlineStr"/>
      <c r="D261" s="13" t="inlineStr"/>
      <c r="E261" s="13" t="inlineStr"/>
      <c r="F261" s="13" t="inlineStr"/>
      <c r="G261" s="13" t="inlineStr"/>
      <c r="H261" s="14">
        <f>IF(COUNTA(M261:AM261)=0,"",INDEX($M$1:$AM$1,AGGREGATE(15,6,(COLUMN($M$1:$AM$1)-COLUMN($M$1)+1)/(M261:AM261&lt;&gt;""),1)))</f>
        <v/>
      </c>
      <c r="I261" s="14">
        <f>IF(COUNTA(M261:AM261)=0,"",INDEX($M$1:$AM$1,AGGREGATE(14,6,(COLUMN($M$1:$AM$1)-COLUMN($M$1)+1)/(M261:AM261&lt;&gt;""),1))+MAX(0,IFERROR(LOOKUP(2,1/(M261:AM261&lt;&gt;""),M261:AM261),1)-1))</f>
        <v/>
      </c>
      <c r="J261" s="14">
        <f>IF(I261="","",WORKDAY(I261,1))</f>
        <v/>
      </c>
      <c r="K261" s="15">
        <f>IF(COUNTA(M261:AM261),SUM(M261:AM261),IF(AND(H261&lt;&gt;"",I261&lt;&gt;""),NETWORKDAYS(H261,I261),""))</f>
        <v/>
      </c>
      <c r="L261" s="13" t="inlineStr"/>
      <c r="M261" s="16" t="inlineStr"/>
      <c r="N261" s="16" t="inlineStr"/>
      <c r="O261" s="16" t="inlineStr"/>
      <c r="P261" s="16" t="inlineStr"/>
      <c r="Q261" s="16" t="inlineStr"/>
      <c r="R261" s="16" t="inlineStr"/>
      <c r="S261" s="16" t="inlineStr"/>
      <c r="T261" s="16" t="inlineStr"/>
      <c r="U261" s="16" t="inlineStr"/>
      <c r="V261" s="16" t="inlineStr"/>
      <c r="W261" s="16" t="inlineStr"/>
      <c r="X261" s="16" t="inlineStr"/>
      <c r="Y261" s="16" t="inlineStr"/>
      <c r="Z261" s="16" t="inlineStr"/>
      <c r="AA261" s="16" t="inlineStr"/>
      <c r="AB261" s="16" t="inlineStr"/>
      <c r="AC261" s="16" t="inlineStr"/>
      <c r="AD261" s="16" t="inlineStr"/>
      <c r="AE261" s="16" t="inlineStr"/>
      <c r="AF261" s="16" t="inlineStr"/>
      <c r="AG261" s="16" t="inlineStr"/>
      <c r="AH261" s="16" t="inlineStr"/>
      <c r="AI261" s="16" t="inlineStr"/>
      <c r="AJ261" s="16" t="inlineStr"/>
      <c r="AK261" s="16" t="inlineStr"/>
      <c r="AL261" s="16" t="inlineStr"/>
      <c r="AM261" s="16" t="inlineStr"/>
    </row>
    <row r="262">
      <c r="A262" s="13" t="inlineStr"/>
      <c r="B262" s="13" t="inlineStr"/>
      <c r="C262" s="13" t="inlineStr"/>
      <c r="D262" s="13" t="inlineStr"/>
      <c r="E262" s="13" t="inlineStr"/>
      <c r="F262" s="13" t="inlineStr"/>
      <c r="G262" s="13" t="inlineStr"/>
      <c r="H262" s="14">
        <f>IF(COUNTA(M262:AM262)=0,"",INDEX($M$1:$AM$1,AGGREGATE(15,6,(COLUMN($M$1:$AM$1)-COLUMN($M$1)+1)/(M262:AM262&lt;&gt;""),1)))</f>
        <v/>
      </c>
      <c r="I262" s="14">
        <f>IF(COUNTA(M262:AM262)=0,"",INDEX($M$1:$AM$1,AGGREGATE(14,6,(COLUMN($M$1:$AM$1)-COLUMN($M$1)+1)/(M262:AM262&lt;&gt;""),1))+MAX(0,IFERROR(LOOKUP(2,1/(M262:AM262&lt;&gt;""),M262:AM262),1)-1))</f>
        <v/>
      </c>
      <c r="J262" s="14">
        <f>IF(I262="","",WORKDAY(I262,1))</f>
        <v/>
      </c>
      <c r="K262" s="15">
        <f>IF(COUNTA(M262:AM262),SUM(M262:AM262),IF(AND(H262&lt;&gt;"",I262&lt;&gt;""),NETWORKDAYS(H262,I262),""))</f>
        <v/>
      </c>
      <c r="L262" s="13" t="inlineStr"/>
      <c r="M262" s="16" t="inlineStr"/>
      <c r="N262" s="16" t="inlineStr"/>
      <c r="O262" s="16" t="inlineStr"/>
      <c r="P262" s="16" t="inlineStr"/>
      <c r="Q262" s="16" t="inlineStr"/>
      <c r="R262" s="16" t="inlineStr"/>
      <c r="S262" s="16" t="inlineStr"/>
      <c r="T262" s="16" t="inlineStr"/>
      <c r="U262" s="16" t="inlineStr"/>
      <c r="V262" s="16" t="inlineStr"/>
      <c r="W262" s="16" t="inlineStr"/>
      <c r="X262" s="16" t="inlineStr"/>
      <c r="Y262" s="16" t="inlineStr"/>
      <c r="Z262" s="16" t="inlineStr"/>
      <c r="AA262" s="16" t="inlineStr"/>
      <c r="AB262" s="16" t="inlineStr"/>
      <c r="AC262" s="16" t="inlineStr"/>
      <c r="AD262" s="16" t="inlineStr"/>
      <c r="AE262" s="16" t="inlineStr"/>
      <c r="AF262" s="16" t="inlineStr"/>
      <c r="AG262" s="16" t="inlineStr"/>
      <c r="AH262" s="16" t="inlineStr"/>
      <c r="AI262" s="16" t="inlineStr"/>
      <c r="AJ262" s="16" t="inlineStr"/>
      <c r="AK262" s="16" t="inlineStr"/>
      <c r="AL262" s="16" t="inlineStr"/>
      <c r="AM262" s="16" t="inlineStr"/>
    </row>
    <row r="263">
      <c r="A263" s="13" t="inlineStr"/>
      <c r="B263" s="13" t="inlineStr"/>
      <c r="C263" s="13" t="inlineStr"/>
      <c r="D263" s="13" t="inlineStr"/>
      <c r="E263" s="13" t="inlineStr"/>
      <c r="F263" s="13" t="inlineStr"/>
      <c r="G263" s="13" t="inlineStr"/>
      <c r="H263" s="14">
        <f>IF(COUNTA(M263:AM263)=0,"",INDEX($M$1:$AM$1,AGGREGATE(15,6,(COLUMN($M$1:$AM$1)-COLUMN($M$1)+1)/(M263:AM263&lt;&gt;""),1)))</f>
        <v/>
      </c>
      <c r="I263" s="14">
        <f>IF(COUNTA(M263:AM263)=0,"",INDEX($M$1:$AM$1,AGGREGATE(14,6,(COLUMN($M$1:$AM$1)-COLUMN($M$1)+1)/(M263:AM263&lt;&gt;""),1))+MAX(0,IFERROR(LOOKUP(2,1/(M263:AM263&lt;&gt;""),M263:AM263),1)-1))</f>
        <v/>
      </c>
      <c r="J263" s="14">
        <f>IF(I263="","",WORKDAY(I263,1))</f>
        <v/>
      </c>
      <c r="K263" s="15">
        <f>IF(COUNTA(M263:AM263),SUM(M263:AM263),IF(AND(H263&lt;&gt;"",I263&lt;&gt;""),NETWORKDAYS(H263,I263),""))</f>
        <v/>
      </c>
      <c r="L263" s="13" t="inlineStr"/>
      <c r="M263" s="16" t="inlineStr"/>
      <c r="N263" s="16" t="inlineStr"/>
      <c r="O263" s="16" t="inlineStr"/>
      <c r="P263" s="16" t="inlineStr"/>
      <c r="Q263" s="16" t="inlineStr"/>
      <c r="R263" s="16" t="inlineStr"/>
      <c r="S263" s="16" t="inlineStr"/>
      <c r="T263" s="16" t="inlineStr"/>
      <c r="U263" s="16" t="inlineStr"/>
      <c r="V263" s="16" t="inlineStr"/>
      <c r="W263" s="16" t="inlineStr"/>
      <c r="X263" s="16" t="inlineStr"/>
      <c r="Y263" s="16" t="inlineStr"/>
      <c r="Z263" s="16" t="inlineStr"/>
      <c r="AA263" s="16" t="inlineStr"/>
      <c r="AB263" s="16" t="inlineStr"/>
      <c r="AC263" s="16" t="inlineStr"/>
      <c r="AD263" s="16" t="inlineStr"/>
      <c r="AE263" s="16" t="inlineStr"/>
      <c r="AF263" s="16" t="inlineStr"/>
      <c r="AG263" s="16" t="inlineStr"/>
      <c r="AH263" s="16" t="inlineStr"/>
      <c r="AI263" s="16" t="inlineStr"/>
      <c r="AJ263" s="16" t="inlineStr"/>
      <c r="AK263" s="16" t="inlineStr"/>
      <c r="AL263" s="16" t="inlineStr"/>
      <c r="AM263" s="16" t="inlineStr"/>
    </row>
    <row r="264">
      <c r="A264" s="13" t="inlineStr"/>
      <c r="B264" s="13" t="inlineStr"/>
      <c r="C264" s="13" t="inlineStr"/>
      <c r="D264" s="13" t="inlineStr"/>
      <c r="E264" s="13" t="inlineStr"/>
      <c r="F264" s="13" t="inlineStr"/>
      <c r="G264" s="13" t="inlineStr"/>
      <c r="H264" s="14">
        <f>IF(COUNTA(M264:AM264)=0,"",INDEX($M$1:$AM$1,AGGREGATE(15,6,(COLUMN($M$1:$AM$1)-COLUMN($M$1)+1)/(M264:AM264&lt;&gt;""),1)))</f>
        <v/>
      </c>
      <c r="I264" s="14">
        <f>IF(COUNTA(M264:AM264)=0,"",INDEX($M$1:$AM$1,AGGREGATE(14,6,(COLUMN($M$1:$AM$1)-COLUMN($M$1)+1)/(M264:AM264&lt;&gt;""),1))+MAX(0,IFERROR(LOOKUP(2,1/(M264:AM264&lt;&gt;""),M264:AM264),1)-1))</f>
        <v/>
      </c>
      <c r="J264" s="14">
        <f>IF(I264="","",WORKDAY(I264,1))</f>
        <v/>
      </c>
      <c r="K264" s="15">
        <f>IF(COUNTA(M264:AM264),SUM(M264:AM264),IF(AND(H264&lt;&gt;"",I264&lt;&gt;""),NETWORKDAYS(H264,I264),""))</f>
        <v/>
      </c>
      <c r="L264" s="13" t="inlineStr"/>
      <c r="M264" s="16" t="inlineStr"/>
      <c r="N264" s="16" t="inlineStr"/>
      <c r="O264" s="16" t="inlineStr"/>
      <c r="P264" s="16" t="inlineStr"/>
      <c r="Q264" s="16" t="inlineStr"/>
      <c r="R264" s="16" t="inlineStr"/>
      <c r="S264" s="16" t="inlineStr"/>
      <c r="T264" s="16" t="inlineStr"/>
      <c r="U264" s="16" t="inlineStr"/>
      <c r="V264" s="16" t="inlineStr"/>
      <c r="W264" s="16" t="inlineStr"/>
      <c r="X264" s="16" t="inlineStr"/>
      <c r="Y264" s="16" t="inlineStr"/>
      <c r="Z264" s="16" t="inlineStr"/>
      <c r="AA264" s="16" t="inlineStr"/>
      <c r="AB264" s="16" t="inlineStr"/>
      <c r="AC264" s="16" t="inlineStr"/>
      <c r="AD264" s="16" t="inlineStr"/>
      <c r="AE264" s="16" t="inlineStr"/>
      <c r="AF264" s="16" t="inlineStr"/>
      <c r="AG264" s="16" t="inlineStr"/>
      <c r="AH264" s="16" t="inlineStr"/>
      <c r="AI264" s="16" t="inlineStr"/>
      <c r="AJ264" s="16" t="inlineStr"/>
      <c r="AK264" s="16" t="inlineStr"/>
      <c r="AL264" s="16" t="inlineStr"/>
      <c r="AM264" s="16" t="inlineStr"/>
    </row>
    <row r="265">
      <c r="A265" s="13" t="inlineStr"/>
      <c r="B265" s="13" t="inlineStr"/>
      <c r="C265" s="13" t="inlineStr"/>
      <c r="D265" s="13" t="inlineStr"/>
      <c r="E265" s="13" t="inlineStr"/>
      <c r="F265" s="13" t="inlineStr"/>
      <c r="G265" s="13" t="inlineStr"/>
      <c r="H265" s="14">
        <f>IF(COUNTA(M265:AM265)=0,"",INDEX($M$1:$AM$1,AGGREGATE(15,6,(COLUMN($M$1:$AM$1)-COLUMN($M$1)+1)/(M265:AM265&lt;&gt;""),1)))</f>
        <v/>
      </c>
      <c r="I265" s="14">
        <f>IF(COUNTA(M265:AM265)=0,"",INDEX($M$1:$AM$1,AGGREGATE(14,6,(COLUMN($M$1:$AM$1)-COLUMN($M$1)+1)/(M265:AM265&lt;&gt;""),1))+MAX(0,IFERROR(LOOKUP(2,1/(M265:AM265&lt;&gt;""),M265:AM265),1)-1))</f>
        <v/>
      </c>
      <c r="J265" s="14">
        <f>IF(I265="","",WORKDAY(I265,1))</f>
        <v/>
      </c>
      <c r="K265" s="15">
        <f>IF(COUNTA(M265:AM265),SUM(M265:AM265),IF(AND(H265&lt;&gt;"",I265&lt;&gt;""),NETWORKDAYS(H265,I265),""))</f>
        <v/>
      </c>
      <c r="L265" s="13" t="inlineStr"/>
      <c r="M265" s="16" t="inlineStr"/>
      <c r="N265" s="16" t="inlineStr"/>
      <c r="O265" s="16" t="inlineStr"/>
      <c r="P265" s="16" t="inlineStr"/>
      <c r="Q265" s="16" t="inlineStr"/>
      <c r="R265" s="16" t="inlineStr"/>
      <c r="S265" s="16" t="inlineStr"/>
      <c r="T265" s="16" t="inlineStr"/>
      <c r="U265" s="16" t="inlineStr"/>
      <c r="V265" s="16" t="inlineStr"/>
      <c r="W265" s="16" t="inlineStr"/>
      <c r="X265" s="16" t="inlineStr"/>
      <c r="Y265" s="16" t="inlineStr"/>
      <c r="Z265" s="16" t="inlineStr"/>
      <c r="AA265" s="16" t="inlineStr"/>
      <c r="AB265" s="16" t="inlineStr"/>
      <c r="AC265" s="16" t="inlineStr"/>
      <c r="AD265" s="16" t="inlineStr"/>
      <c r="AE265" s="16" t="inlineStr"/>
      <c r="AF265" s="16" t="inlineStr"/>
      <c r="AG265" s="16" t="inlineStr"/>
      <c r="AH265" s="16" t="inlineStr"/>
      <c r="AI265" s="16" t="inlineStr"/>
      <c r="AJ265" s="16" t="inlineStr"/>
      <c r="AK265" s="16" t="inlineStr"/>
      <c r="AL265" s="16" t="inlineStr"/>
      <c r="AM265" s="16" t="inlineStr"/>
    </row>
    <row r="266">
      <c r="A266" s="13" t="inlineStr"/>
      <c r="B266" s="13" t="inlineStr"/>
      <c r="C266" s="13" t="inlineStr"/>
      <c r="D266" s="13" t="inlineStr"/>
      <c r="E266" s="13" t="inlineStr"/>
      <c r="F266" s="13" t="inlineStr"/>
      <c r="G266" s="13" t="inlineStr"/>
      <c r="H266" s="14">
        <f>IF(COUNTA(M266:AM266)=0,"",INDEX($M$1:$AM$1,AGGREGATE(15,6,(COLUMN($M$1:$AM$1)-COLUMN($M$1)+1)/(M266:AM266&lt;&gt;""),1)))</f>
        <v/>
      </c>
      <c r="I266" s="14">
        <f>IF(COUNTA(M266:AM266)=0,"",INDEX($M$1:$AM$1,AGGREGATE(14,6,(COLUMN($M$1:$AM$1)-COLUMN($M$1)+1)/(M266:AM266&lt;&gt;""),1))+MAX(0,IFERROR(LOOKUP(2,1/(M266:AM266&lt;&gt;""),M266:AM266),1)-1))</f>
        <v/>
      </c>
      <c r="J266" s="14">
        <f>IF(I266="","",WORKDAY(I266,1))</f>
        <v/>
      </c>
      <c r="K266" s="15">
        <f>IF(COUNTA(M266:AM266),SUM(M266:AM266),IF(AND(H266&lt;&gt;"",I266&lt;&gt;""),NETWORKDAYS(H266,I266),""))</f>
        <v/>
      </c>
      <c r="L266" s="13" t="inlineStr"/>
      <c r="M266" s="16" t="inlineStr"/>
      <c r="N266" s="16" t="inlineStr"/>
      <c r="O266" s="16" t="inlineStr"/>
      <c r="P266" s="16" t="inlineStr"/>
      <c r="Q266" s="16" t="inlineStr"/>
      <c r="R266" s="16" t="inlineStr"/>
      <c r="S266" s="16" t="inlineStr"/>
      <c r="T266" s="16" t="inlineStr"/>
      <c r="U266" s="16" t="inlineStr"/>
      <c r="V266" s="16" t="inlineStr"/>
      <c r="W266" s="16" t="inlineStr"/>
      <c r="X266" s="16" t="inlineStr"/>
      <c r="Y266" s="16" t="inlineStr"/>
      <c r="Z266" s="16" t="inlineStr"/>
      <c r="AA266" s="16" t="inlineStr"/>
      <c r="AB266" s="16" t="inlineStr"/>
      <c r="AC266" s="16" t="inlineStr"/>
      <c r="AD266" s="16" t="inlineStr"/>
      <c r="AE266" s="16" t="inlineStr"/>
      <c r="AF266" s="16" t="inlineStr"/>
      <c r="AG266" s="16" t="inlineStr"/>
      <c r="AH266" s="16" t="inlineStr"/>
      <c r="AI266" s="16" t="inlineStr"/>
      <c r="AJ266" s="16" t="inlineStr"/>
      <c r="AK266" s="16" t="inlineStr"/>
      <c r="AL266" s="16" t="inlineStr"/>
      <c r="AM266" s="16" t="inlineStr"/>
    </row>
    <row r="267">
      <c r="A267" s="13" t="inlineStr"/>
      <c r="B267" s="13" t="inlineStr"/>
      <c r="C267" s="13" t="inlineStr"/>
      <c r="D267" s="13" t="inlineStr"/>
      <c r="E267" s="13" t="inlineStr"/>
      <c r="F267" s="13" t="inlineStr"/>
      <c r="G267" s="13" t="inlineStr"/>
      <c r="H267" s="14">
        <f>IF(COUNTA(M267:AM267)=0,"",INDEX($M$1:$AM$1,AGGREGATE(15,6,(COLUMN($M$1:$AM$1)-COLUMN($M$1)+1)/(M267:AM267&lt;&gt;""),1)))</f>
        <v/>
      </c>
      <c r="I267" s="14">
        <f>IF(COUNTA(M267:AM267)=0,"",INDEX($M$1:$AM$1,AGGREGATE(14,6,(COLUMN($M$1:$AM$1)-COLUMN($M$1)+1)/(M267:AM267&lt;&gt;""),1))+MAX(0,IFERROR(LOOKUP(2,1/(M267:AM267&lt;&gt;""),M267:AM267),1)-1))</f>
        <v/>
      </c>
      <c r="J267" s="14">
        <f>IF(I267="","",WORKDAY(I267,1))</f>
        <v/>
      </c>
      <c r="K267" s="15">
        <f>IF(COUNTA(M267:AM267),SUM(M267:AM267),IF(AND(H267&lt;&gt;"",I267&lt;&gt;""),NETWORKDAYS(H267,I267),""))</f>
        <v/>
      </c>
      <c r="L267" s="13" t="inlineStr"/>
      <c r="M267" s="16" t="inlineStr"/>
      <c r="N267" s="16" t="inlineStr"/>
      <c r="O267" s="16" t="inlineStr"/>
      <c r="P267" s="16" t="inlineStr"/>
      <c r="Q267" s="16" t="inlineStr"/>
      <c r="R267" s="16" t="inlineStr"/>
      <c r="S267" s="16" t="inlineStr"/>
      <c r="T267" s="16" t="inlineStr"/>
      <c r="U267" s="16" t="inlineStr"/>
      <c r="V267" s="16" t="inlineStr"/>
      <c r="W267" s="16" t="inlineStr"/>
      <c r="X267" s="16" t="inlineStr"/>
      <c r="Y267" s="16" t="inlineStr"/>
      <c r="Z267" s="16" t="inlineStr"/>
      <c r="AA267" s="16" t="inlineStr"/>
      <c r="AB267" s="16" t="inlineStr"/>
      <c r="AC267" s="16" t="inlineStr"/>
      <c r="AD267" s="16" t="inlineStr"/>
      <c r="AE267" s="16" t="inlineStr"/>
      <c r="AF267" s="16" t="inlineStr"/>
      <c r="AG267" s="16" t="inlineStr"/>
      <c r="AH267" s="16" t="inlineStr"/>
      <c r="AI267" s="16" t="inlineStr"/>
      <c r="AJ267" s="16" t="inlineStr"/>
      <c r="AK267" s="16" t="inlineStr"/>
      <c r="AL267" s="16" t="inlineStr"/>
      <c r="AM267" s="16" t="inlineStr"/>
    </row>
    <row r="268">
      <c r="A268" s="13" t="inlineStr"/>
      <c r="B268" s="13" t="inlineStr"/>
      <c r="C268" s="13" t="inlineStr"/>
      <c r="D268" s="13" t="inlineStr"/>
      <c r="E268" s="13" t="inlineStr"/>
      <c r="F268" s="13" t="inlineStr"/>
      <c r="G268" s="13" t="inlineStr"/>
      <c r="H268" s="14">
        <f>IF(COUNTA(M268:AM268)=0,"",INDEX($M$1:$AM$1,AGGREGATE(15,6,(COLUMN($M$1:$AM$1)-COLUMN($M$1)+1)/(M268:AM268&lt;&gt;""),1)))</f>
        <v/>
      </c>
      <c r="I268" s="14">
        <f>IF(COUNTA(M268:AM268)=0,"",INDEX($M$1:$AM$1,AGGREGATE(14,6,(COLUMN($M$1:$AM$1)-COLUMN($M$1)+1)/(M268:AM268&lt;&gt;""),1))+MAX(0,IFERROR(LOOKUP(2,1/(M268:AM268&lt;&gt;""),M268:AM268),1)-1))</f>
        <v/>
      </c>
      <c r="J268" s="14">
        <f>IF(I268="","",WORKDAY(I268,1))</f>
        <v/>
      </c>
      <c r="K268" s="15">
        <f>IF(COUNTA(M268:AM268),SUM(M268:AM268),IF(AND(H268&lt;&gt;"",I268&lt;&gt;""),NETWORKDAYS(H268,I268),""))</f>
        <v/>
      </c>
      <c r="L268" s="13" t="inlineStr"/>
      <c r="M268" s="16" t="inlineStr"/>
      <c r="N268" s="16" t="inlineStr"/>
      <c r="O268" s="16" t="inlineStr"/>
      <c r="P268" s="16" t="inlineStr"/>
      <c r="Q268" s="16" t="inlineStr"/>
      <c r="R268" s="16" t="inlineStr"/>
      <c r="S268" s="16" t="inlineStr"/>
      <c r="T268" s="16" t="inlineStr"/>
      <c r="U268" s="16" t="inlineStr"/>
      <c r="V268" s="16" t="inlineStr"/>
      <c r="W268" s="16" t="inlineStr"/>
      <c r="X268" s="16" t="inlineStr"/>
      <c r="Y268" s="16" t="inlineStr"/>
      <c r="Z268" s="16" t="inlineStr"/>
      <c r="AA268" s="16" t="inlineStr"/>
      <c r="AB268" s="16" t="inlineStr"/>
      <c r="AC268" s="16" t="inlineStr"/>
      <c r="AD268" s="16" t="inlineStr"/>
      <c r="AE268" s="16" t="inlineStr"/>
      <c r="AF268" s="16" t="inlineStr"/>
      <c r="AG268" s="16" t="inlineStr"/>
      <c r="AH268" s="16" t="inlineStr"/>
      <c r="AI268" s="16" t="inlineStr"/>
      <c r="AJ268" s="16" t="inlineStr"/>
      <c r="AK268" s="16" t="inlineStr"/>
      <c r="AL268" s="16" t="inlineStr"/>
      <c r="AM268" s="16" t="inlineStr"/>
    </row>
    <row r="269">
      <c r="A269" s="13" t="inlineStr"/>
      <c r="B269" s="13" t="inlineStr"/>
      <c r="C269" s="13" t="inlineStr"/>
      <c r="D269" s="13" t="inlineStr"/>
      <c r="E269" s="13" t="inlineStr"/>
      <c r="F269" s="13" t="inlineStr"/>
      <c r="G269" s="13" t="inlineStr"/>
      <c r="H269" s="14">
        <f>IF(COUNTA(M269:AM269)=0,"",INDEX($M$1:$AM$1,AGGREGATE(15,6,(COLUMN($M$1:$AM$1)-COLUMN($M$1)+1)/(M269:AM269&lt;&gt;""),1)))</f>
        <v/>
      </c>
      <c r="I269" s="14">
        <f>IF(COUNTA(M269:AM269)=0,"",INDEX($M$1:$AM$1,AGGREGATE(14,6,(COLUMN($M$1:$AM$1)-COLUMN($M$1)+1)/(M269:AM269&lt;&gt;""),1))+MAX(0,IFERROR(LOOKUP(2,1/(M269:AM269&lt;&gt;""),M269:AM269),1)-1))</f>
        <v/>
      </c>
      <c r="J269" s="14">
        <f>IF(I269="","",WORKDAY(I269,1))</f>
        <v/>
      </c>
      <c r="K269" s="15">
        <f>IF(COUNTA(M269:AM269),SUM(M269:AM269),IF(AND(H269&lt;&gt;"",I269&lt;&gt;""),NETWORKDAYS(H269,I269),""))</f>
        <v/>
      </c>
      <c r="L269" s="13" t="inlineStr"/>
      <c r="M269" s="16" t="inlineStr"/>
      <c r="N269" s="16" t="inlineStr"/>
      <c r="O269" s="16" t="inlineStr"/>
      <c r="P269" s="16" t="inlineStr"/>
      <c r="Q269" s="16" t="inlineStr"/>
      <c r="R269" s="16" t="inlineStr"/>
      <c r="S269" s="16" t="inlineStr"/>
      <c r="T269" s="16" t="inlineStr"/>
      <c r="U269" s="16" t="inlineStr"/>
      <c r="V269" s="16" t="inlineStr"/>
      <c r="W269" s="16" t="inlineStr"/>
      <c r="X269" s="16" t="inlineStr"/>
      <c r="Y269" s="16" t="inlineStr"/>
      <c r="Z269" s="16" t="inlineStr"/>
      <c r="AA269" s="16" t="inlineStr"/>
      <c r="AB269" s="16" t="inlineStr"/>
      <c r="AC269" s="16" t="inlineStr"/>
      <c r="AD269" s="16" t="inlineStr"/>
      <c r="AE269" s="16" t="inlineStr"/>
      <c r="AF269" s="16" t="inlineStr"/>
      <c r="AG269" s="16" t="inlineStr"/>
      <c r="AH269" s="16" t="inlineStr"/>
      <c r="AI269" s="16" t="inlineStr"/>
      <c r="AJ269" s="16" t="inlineStr"/>
      <c r="AK269" s="16" t="inlineStr"/>
      <c r="AL269" s="16" t="inlineStr"/>
      <c r="AM269" s="16" t="inlineStr"/>
    </row>
    <row r="270">
      <c r="A270" s="13" t="inlineStr"/>
      <c r="B270" s="13" t="inlineStr"/>
      <c r="C270" s="13" t="inlineStr"/>
      <c r="D270" s="13" t="inlineStr"/>
      <c r="E270" s="13" t="inlineStr"/>
      <c r="F270" s="13" t="inlineStr"/>
      <c r="G270" s="13" t="inlineStr"/>
      <c r="H270" s="14">
        <f>IF(COUNTA(M270:AM270)=0,"",INDEX($M$1:$AM$1,AGGREGATE(15,6,(COLUMN($M$1:$AM$1)-COLUMN($M$1)+1)/(M270:AM270&lt;&gt;""),1)))</f>
        <v/>
      </c>
      <c r="I270" s="14">
        <f>IF(COUNTA(M270:AM270)=0,"",INDEX($M$1:$AM$1,AGGREGATE(14,6,(COLUMN($M$1:$AM$1)-COLUMN($M$1)+1)/(M270:AM270&lt;&gt;""),1))+MAX(0,IFERROR(LOOKUP(2,1/(M270:AM270&lt;&gt;""),M270:AM270),1)-1))</f>
        <v/>
      </c>
      <c r="J270" s="14">
        <f>IF(I270="","",WORKDAY(I270,1))</f>
        <v/>
      </c>
      <c r="K270" s="15">
        <f>IF(COUNTA(M270:AM270),SUM(M270:AM270),IF(AND(H270&lt;&gt;"",I270&lt;&gt;""),NETWORKDAYS(H270,I270),""))</f>
        <v/>
      </c>
      <c r="L270" s="13" t="inlineStr"/>
      <c r="M270" s="16" t="inlineStr"/>
      <c r="N270" s="16" t="inlineStr"/>
      <c r="O270" s="16" t="inlineStr"/>
      <c r="P270" s="16" t="inlineStr"/>
      <c r="Q270" s="16" t="inlineStr"/>
      <c r="R270" s="16" t="inlineStr"/>
      <c r="S270" s="16" t="inlineStr"/>
      <c r="T270" s="16" t="inlineStr"/>
      <c r="U270" s="16" t="inlineStr"/>
      <c r="V270" s="16" t="inlineStr"/>
      <c r="W270" s="16" t="inlineStr"/>
      <c r="X270" s="16" t="inlineStr"/>
      <c r="Y270" s="16" t="inlineStr"/>
      <c r="Z270" s="16" t="inlineStr"/>
      <c r="AA270" s="16" t="inlineStr"/>
      <c r="AB270" s="16" t="inlineStr"/>
      <c r="AC270" s="16" t="inlineStr"/>
      <c r="AD270" s="16" t="inlineStr"/>
      <c r="AE270" s="16" t="inlineStr"/>
      <c r="AF270" s="16" t="inlineStr"/>
      <c r="AG270" s="16" t="inlineStr"/>
      <c r="AH270" s="16" t="inlineStr"/>
      <c r="AI270" s="16" t="inlineStr"/>
      <c r="AJ270" s="16" t="inlineStr"/>
      <c r="AK270" s="16" t="inlineStr"/>
      <c r="AL270" s="16" t="inlineStr"/>
      <c r="AM270" s="16" t="inlineStr"/>
    </row>
    <row r="271">
      <c r="A271" s="13" t="inlineStr"/>
      <c r="B271" s="13" t="inlineStr"/>
      <c r="C271" s="13" t="inlineStr"/>
      <c r="D271" s="13" t="inlineStr"/>
      <c r="E271" s="13" t="inlineStr"/>
      <c r="F271" s="13" t="inlineStr"/>
      <c r="G271" s="13" t="inlineStr"/>
      <c r="H271" s="14">
        <f>IF(COUNTA(M271:AM271)=0,"",INDEX($M$1:$AM$1,AGGREGATE(15,6,(COLUMN($M$1:$AM$1)-COLUMN($M$1)+1)/(M271:AM271&lt;&gt;""),1)))</f>
        <v/>
      </c>
      <c r="I271" s="14">
        <f>IF(COUNTA(M271:AM271)=0,"",INDEX($M$1:$AM$1,AGGREGATE(14,6,(COLUMN($M$1:$AM$1)-COLUMN($M$1)+1)/(M271:AM271&lt;&gt;""),1))+MAX(0,IFERROR(LOOKUP(2,1/(M271:AM271&lt;&gt;""),M271:AM271),1)-1))</f>
        <v/>
      </c>
      <c r="J271" s="14">
        <f>IF(I271="","",WORKDAY(I271,1))</f>
        <v/>
      </c>
      <c r="K271" s="15">
        <f>IF(COUNTA(M271:AM271),SUM(M271:AM271),IF(AND(H271&lt;&gt;"",I271&lt;&gt;""),NETWORKDAYS(H271,I271),""))</f>
        <v/>
      </c>
      <c r="L271" s="13" t="inlineStr"/>
      <c r="M271" s="16" t="inlineStr"/>
      <c r="N271" s="16" t="inlineStr"/>
      <c r="O271" s="16" t="inlineStr"/>
      <c r="P271" s="16" t="inlineStr"/>
      <c r="Q271" s="16" t="inlineStr"/>
      <c r="R271" s="16" t="inlineStr"/>
      <c r="S271" s="16" t="inlineStr"/>
      <c r="T271" s="16" t="inlineStr"/>
      <c r="U271" s="16" t="inlineStr"/>
      <c r="V271" s="16" t="inlineStr"/>
      <c r="W271" s="16" t="inlineStr"/>
      <c r="X271" s="16" t="inlineStr"/>
      <c r="Y271" s="16" t="inlineStr"/>
      <c r="Z271" s="16" t="inlineStr"/>
      <c r="AA271" s="16" t="inlineStr"/>
      <c r="AB271" s="16" t="inlineStr"/>
      <c r="AC271" s="16" t="inlineStr"/>
      <c r="AD271" s="16" t="inlineStr"/>
      <c r="AE271" s="16" t="inlineStr"/>
      <c r="AF271" s="16" t="inlineStr"/>
      <c r="AG271" s="16" t="inlineStr"/>
      <c r="AH271" s="16" t="inlineStr"/>
      <c r="AI271" s="16" t="inlineStr"/>
      <c r="AJ271" s="16" t="inlineStr"/>
      <c r="AK271" s="16" t="inlineStr"/>
      <c r="AL271" s="16" t="inlineStr"/>
      <c r="AM271" s="16" t="inlineStr"/>
    </row>
    <row r="272">
      <c r="A272" s="13" t="inlineStr"/>
      <c r="B272" s="13" t="inlineStr"/>
      <c r="C272" s="13" t="inlineStr"/>
      <c r="D272" s="13" t="inlineStr"/>
      <c r="E272" s="13" t="inlineStr"/>
      <c r="F272" s="13" t="inlineStr"/>
      <c r="G272" s="13" t="inlineStr"/>
      <c r="H272" s="14">
        <f>IF(COUNTA(M272:AM272)=0,"",INDEX($M$1:$AM$1,AGGREGATE(15,6,(COLUMN($M$1:$AM$1)-COLUMN($M$1)+1)/(M272:AM272&lt;&gt;""),1)))</f>
        <v/>
      </c>
      <c r="I272" s="14">
        <f>IF(COUNTA(M272:AM272)=0,"",INDEX($M$1:$AM$1,AGGREGATE(14,6,(COLUMN($M$1:$AM$1)-COLUMN($M$1)+1)/(M272:AM272&lt;&gt;""),1))+MAX(0,IFERROR(LOOKUP(2,1/(M272:AM272&lt;&gt;""),M272:AM272),1)-1))</f>
        <v/>
      </c>
      <c r="J272" s="14">
        <f>IF(I272="","",WORKDAY(I272,1))</f>
        <v/>
      </c>
      <c r="K272" s="15">
        <f>IF(COUNTA(M272:AM272),SUM(M272:AM272),IF(AND(H272&lt;&gt;"",I272&lt;&gt;""),NETWORKDAYS(H272,I272),""))</f>
        <v/>
      </c>
      <c r="L272" s="13" t="inlineStr"/>
      <c r="M272" s="16" t="inlineStr"/>
      <c r="N272" s="16" t="inlineStr"/>
      <c r="O272" s="16" t="inlineStr"/>
      <c r="P272" s="16" t="inlineStr"/>
      <c r="Q272" s="16" t="inlineStr"/>
      <c r="R272" s="16" t="inlineStr"/>
      <c r="S272" s="16" t="inlineStr"/>
      <c r="T272" s="16" t="inlineStr"/>
      <c r="U272" s="16" t="inlineStr"/>
      <c r="V272" s="16" t="inlineStr"/>
      <c r="W272" s="16" t="inlineStr"/>
      <c r="X272" s="16" t="inlineStr"/>
      <c r="Y272" s="16" t="inlineStr"/>
      <c r="Z272" s="16" t="inlineStr"/>
      <c r="AA272" s="16" t="inlineStr"/>
      <c r="AB272" s="16" t="inlineStr"/>
      <c r="AC272" s="16" t="inlineStr"/>
      <c r="AD272" s="16" t="inlineStr"/>
      <c r="AE272" s="16" t="inlineStr"/>
      <c r="AF272" s="16" t="inlineStr"/>
      <c r="AG272" s="16" t="inlineStr"/>
      <c r="AH272" s="16" t="inlineStr"/>
      <c r="AI272" s="16" t="inlineStr"/>
      <c r="AJ272" s="16" t="inlineStr"/>
      <c r="AK272" s="16" t="inlineStr"/>
      <c r="AL272" s="16" t="inlineStr"/>
      <c r="AM272" s="16" t="inlineStr"/>
    </row>
    <row r="273">
      <c r="A273" s="13" t="inlineStr"/>
      <c r="B273" s="13" t="inlineStr"/>
      <c r="C273" s="13" t="inlineStr"/>
      <c r="D273" s="13" t="inlineStr"/>
      <c r="E273" s="13" t="inlineStr"/>
      <c r="F273" s="13" t="inlineStr"/>
      <c r="G273" s="13" t="inlineStr"/>
      <c r="H273" s="14">
        <f>IF(COUNTA(M273:AM273)=0,"",INDEX($M$1:$AM$1,AGGREGATE(15,6,(COLUMN($M$1:$AM$1)-COLUMN($M$1)+1)/(M273:AM273&lt;&gt;""),1)))</f>
        <v/>
      </c>
      <c r="I273" s="14">
        <f>IF(COUNTA(M273:AM273)=0,"",INDEX($M$1:$AM$1,AGGREGATE(14,6,(COLUMN($M$1:$AM$1)-COLUMN($M$1)+1)/(M273:AM273&lt;&gt;""),1))+MAX(0,IFERROR(LOOKUP(2,1/(M273:AM273&lt;&gt;""),M273:AM273),1)-1))</f>
        <v/>
      </c>
      <c r="J273" s="14">
        <f>IF(I273="","",WORKDAY(I273,1))</f>
        <v/>
      </c>
      <c r="K273" s="15">
        <f>IF(COUNTA(M273:AM273),SUM(M273:AM273),IF(AND(H273&lt;&gt;"",I273&lt;&gt;""),NETWORKDAYS(H273,I273),""))</f>
        <v/>
      </c>
      <c r="L273" s="13" t="inlineStr"/>
      <c r="M273" s="16" t="inlineStr"/>
      <c r="N273" s="16" t="inlineStr"/>
      <c r="O273" s="16" t="inlineStr"/>
      <c r="P273" s="16" t="inlineStr"/>
      <c r="Q273" s="16" t="inlineStr"/>
      <c r="R273" s="16" t="inlineStr"/>
      <c r="S273" s="16" t="inlineStr"/>
      <c r="T273" s="16" t="inlineStr"/>
      <c r="U273" s="16" t="inlineStr"/>
      <c r="V273" s="16" t="inlineStr"/>
      <c r="W273" s="16" t="inlineStr"/>
      <c r="X273" s="16" t="inlineStr"/>
      <c r="Y273" s="16" t="inlineStr"/>
      <c r="Z273" s="16" t="inlineStr"/>
      <c r="AA273" s="16" t="inlineStr"/>
      <c r="AB273" s="16" t="inlineStr"/>
      <c r="AC273" s="16" t="inlineStr"/>
      <c r="AD273" s="16" t="inlineStr"/>
      <c r="AE273" s="16" t="inlineStr"/>
      <c r="AF273" s="16" t="inlineStr"/>
      <c r="AG273" s="16" t="inlineStr"/>
      <c r="AH273" s="16" t="inlineStr"/>
      <c r="AI273" s="16" t="inlineStr"/>
      <c r="AJ273" s="16" t="inlineStr"/>
      <c r="AK273" s="16" t="inlineStr"/>
      <c r="AL273" s="16" t="inlineStr"/>
      <c r="AM273" s="16" t="inlineStr"/>
    </row>
    <row r="274">
      <c r="A274" s="13" t="inlineStr"/>
      <c r="B274" s="13" t="inlineStr"/>
      <c r="C274" s="13" t="inlineStr"/>
      <c r="D274" s="13" t="inlineStr"/>
      <c r="E274" s="13" t="inlineStr"/>
      <c r="F274" s="13" t="inlineStr"/>
      <c r="G274" s="13" t="inlineStr"/>
      <c r="H274" s="14">
        <f>IF(COUNTA(M274:AM274)=0,"",INDEX($M$1:$AM$1,AGGREGATE(15,6,(COLUMN($M$1:$AM$1)-COLUMN($M$1)+1)/(M274:AM274&lt;&gt;""),1)))</f>
        <v/>
      </c>
      <c r="I274" s="14">
        <f>IF(COUNTA(M274:AM274)=0,"",INDEX($M$1:$AM$1,AGGREGATE(14,6,(COLUMN($M$1:$AM$1)-COLUMN($M$1)+1)/(M274:AM274&lt;&gt;""),1))+MAX(0,IFERROR(LOOKUP(2,1/(M274:AM274&lt;&gt;""),M274:AM274),1)-1))</f>
        <v/>
      </c>
      <c r="J274" s="14">
        <f>IF(I274="","",WORKDAY(I274,1))</f>
        <v/>
      </c>
      <c r="K274" s="15">
        <f>IF(COUNTA(M274:AM274),SUM(M274:AM274),IF(AND(H274&lt;&gt;"",I274&lt;&gt;""),NETWORKDAYS(H274,I274),""))</f>
        <v/>
      </c>
      <c r="L274" s="13" t="inlineStr"/>
      <c r="M274" s="16" t="inlineStr"/>
      <c r="N274" s="16" t="inlineStr"/>
      <c r="O274" s="16" t="inlineStr"/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6" t="inlineStr"/>
      <c r="AD274" s="16" t="inlineStr"/>
      <c r="AE274" s="16" t="inlineStr"/>
      <c r="AF274" s="16" t="inlineStr"/>
      <c r="AG274" s="16" t="inlineStr"/>
      <c r="AH274" s="16" t="inlineStr"/>
      <c r="AI274" s="16" t="inlineStr"/>
      <c r="AJ274" s="16" t="inlineStr"/>
      <c r="AK274" s="16" t="inlineStr"/>
      <c r="AL274" s="16" t="inlineStr"/>
      <c r="AM274" s="16" t="inlineStr"/>
    </row>
    <row r="275">
      <c r="A275" s="13" t="inlineStr"/>
      <c r="B275" s="13" t="inlineStr"/>
      <c r="C275" s="13" t="inlineStr"/>
      <c r="D275" s="13" t="inlineStr"/>
      <c r="E275" s="13" t="inlineStr"/>
      <c r="F275" s="13" t="inlineStr"/>
      <c r="G275" s="13" t="inlineStr"/>
      <c r="H275" s="14">
        <f>IF(COUNTA(M275:AM275)=0,"",INDEX($M$1:$AM$1,AGGREGATE(15,6,(COLUMN($M$1:$AM$1)-COLUMN($M$1)+1)/(M275:AM275&lt;&gt;""),1)))</f>
        <v/>
      </c>
      <c r="I275" s="14">
        <f>IF(COUNTA(M275:AM275)=0,"",INDEX($M$1:$AM$1,AGGREGATE(14,6,(COLUMN($M$1:$AM$1)-COLUMN($M$1)+1)/(M275:AM275&lt;&gt;""),1))+MAX(0,IFERROR(LOOKUP(2,1/(M275:AM275&lt;&gt;""),M275:AM275),1)-1))</f>
        <v/>
      </c>
      <c r="J275" s="14">
        <f>IF(I275="","",WORKDAY(I275,1))</f>
        <v/>
      </c>
      <c r="K275" s="15">
        <f>IF(COUNTA(M275:AM275),SUM(M275:AM275),IF(AND(H275&lt;&gt;"",I275&lt;&gt;""),NETWORKDAYS(H275,I275),""))</f>
        <v/>
      </c>
      <c r="L275" s="13" t="inlineStr"/>
      <c r="M275" s="16" t="inlineStr"/>
      <c r="N275" s="16" t="inlineStr"/>
      <c r="O275" s="16" t="inlineStr"/>
      <c r="P275" s="16" t="inlineStr"/>
      <c r="Q275" s="16" t="inlineStr"/>
      <c r="R275" s="16" t="inlineStr"/>
      <c r="S275" s="16" t="inlineStr"/>
      <c r="T275" s="16" t="inlineStr"/>
      <c r="U275" s="16" t="inlineStr"/>
      <c r="V275" s="16" t="inlineStr"/>
      <c r="W275" s="16" t="inlineStr"/>
      <c r="X275" s="16" t="inlineStr"/>
      <c r="Y275" s="16" t="inlineStr"/>
      <c r="Z275" s="16" t="inlineStr"/>
      <c r="AA275" s="16" t="inlineStr"/>
      <c r="AB275" s="16" t="inlineStr"/>
      <c r="AC275" s="16" t="inlineStr"/>
      <c r="AD275" s="16" t="inlineStr"/>
      <c r="AE275" s="16" t="inlineStr"/>
      <c r="AF275" s="16" t="inlineStr"/>
      <c r="AG275" s="16" t="inlineStr"/>
      <c r="AH275" s="16" t="inlineStr"/>
      <c r="AI275" s="16" t="inlineStr"/>
      <c r="AJ275" s="16" t="inlineStr"/>
      <c r="AK275" s="16" t="inlineStr"/>
      <c r="AL275" s="16" t="inlineStr"/>
      <c r="AM275" s="16" t="inlineStr"/>
    </row>
    <row r="276">
      <c r="A276" s="13" t="inlineStr"/>
      <c r="B276" s="13" t="inlineStr"/>
      <c r="C276" s="13" t="inlineStr"/>
      <c r="D276" s="13" t="inlineStr"/>
      <c r="E276" s="13" t="inlineStr"/>
      <c r="F276" s="13" t="inlineStr"/>
      <c r="G276" s="13" t="inlineStr"/>
      <c r="H276" s="14">
        <f>IF(COUNTA(M276:AM276)=0,"",INDEX($M$1:$AM$1,AGGREGATE(15,6,(COLUMN($M$1:$AM$1)-COLUMN($M$1)+1)/(M276:AM276&lt;&gt;""),1)))</f>
        <v/>
      </c>
      <c r="I276" s="14">
        <f>IF(COUNTA(M276:AM276)=0,"",INDEX($M$1:$AM$1,AGGREGATE(14,6,(COLUMN($M$1:$AM$1)-COLUMN($M$1)+1)/(M276:AM276&lt;&gt;""),1))+MAX(0,IFERROR(LOOKUP(2,1/(M276:AM276&lt;&gt;""),M276:AM276),1)-1))</f>
        <v/>
      </c>
      <c r="J276" s="14">
        <f>IF(I276="","",WORKDAY(I276,1))</f>
        <v/>
      </c>
      <c r="K276" s="15">
        <f>IF(COUNTA(M276:AM276),SUM(M276:AM276),IF(AND(H276&lt;&gt;"",I276&lt;&gt;""),NETWORKDAYS(H276,I276),""))</f>
        <v/>
      </c>
      <c r="L276" s="13" t="inlineStr"/>
      <c r="M276" s="16" t="inlineStr"/>
      <c r="N276" s="16" t="inlineStr"/>
      <c r="O276" s="16" t="inlineStr"/>
      <c r="P276" s="16" t="inlineStr"/>
      <c r="Q276" s="16" t="inlineStr"/>
      <c r="R276" s="16" t="inlineStr"/>
      <c r="S276" s="16" t="inlineStr"/>
      <c r="T276" s="16" t="inlineStr"/>
      <c r="U276" s="16" t="inlineStr"/>
      <c r="V276" s="16" t="inlineStr"/>
      <c r="W276" s="16" t="inlineStr"/>
      <c r="X276" s="16" t="inlineStr"/>
      <c r="Y276" s="16" t="inlineStr"/>
      <c r="Z276" s="16" t="inlineStr"/>
      <c r="AA276" s="16" t="inlineStr"/>
      <c r="AB276" s="16" t="inlineStr"/>
      <c r="AC276" s="16" t="inlineStr"/>
      <c r="AD276" s="16" t="inlineStr"/>
      <c r="AE276" s="16" t="inlineStr"/>
      <c r="AF276" s="16" t="inlineStr"/>
      <c r="AG276" s="16" t="inlineStr"/>
      <c r="AH276" s="16" t="inlineStr"/>
      <c r="AI276" s="16" t="inlineStr"/>
      <c r="AJ276" s="16" t="inlineStr"/>
      <c r="AK276" s="16" t="inlineStr"/>
      <c r="AL276" s="16" t="inlineStr"/>
      <c r="AM276" s="16" t="inlineStr"/>
    </row>
    <row r="277">
      <c r="A277" s="13" t="inlineStr"/>
      <c r="B277" s="13" t="inlineStr"/>
      <c r="C277" s="13" t="inlineStr"/>
      <c r="D277" s="13" t="inlineStr"/>
      <c r="E277" s="13" t="inlineStr"/>
      <c r="F277" s="13" t="inlineStr"/>
      <c r="G277" s="13" t="inlineStr"/>
      <c r="H277" s="14">
        <f>IF(COUNTA(M277:AM277)=0,"",INDEX($M$1:$AM$1,AGGREGATE(15,6,(COLUMN($M$1:$AM$1)-COLUMN($M$1)+1)/(M277:AM277&lt;&gt;""),1)))</f>
        <v/>
      </c>
      <c r="I277" s="14">
        <f>IF(COUNTA(M277:AM277)=0,"",INDEX($M$1:$AM$1,AGGREGATE(14,6,(COLUMN($M$1:$AM$1)-COLUMN($M$1)+1)/(M277:AM277&lt;&gt;""),1))+MAX(0,IFERROR(LOOKUP(2,1/(M277:AM277&lt;&gt;""),M277:AM277),1)-1))</f>
        <v/>
      </c>
      <c r="J277" s="14">
        <f>IF(I277="","",WORKDAY(I277,1))</f>
        <v/>
      </c>
      <c r="K277" s="15">
        <f>IF(COUNTA(M277:AM277),SUM(M277:AM277),IF(AND(H277&lt;&gt;"",I277&lt;&gt;""),NETWORKDAYS(H277,I277),""))</f>
        <v/>
      </c>
      <c r="L277" s="13" t="inlineStr"/>
      <c r="M277" s="16" t="inlineStr"/>
      <c r="N277" s="16" t="inlineStr"/>
      <c r="O277" s="16" t="inlineStr"/>
      <c r="P277" s="16" t="inlineStr"/>
      <c r="Q277" s="16" t="inlineStr"/>
      <c r="R277" s="16" t="inlineStr"/>
      <c r="S277" s="16" t="inlineStr"/>
      <c r="T277" s="16" t="inlineStr"/>
      <c r="U277" s="16" t="inlineStr"/>
      <c r="V277" s="16" t="inlineStr"/>
      <c r="W277" s="16" t="inlineStr"/>
      <c r="X277" s="16" t="inlineStr"/>
      <c r="Y277" s="16" t="inlineStr"/>
      <c r="Z277" s="16" t="inlineStr"/>
      <c r="AA277" s="16" t="inlineStr"/>
      <c r="AB277" s="16" t="inlineStr"/>
      <c r="AC277" s="16" t="inlineStr"/>
      <c r="AD277" s="16" t="inlineStr"/>
      <c r="AE277" s="16" t="inlineStr"/>
      <c r="AF277" s="16" t="inlineStr"/>
      <c r="AG277" s="16" t="inlineStr"/>
      <c r="AH277" s="16" t="inlineStr"/>
      <c r="AI277" s="16" t="inlineStr"/>
      <c r="AJ277" s="16" t="inlineStr"/>
      <c r="AK277" s="16" t="inlineStr"/>
      <c r="AL277" s="16" t="inlineStr"/>
      <c r="AM277" s="16" t="inlineStr"/>
    </row>
    <row r="278">
      <c r="A278" s="13" t="inlineStr"/>
      <c r="B278" s="13" t="inlineStr"/>
      <c r="C278" s="13" t="inlineStr"/>
      <c r="D278" s="13" t="inlineStr"/>
      <c r="E278" s="13" t="inlineStr"/>
      <c r="F278" s="13" t="inlineStr"/>
      <c r="G278" s="13" t="inlineStr"/>
      <c r="H278" s="14">
        <f>IF(COUNTA(M278:AM278)=0,"",INDEX($M$1:$AM$1,AGGREGATE(15,6,(COLUMN($M$1:$AM$1)-COLUMN($M$1)+1)/(M278:AM278&lt;&gt;""),1)))</f>
        <v/>
      </c>
      <c r="I278" s="14">
        <f>IF(COUNTA(M278:AM278)=0,"",INDEX($M$1:$AM$1,AGGREGATE(14,6,(COLUMN($M$1:$AM$1)-COLUMN($M$1)+1)/(M278:AM278&lt;&gt;""),1))+MAX(0,IFERROR(LOOKUP(2,1/(M278:AM278&lt;&gt;""),M278:AM278),1)-1))</f>
        <v/>
      </c>
      <c r="J278" s="14">
        <f>IF(I278="","",WORKDAY(I278,1))</f>
        <v/>
      </c>
      <c r="K278" s="15">
        <f>IF(COUNTA(M278:AM278),SUM(M278:AM278),IF(AND(H278&lt;&gt;"",I278&lt;&gt;""),NETWORKDAYS(H278,I278),""))</f>
        <v/>
      </c>
      <c r="L278" s="13" t="inlineStr"/>
      <c r="M278" s="16" t="inlineStr"/>
      <c r="N278" s="16" t="inlineStr"/>
      <c r="O278" s="16" t="inlineStr"/>
      <c r="P278" s="16" t="inlineStr"/>
      <c r="Q278" s="16" t="inlineStr"/>
      <c r="R278" s="16" t="inlineStr"/>
      <c r="S278" s="16" t="inlineStr"/>
      <c r="T278" s="16" t="inlineStr"/>
      <c r="U278" s="16" t="inlineStr"/>
      <c r="V278" s="16" t="inlineStr"/>
      <c r="W278" s="16" t="inlineStr"/>
      <c r="X278" s="16" t="inlineStr"/>
      <c r="Y278" s="16" t="inlineStr"/>
      <c r="Z278" s="16" t="inlineStr"/>
      <c r="AA278" s="16" t="inlineStr"/>
      <c r="AB278" s="16" t="inlineStr"/>
      <c r="AC278" s="16" t="inlineStr"/>
      <c r="AD278" s="16" t="inlineStr"/>
      <c r="AE278" s="16" t="inlineStr"/>
      <c r="AF278" s="16" t="inlineStr"/>
      <c r="AG278" s="16" t="inlineStr"/>
      <c r="AH278" s="16" t="inlineStr"/>
      <c r="AI278" s="16" t="inlineStr"/>
      <c r="AJ278" s="16" t="inlineStr"/>
      <c r="AK278" s="16" t="inlineStr"/>
      <c r="AL278" s="16" t="inlineStr"/>
      <c r="AM278" s="16" t="inlineStr"/>
    </row>
    <row r="279">
      <c r="A279" s="13" t="inlineStr"/>
      <c r="B279" s="13" t="inlineStr"/>
      <c r="C279" s="13" t="inlineStr"/>
      <c r="D279" s="13" t="inlineStr"/>
      <c r="E279" s="13" t="inlineStr"/>
      <c r="F279" s="13" t="inlineStr"/>
      <c r="G279" s="13" t="inlineStr"/>
      <c r="H279" s="14">
        <f>IF(COUNTA(M279:AM279)=0,"",INDEX($M$1:$AM$1,AGGREGATE(15,6,(COLUMN($M$1:$AM$1)-COLUMN($M$1)+1)/(M279:AM279&lt;&gt;""),1)))</f>
        <v/>
      </c>
      <c r="I279" s="14">
        <f>IF(COUNTA(M279:AM279)=0,"",INDEX($M$1:$AM$1,AGGREGATE(14,6,(COLUMN($M$1:$AM$1)-COLUMN($M$1)+1)/(M279:AM279&lt;&gt;""),1))+MAX(0,IFERROR(LOOKUP(2,1/(M279:AM279&lt;&gt;""),M279:AM279),1)-1))</f>
        <v/>
      </c>
      <c r="J279" s="14">
        <f>IF(I279="","",WORKDAY(I279,1))</f>
        <v/>
      </c>
      <c r="K279" s="15">
        <f>IF(COUNTA(M279:AM279),SUM(M279:AM279),IF(AND(H279&lt;&gt;"",I279&lt;&gt;""),NETWORKDAYS(H279,I279),""))</f>
        <v/>
      </c>
      <c r="L279" s="13" t="inlineStr"/>
      <c r="M279" s="16" t="inlineStr"/>
      <c r="N279" s="16" t="inlineStr"/>
      <c r="O279" s="16" t="inlineStr"/>
      <c r="P279" s="16" t="inlineStr"/>
      <c r="Q279" s="16" t="inlineStr"/>
      <c r="R279" s="16" t="inlineStr"/>
      <c r="S279" s="16" t="inlineStr"/>
      <c r="T279" s="16" t="inlineStr"/>
      <c r="U279" s="16" t="inlineStr"/>
      <c r="V279" s="16" t="inlineStr"/>
      <c r="W279" s="16" t="inlineStr"/>
      <c r="X279" s="16" t="inlineStr"/>
      <c r="Y279" s="16" t="inlineStr"/>
      <c r="Z279" s="16" t="inlineStr"/>
      <c r="AA279" s="16" t="inlineStr"/>
      <c r="AB279" s="16" t="inlineStr"/>
      <c r="AC279" s="16" t="inlineStr"/>
      <c r="AD279" s="16" t="inlineStr"/>
      <c r="AE279" s="16" t="inlineStr"/>
      <c r="AF279" s="16" t="inlineStr"/>
      <c r="AG279" s="16" t="inlineStr"/>
      <c r="AH279" s="16" t="inlineStr"/>
      <c r="AI279" s="16" t="inlineStr"/>
      <c r="AJ279" s="16" t="inlineStr"/>
      <c r="AK279" s="16" t="inlineStr"/>
      <c r="AL279" s="16" t="inlineStr"/>
      <c r="AM279" s="16" t="inlineStr"/>
    </row>
    <row r="280">
      <c r="A280" s="13" t="inlineStr"/>
      <c r="B280" s="13" t="inlineStr"/>
      <c r="C280" s="13" t="inlineStr"/>
      <c r="D280" s="13" t="inlineStr"/>
      <c r="E280" s="13" t="inlineStr"/>
      <c r="F280" s="13" t="inlineStr"/>
      <c r="G280" s="13" t="inlineStr"/>
      <c r="H280" s="14">
        <f>IF(COUNTA(M280:AM280)=0,"",INDEX($M$1:$AM$1,AGGREGATE(15,6,(COLUMN($M$1:$AM$1)-COLUMN($M$1)+1)/(M280:AM280&lt;&gt;""),1)))</f>
        <v/>
      </c>
      <c r="I280" s="14">
        <f>IF(COUNTA(M280:AM280)=0,"",INDEX($M$1:$AM$1,AGGREGATE(14,6,(COLUMN($M$1:$AM$1)-COLUMN($M$1)+1)/(M280:AM280&lt;&gt;""),1))+MAX(0,IFERROR(LOOKUP(2,1/(M280:AM280&lt;&gt;""),M280:AM280),1)-1))</f>
        <v/>
      </c>
      <c r="J280" s="14">
        <f>IF(I280="","",WORKDAY(I280,1))</f>
        <v/>
      </c>
      <c r="K280" s="15">
        <f>IF(COUNTA(M280:AM280),SUM(M280:AM280),IF(AND(H280&lt;&gt;"",I280&lt;&gt;""),NETWORKDAYS(H280,I280),""))</f>
        <v/>
      </c>
      <c r="L280" s="13" t="inlineStr"/>
      <c r="M280" s="16" t="inlineStr"/>
      <c r="N280" s="16" t="inlineStr"/>
      <c r="O280" s="16" t="inlineStr"/>
      <c r="P280" s="16" t="inlineStr"/>
      <c r="Q280" s="16" t="inlineStr"/>
      <c r="R280" s="16" t="inlineStr"/>
      <c r="S280" s="16" t="inlineStr"/>
      <c r="T280" s="16" t="inlineStr"/>
      <c r="U280" s="16" t="inlineStr"/>
      <c r="V280" s="16" t="inlineStr"/>
      <c r="W280" s="16" t="inlineStr"/>
      <c r="X280" s="16" t="inlineStr"/>
      <c r="Y280" s="16" t="inlineStr"/>
      <c r="Z280" s="16" t="inlineStr"/>
      <c r="AA280" s="16" t="inlineStr"/>
      <c r="AB280" s="16" t="inlineStr"/>
      <c r="AC280" s="16" t="inlineStr"/>
      <c r="AD280" s="16" t="inlineStr"/>
      <c r="AE280" s="16" t="inlineStr"/>
      <c r="AF280" s="16" t="inlineStr"/>
      <c r="AG280" s="16" t="inlineStr"/>
      <c r="AH280" s="16" t="inlineStr"/>
      <c r="AI280" s="16" t="inlineStr"/>
      <c r="AJ280" s="16" t="inlineStr"/>
      <c r="AK280" s="16" t="inlineStr"/>
      <c r="AL280" s="16" t="inlineStr"/>
      <c r="AM280" s="16" t="inlineStr"/>
    </row>
    <row r="281">
      <c r="A281" s="13" t="inlineStr"/>
      <c r="B281" s="13" t="inlineStr"/>
      <c r="C281" s="13" t="inlineStr"/>
      <c r="D281" s="13" t="inlineStr"/>
      <c r="E281" s="13" t="inlineStr"/>
      <c r="F281" s="13" t="inlineStr"/>
      <c r="G281" s="13" t="inlineStr"/>
      <c r="H281" s="14">
        <f>IF(COUNTA(M281:AM281)=0,"",INDEX($M$1:$AM$1,AGGREGATE(15,6,(COLUMN($M$1:$AM$1)-COLUMN($M$1)+1)/(M281:AM281&lt;&gt;""),1)))</f>
        <v/>
      </c>
      <c r="I281" s="14">
        <f>IF(COUNTA(M281:AM281)=0,"",INDEX($M$1:$AM$1,AGGREGATE(14,6,(COLUMN($M$1:$AM$1)-COLUMN($M$1)+1)/(M281:AM281&lt;&gt;""),1))+MAX(0,IFERROR(LOOKUP(2,1/(M281:AM281&lt;&gt;""),M281:AM281),1)-1))</f>
        <v/>
      </c>
      <c r="J281" s="14">
        <f>IF(I281="","",WORKDAY(I281,1))</f>
        <v/>
      </c>
      <c r="K281" s="15">
        <f>IF(COUNTA(M281:AM281),SUM(M281:AM281),IF(AND(H281&lt;&gt;"",I281&lt;&gt;""),NETWORKDAYS(H281,I281),""))</f>
        <v/>
      </c>
      <c r="L281" s="13" t="inlineStr"/>
      <c r="M281" s="16" t="inlineStr"/>
      <c r="N281" s="16" t="inlineStr"/>
      <c r="O281" s="16" t="inlineStr"/>
      <c r="P281" s="16" t="inlineStr"/>
      <c r="Q281" s="16" t="inlineStr"/>
      <c r="R281" s="16" t="inlineStr"/>
      <c r="S281" s="16" t="inlineStr"/>
      <c r="T281" s="16" t="inlineStr"/>
      <c r="U281" s="16" t="inlineStr"/>
      <c r="V281" s="16" t="inlineStr"/>
      <c r="W281" s="16" t="inlineStr"/>
      <c r="X281" s="16" t="inlineStr"/>
      <c r="Y281" s="16" t="inlineStr"/>
      <c r="Z281" s="16" t="inlineStr"/>
      <c r="AA281" s="16" t="inlineStr"/>
      <c r="AB281" s="16" t="inlineStr"/>
      <c r="AC281" s="16" t="inlineStr"/>
      <c r="AD281" s="16" t="inlineStr"/>
      <c r="AE281" s="16" t="inlineStr"/>
      <c r="AF281" s="16" t="inlineStr"/>
      <c r="AG281" s="16" t="inlineStr"/>
      <c r="AH281" s="16" t="inlineStr"/>
      <c r="AI281" s="16" t="inlineStr"/>
      <c r="AJ281" s="16" t="inlineStr"/>
      <c r="AK281" s="16" t="inlineStr"/>
      <c r="AL281" s="16" t="inlineStr"/>
      <c r="AM281" s="16" t="inlineStr"/>
    </row>
  </sheetData>
  <autoFilter ref="A1:AM281"/>
  <conditionalFormatting sqref="A2:A281">
    <cfRule type="expression" priority="1" dxfId="0">
      <formula>$A2="Монетизация"</formula>
    </cfRule>
    <cfRule type="expression" priority="2" dxfId="1">
      <formula>$A2="Домашний интернет"</formula>
    </cfRule>
    <cfRule type="expression" priority="3" dxfId="2">
      <formula>$A2="ДГП"</formula>
    </cfRule>
    <cfRule type="expression" priority="4" dxfId="3">
      <formula>$A2="МегаИнтернет"</formula>
    </cfRule>
    <cfRule type="expression" priority="5" dxfId="4">
      <formula>$A2="Тарифы"</formula>
    </cfRule>
  </conditionalFormatting>
  <dataValidations count="6">
    <dataValidation sqref="A2:A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=Справочник!$A$2:$A$6</formula1>
    </dataValidation>
    <dataValidation sqref="D2:D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=Справочник!$C$2:$C$3</formula1>
    </dataValidation>
    <dataValidation sqref="E2:E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=Справочник!$E$2:$E$38</formula1>
    </dataValidation>
    <dataValidation sqref="F2:F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=Справочник!$G$2:$G$8</formula1>
    </dataValidation>
    <dataValidation sqref="G2:G281" showDropDown="0" showInputMessage="0" showErrorMessage="1" allowBlank="1" errorTitle="Неверное значение" error="Выберите значение из списка — так не будет разночтений." type="list">
      <formula1>"да"</formula1>
    </dataValidation>
    <dataValidation sqref="M2:AM281" showDropDown="0" showInputMessage="0" showErrorMessage="1" allowBlank="1" errorTitle="Неверное значение" error="Выберите значение из списка — так не будет разночтений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2026-08-16T11:17:09Z</dcterms:created>
  <dcterms:modified xsi:type="dcterms:W3CDTF">2026-08-16T11:17:09Z</dcterms:modified>
</cp:coreProperties>
</file>