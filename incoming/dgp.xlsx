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gafon.ru\fr\MF\MSK\VOL11\evgenia.zanina\Desktop\B2C\"/>
    </mc:Choice>
  </mc:AlternateContent>
  <xr:revisionPtr revIDLastSave="0" documentId="13_ncr:1_{39BE92C7-AD60-4081-991B-F379554D52B1}" xr6:coauthVersionLast="47" xr6:coauthVersionMax="47" xr10:uidLastSave="{00000000-0000-0000-0000-000000000000}"/>
  <bookViews>
    <workbookView xWindow="-120" yWindow="-120" windowWidth="21840" windowHeight="13140" activeTab="4" xr2:uid="{BE71E01B-FFED-44AB-B91B-A60317CEFAE4}"/>
  </bookViews>
  <sheets>
    <sheet name="Оценки 2Q26" sheetId="5" r:id="rId1"/>
    <sheet name="Оценки 3Q26" sheetId="13" r:id="rId2"/>
    <sheet name="Емкость 3Q26" sheetId="14" r:id="rId3"/>
    <sheet name="Емкость команды" sheetId="18" r:id="rId4"/>
    <sheet name="График 2026" sheetId="7" r:id="rId5"/>
    <sheet name="Сценарии ДГП" sheetId="17" r:id="rId6"/>
    <sheet name="Роли НЕ Мегафон" sheetId="12" r:id="rId7"/>
    <sheet name="Q3 Q4" sheetId="10" r:id="rId8"/>
    <sheet name="Запросы 2Q26" sheetId="6" r:id="rId9"/>
    <sheet name="План 1Q26" sheetId="3" r:id="rId10"/>
    <sheet name="Для бизнеса" sheetId="4" r:id="rId11"/>
    <sheet name="Инициативы черновик" sheetId="1" r:id="rId12"/>
  </sheets>
  <definedNames>
    <definedName name="_xlnm._FilterDatabase" localSheetId="8" hidden="1">'Запросы 2Q26'!$A$2:$AA$30</definedName>
    <definedName name="_xlnm._FilterDatabase" localSheetId="1" hidden="1">'Оценки 3Q26'!$A$4:$AA$34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3" i="18" l="1"/>
  <c r="N22" i="18"/>
  <c r="N23" i="18" s="1"/>
  <c r="M22" i="18"/>
  <c r="M23" i="18" s="1"/>
  <c r="L22" i="18"/>
  <c r="L23" i="18" s="1"/>
  <c r="K22" i="18"/>
  <c r="K23" i="18" s="1"/>
  <c r="J22" i="18"/>
  <c r="J23" i="18" s="1"/>
  <c r="I22" i="18"/>
  <c r="H22" i="18"/>
  <c r="H23" i="18" s="1"/>
  <c r="H22" i="14" l="1"/>
  <c r="H23" i="14"/>
  <c r="G22" i="14"/>
  <c r="G23" i="14" s="1"/>
  <c r="I22" i="14"/>
  <c r="I23" i="14" s="1"/>
  <c r="J22" i="14"/>
  <c r="J23" i="14" s="1"/>
  <c r="K22" i="14"/>
  <c r="K23" i="14" s="1"/>
  <c r="L22" i="14"/>
  <c r="L23" i="14" s="1"/>
  <c r="F22" i="14"/>
  <c r="F23" i="14"/>
  <c r="B22" i="12" l="1"/>
  <c r="B8" i="12"/>
  <c r="I3" i="10"/>
  <c r="I2" i="10"/>
  <c r="F3" i="10"/>
  <c r="F17" i="10" s="1"/>
  <c r="F18" i="10" s="1"/>
  <c r="F16" i="10"/>
  <c r="D19" i="10"/>
  <c r="I19" i="10" s="1"/>
  <c r="E19" i="10"/>
  <c r="F19" i="10"/>
  <c r="G19" i="10"/>
  <c r="H19" i="10"/>
  <c r="C19" i="10"/>
  <c r="D16" i="10"/>
  <c r="E16" i="10"/>
  <c r="G16" i="10"/>
  <c r="H16" i="10"/>
  <c r="C16" i="10"/>
  <c r="I16" i="10" s="1"/>
  <c r="D3" i="10"/>
  <c r="E3" i="10"/>
  <c r="G3" i="10"/>
  <c r="G17" i="10" s="1"/>
  <c r="H3" i="10"/>
  <c r="H17" i="10" s="1"/>
  <c r="H18" i="10" s="1"/>
  <c r="D4" i="10"/>
  <c r="E4" i="10"/>
  <c r="F4" i="10"/>
  <c r="G4" i="10"/>
  <c r="H4" i="10"/>
  <c r="D5" i="10"/>
  <c r="E5" i="10"/>
  <c r="F5" i="10"/>
  <c r="G5" i="10"/>
  <c r="H5" i="10"/>
  <c r="D6" i="10"/>
  <c r="E6" i="10"/>
  <c r="E17" i="10" s="1"/>
  <c r="E18" i="10" s="1"/>
  <c r="F6" i="10"/>
  <c r="G6" i="10"/>
  <c r="H6" i="10"/>
  <c r="D7" i="10"/>
  <c r="E7" i="10"/>
  <c r="F7" i="10"/>
  <c r="G7" i="10"/>
  <c r="H7" i="10"/>
  <c r="D8" i="10"/>
  <c r="E8" i="10"/>
  <c r="F8" i="10"/>
  <c r="G8" i="10"/>
  <c r="H8" i="10"/>
  <c r="D9" i="10"/>
  <c r="E9" i="10"/>
  <c r="F9" i="10"/>
  <c r="G9" i="10"/>
  <c r="H9" i="10"/>
  <c r="I9" i="10" s="1"/>
  <c r="D10" i="10"/>
  <c r="E10" i="10"/>
  <c r="F10" i="10"/>
  <c r="G10" i="10"/>
  <c r="H10" i="10"/>
  <c r="D11" i="10"/>
  <c r="E11" i="10"/>
  <c r="F11" i="10"/>
  <c r="G11" i="10"/>
  <c r="H11" i="10"/>
  <c r="D12" i="10"/>
  <c r="E12" i="10"/>
  <c r="F12" i="10"/>
  <c r="G12" i="10"/>
  <c r="H12" i="10"/>
  <c r="D13" i="10"/>
  <c r="E13" i="10"/>
  <c r="F13" i="10"/>
  <c r="G13" i="10"/>
  <c r="H13" i="10"/>
  <c r="D14" i="10"/>
  <c r="E14" i="10"/>
  <c r="F14" i="10"/>
  <c r="G14" i="10"/>
  <c r="H14" i="10"/>
  <c r="D15" i="10"/>
  <c r="E15" i="10"/>
  <c r="F15" i="10"/>
  <c r="G15" i="10"/>
  <c r="H15" i="10"/>
  <c r="C3" i="10"/>
  <c r="C17" i="10" s="1"/>
  <c r="C4" i="10"/>
  <c r="I4" i="10" s="1"/>
  <c r="C5" i="10"/>
  <c r="I5" i="10" s="1"/>
  <c r="C6" i="10"/>
  <c r="I6" i="10" s="1"/>
  <c r="C7" i="10"/>
  <c r="I7" i="10" s="1"/>
  <c r="C8" i="10"/>
  <c r="I8" i="10" s="1"/>
  <c r="C9" i="10"/>
  <c r="C10" i="10"/>
  <c r="I10" i="10" s="1"/>
  <c r="C11" i="10"/>
  <c r="I11" i="10" s="1"/>
  <c r="C12" i="10"/>
  <c r="I12" i="10" s="1"/>
  <c r="C13" i="10"/>
  <c r="I13" i="10" s="1"/>
  <c r="C14" i="10"/>
  <c r="I14" i="10" s="1"/>
  <c r="C15" i="10"/>
  <c r="I15" i="10" s="1"/>
  <c r="D62" i="10"/>
  <c r="D63" i="10" s="1"/>
  <c r="G38" i="10"/>
  <c r="G39" i="10" s="1"/>
  <c r="E62" i="10"/>
  <c r="E63" i="10" s="1"/>
  <c r="F62" i="10"/>
  <c r="F63" i="10" s="1"/>
  <c r="G62" i="10"/>
  <c r="G63" i="10" s="1"/>
  <c r="H62" i="10"/>
  <c r="H63" i="10" s="1"/>
  <c r="C62" i="10"/>
  <c r="C63" i="10" s="1"/>
  <c r="F38" i="10"/>
  <c r="F39" i="10" s="1"/>
  <c r="H38" i="10"/>
  <c r="H39" i="10" s="1"/>
  <c r="C38" i="10"/>
  <c r="C39" i="10" s="1"/>
  <c r="D73" i="10"/>
  <c r="F36" i="3"/>
  <c r="E36" i="3"/>
  <c r="D36" i="3"/>
  <c r="J32" i="5"/>
  <c r="AI33" i="5"/>
  <c r="AH33" i="5"/>
  <c r="AG33" i="5"/>
  <c r="AG34" i="5" s="1"/>
  <c r="AF33" i="5"/>
  <c r="AE33" i="5"/>
  <c r="AE34" i="5" s="1"/>
  <c r="AD33" i="5"/>
  <c r="AC33" i="5"/>
  <c r="AC34" i="5" s="1"/>
  <c r="AB33" i="5"/>
  <c r="AA33" i="5"/>
  <c r="AA34" i="5" s="1"/>
  <c r="Z33" i="5"/>
  <c r="Y33" i="5"/>
  <c r="AI32" i="5"/>
  <c r="AH32" i="5"/>
  <c r="AF32" i="5"/>
  <c r="AD32" i="5"/>
  <c r="AB32" i="5"/>
  <c r="Z32" i="5"/>
  <c r="Y32" i="5"/>
  <c r="L32" i="5"/>
  <c r="H32" i="5"/>
  <c r="I32" i="5"/>
  <c r="I33" i="5" s="1"/>
  <c r="K32" i="5"/>
  <c r="K33" i="5" s="1"/>
  <c r="M32" i="5"/>
  <c r="M33" i="5" s="1"/>
  <c r="N32" i="5"/>
  <c r="O32" i="5"/>
  <c r="O33" i="5" s="1"/>
  <c r="P32" i="5"/>
  <c r="Q32" i="5"/>
  <c r="G32" i="5"/>
  <c r="P31" i="5"/>
  <c r="H31" i="5"/>
  <c r="J31" i="5"/>
  <c r="L31" i="5"/>
  <c r="N31" i="5"/>
  <c r="Q31" i="5"/>
  <c r="G31" i="5"/>
  <c r="E33" i="3"/>
  <c r="F33" i="3"/>
  <c r="G33" i="3"/>
  <c r="H33" i="3"/>
  <c r="H34" i="3" s="1"/>
  <c r="I33" i="3"/>
  <c r="I34" i="3" s="1"/>
  <c r="J33" i="3"/>
  <c r="J34" i="3" s="1"/>
  <c r="K33" i="3"/>
  <c r="K34" i="3" s="1"/>
  <c r="L33" i="3"/>
  <c r="L34" i="3" s="1"/>
  <c r="M33" i="3"/>
  <c r="M34" i="3" s="1"/>
  <c r="N33" i="3"/>
  <c r="N34" i="3" s="1"/>
  <c r="O33" i="3"/>
  <c r="O34" i="3" s="1"/>
  <c r="P33" i="3"/>
  <c r="P34" i="3" s="1"/>
  <c r="D33" i="3"/>
  <c r="G34" i="3"/>
  <c r="E34" i="3"/>
  <c r="F34" i="3"/>
  <c r="D34" i="3"/>
  <c r="U132" i="3"/>
  <c r="AC132" i="3" s="1"/>
  <c r="S129" i="3"/>
  <c r="AA129" i="3" s="1"/>
  <c r="S130" i="3"/>
  <c r="AA130" i="3" s="1"/>
  <c r="T131" i="3"/>
  <c r="AB131" i="3" s="1"/>
  <c r="U133" i="3"/>
  <c r="AC133" i="3" s="1"/>
  <c r="U134" i="3"/>
  <c r="AC134" i="3" s="1"/>
  <c r="V135" i="3"/>
  <c r="AD135" i="3" s="1"/>
  <c r="V136" i="3"/>
  <c r="AD136" i="3" s="1"/>
  <c r="W137" i="3"/>
  <c r="AE137" i="3" s="1"/>
  <c r="W138" i="3"/>
  <c r="AE138" i="3" s="1"/>
  <c r="X139" i="3"/>
  <c r="AF139" i="3" s="1"/>
  <c r="X140" i="3"/>
  <c r="AF140" i="3" s="1"/>
  <c r="X141" i="3"/>
  <c r="AF141" i="3" s="1"/>
  <c r="T145" i="3"/>
  <c r="T146" i="3"/>
  <c r="AD34" i="5" l="1"/>
  <c r="J33" i="5"/>
  <c r="AB34" i="5"/>
  <c r="AI34" i="5"/>
  <c r="C18" i="10"/>
  <c r="G18" i="10"/>
  <c r="D17" i="10"/>
  <c r="I17" i="10" s="1"/>
  <c r="D18" i="10"/>
  <c r="AF34" i="5"/>
  <c r="AH34" i="5"/>
  <c r="Y34" i="5"/>
  <c r="Z34" i="5"/>
  <c r="L33" i="5"/>
  <c r="G33" i="5"/>
  <c r="H33" i="5"/>
  <c r="Q33" i="5"/>
  <c r="P33" i="5"/>
  <c r="N33" i="5"/>
  <c r="E38" i="10"/>
  <c r="E39" i="10" s="1"/>
  <c r="I18" i="10" l="1"/>
  <c r="D38" i="10"/>
  <c r="D3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Занина Евгения (HQ)</author>
  </authors>
  <commentList>
    <comment ref="T13" authorId="0" shapeId="0" xr:uid="{08848FB3-3894-46FB-97F0-8DBA440820E2}">
      <text>
        <r>
          <rPr>
            <sz val="9"/>
            <color indexed="81"/>
            <rFont val="Tahoma"/>
            <family val="2"/>
            <charset val="204"/>
          </rPr>
          <t>от ЦКО ожидают макеты (драфт), но с CJ, чтобы логика и флоу прослеживалось. И по макетам провести анализ, чтобы понять какие методы нужны, ходить на встрече с внешкой и прорабатывать этот вопрос</t>
        </r>
      </text>
    </comment>
    <comment ref="B37" authorId="0" shapeId="0" xr:uid="{8AEF1A77-E1A9-431F-BAFA-E9BAA23E48FF}">
      <text>
        <r>
          <rPr>
            <sz val="9"/>
            <color indexed="81"/>
            <rFont val="Tahoma"/>
            <family val="2"/>
            <charset val="204"/>
          </rPr>
          <t>от ЦКО ожидают макеты (драфт), но с CJ, чтобы логика и флоу прослеживалось. И по макетам провести анализ, чтобы понять какие методы нужны, ходить на встрече с внешкой и прорабатывать этот вопрос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Занина Евгения (HQ)</author>
  </authors>
  <commentList>
    <comment ref="A8" authorId="0" shapeId="0" xr:uid="{C7202281-BAC8-4C6E-990E-317CC1FBC511}">
      <text>
        <r>
          <rPr>
            <b/>
            <sz val="9"/>
            <color indexed="81"/>
            <rFont val="Tahoma"/>
            <family val="2"/>
            <charset val="204"/>
          </rPr>
          <t>Занина Евгения (HQ):</t>
        </r>
        <r>
          <rPr>
            <sz val="9"/>
            <color indexed="81"/>
            <rFont val="Tahoma"/>
            <family val="2"/>
            <charset val="204"/>
          </rPr>
          <t xml:space="preserve">
зависим от RND, ориентир по взятию в реализацию - февраль</t>
        </r>
      </text>
    </comment>
    <comment ref="A11" authorId="0" shapeId="0" xr:uid="{D4A5AD00-D0E0-4852-8EE8-EC7304A77BCA}">
      <text>
        <r>
          <rPr>
            <b/>
            <sz val="9"/>
            <color indexed="81"/>
            <rFont val="Tahoma"/>
            <family val="2"/>
            <charset val="204"/>
          </rPr>
          <t>Занина Евгения (HQ):</t>
        </r>
        <r>
          <rPr>
            <sz val="9"/>
            <color indexed="81"/>
            <rFont val="Tahoma"/>
            <family val="2"/>
            <charset val="204"/>
          </rPr>
          <t xml:space="preserve">
зависим от НХ берут ли они у себя эту задачу</t>
        </r>
      </text>
    </comment>
    <comment ref="F11" authorId="0" shapeId="0" xr:uid="{AAD009B3-2650-4EA2-83DC-99AC7B837D99}">
      <text>
        <r>
          <rPr>
            <b/>
            <sz val="9"/>
            <color indexed="81"/>
            <rFont val="Tahoma"/>
            <family val="2"/>
            <charset val="204"/>
          </rPr>
          <t>Занина Евгения (HQ):</t>
        </r>
        <r>
          <rPr>
            <sz val="9"/>
            <color indexed="81"/>
            <rFont val="Tahoma"/>
            <family val="2"/>
            <charset val="204"/>
          </rPr>
          <t xml:space="preserve">
причесать пользовательские пути и путь от лица контактного</t>
        </r>
      </text>
    </comment>
    <comment ref="A14" authorId="0" shapeId="0" xr:uid="{6080BA9C-8514-4532-AD1F-A8240435B964}">
      <text>
        <r>
          <rPr>
            <b/>
            <sz val="9"/>
            <color indexed="81"/>
            <rFont val="Tahoma"/>
            <charset val="1"/>
          </rPr>
          <t>Занина Евгения (HQ):</t>
        </r>
        <r>
          <rPr>
            <sz val="9"/>
            <color indexed="81"/>
            <rFont val="Tahoma"/>
            <charset val="1"/>
          </rPr>
          <t xml:space="preserve">
lдрафт макетов и преданализ - какие апи нужны коллегам</t>
        </r>
      </text>
    </comment>
    <comment ref="F21" authorId="0" shapeId="0" xr:uid="{C4CE975A-2B6B-4399-93D8-0FC7B96B0A76}">
      <text>
        <r>
          <rPr>
            <b/>
            <sz val="9"/>
            <color indexed="81"/>
            <rFont val="Tahoma"/>
            <family val="2"/>
            <charset val="204"/>
          </rPr>
          <t>Занина Евгения (HQ):</t>
        </r>
        <r>
          <rPr>
            <sz val="9"/>
            <color indexed="81"/>
            <rFont val="Tahoma"/>
            <family val="2"/>
            <charset val="204"/>
          </rPr>
          <t xml:space="preserve">
пересобрать, ресайзы, темная тема, шиммеры</t>
        </r>
      </text>
    </comment>
    <comment ref="A23" authorId="0" shapeId="0" xr:uid="{C0680505-11A1-44D2-91F3-F712E43F5553}">
      <text>
        <r>
          <rPr>
            <b/>
            <sz val="9"/>
            <color indexed="81"/>
            <rFont val="Tahoma"/>
            <family val="2"/>
            <charset val="204"/>
          </rPr>
          <t>Занина Евгения (HQ):</t>
        </r>
        <r>
          <rPr>
            <sz val="9"/>
            <color indexed="81"/>
            <rFont val="Tahoma"/>
            <family val="2"/>
            <charset val="204"/>
          </rPr>
          <t xml:space="preserve">
зависим от НХ берем ли задачу</t>
        </r>
      </text>
    </comment>
    <comment ref="A27" authorId="0" shapeId="0" xr:uid="{DD5DF9F5-6CAF-40FA-BF9F-3C01B7317264}">
      <text>
        <r>
          <rPr>
            <b/>
            <sz val="9"/>
            <color indexed="81"/>
            <rFont val="Tahoma"/>
            <charset val="1"/>
          </rPr>
          <t>Занина Евгения (HQ):</t>
        </r>
        <r>
          <rPr>
            <sz val="9"/>
            <color indexed="81"/>
            <rFont val="Tahoma"/>
            <charset val="1"/>
          </rPr>
          <t xml:space="preserve">
кажется задача Кирилла</t>
        </r>
      </text>
    </comment>
    <comment ref="A40" authorId="0" shapeId="0" xr:uid="{DB38CC8B-CCDC-467F-8C52-98594B01B44F}">
      <text>
        <r>
          <rPr>
            <b/>
            <sz val="9"/>
            <color indexed="81"/>
            <rFont val="Tahoma"/>
            <family val="2"/>
            <charset val="204"/>
          </rPr>
          <t>Занина Евгения (HQ):</t>
        </r>
        <r>
          <rPr>
            <sz val="9"/>
            <color indexed="81"/>
            <rFont val="Tahoma"/>
            <family val="2"/>
            <charset val="204"/>
          </rPr>
          <t xml:space="preserve">
зависим от RND, ориентир по взятию в реализацию - февраль</t>
        </r>
      </text>
    </comment>
    <comment ref="F41" authorId="0" shapeId="0" xr:uid="{2C182FC7-465F-4F06-9E81-DE31B3EF49C0}">
      <text>
        <r>
          <rPr>
            <b/>
            <sz val="9"/>
            <color indexed="81"/>
            <rFont val="Tahoma"/>
            <family val="2"/>
            <charset val="204"/>
          </rPr>
          <t>Занина Евгения (HQ):</t>
        </r>
        <r>
          <rPr>
            <sz val="9"/>
            <color indexed="81"/>
            <rFont val="Tahoma"/>
            <family val="2"/>
            <charset val="204"/>
          </rPr>
          <t xml:space="preserve">
пересобрать, ресайзы, темная тема, шиммеры</t>
        </r>
      </text>
    </comment>
    <comment ref="F43" authorId="0" shapeId="0" xr:uid="{7D15D9D7-82DF-459B-B9F6-09277D4710D8}">
      <text>
        <r>
          <rPr>
            <b/>
            <sz val="9"/>
            <color indexed="81"/>
            <rFont val="Tahoma"/>
            <family val="2"/>
            <charset val="204"/>
          </rPr>
          <t>Занина Евгения (HQ):</t>
        </r>
        <r>
          <rPr>
            <sz val="9"/>
            <color indexed="81"/>
            <rFont val="Tahoma"/>
            <family val="2"/>
            <charset val="204"/>
          </rPr>
          <t xml:space="preserve">
причесать пользовательские пути и путь от лица контактного</t>
        </r>
      </text>
    </comment>
    <comment ref="A44" authorId="0" shapeId="0" xr:uid="{0D03C26F-7A11-4906-AD85-ECDE1988EC98}">
      <text>
        <r>
          <rPr>
            <b/>
            <sz val="9"/>
            <color indexed="81"/>
            <rFont val="Tahoma"/>
            <family val="2"/>
            <charset val="204"/>
          </rPr>
          <t>Занина Евгения (HQ):</t>
        </r>
        <r>
          <rPr>
            <sz val="9"/>
            <color indexed="81"/>
            <rFont val="Tahoma"/>
            <family val="2"/>
            <charset val="204"/>
          </rPr>
          <t xml:space="preserve">
зависим от НХ берут ли они у себя эту задачу</t>
        </r>
      </text>
    </comment>
    <comment ref="A45" authorId="0" shapeId="0" xr:uid="{B62694D8-F9D8-4153-AA1F-5D9987B09FF5}">
      <text>
        <r>
          <rPr>
            <b/>
            <sz val="9"/>
            <color indexed="81"/>
            <rFont val="Tahoma"/>
            <family val="2"/>
            <charset val="204"/>
          </rPr>
          <t>Занина Евгения (HQ):</t>
        </r>
        <r>
          <rPr>
            <sz val="9"/>
            <color indexed="81"/>
            <rFont val="Tahoma"/>
            <family val="2"/>
            <charset val="204"/>
          </rPr>
          <t xml:space="preserve">
зависим от НХ берем ли задачу</t>
        </r>
      </text>
    </comment>
    <comment ref="T45" authorId="0" shapeId="0" xr:uid="{6661718E-1015-49B5-8C39-96EC43BF2892}">
      <text>
        <r>
          <rPr>
            <b/>
            <sz val="9"/>
            <color indexed="81"/>
            <rFont val="Tahoma"/>
            <family val="2"/>
            <charset val="204"/>
          </rPr>
          <t>Занина Евгения (HQ):</t>
        </r>
        <r>
          <rPr>
            <sz val="9"/>
            <color indexed="81"/>
            <rFont val="Tahoma"/>
            <family val="2"/>
            <charset val="204"/>
          </rPr>
          <t xml:space="preserve">
необходимо провести встречу с коллегами из RnD, чтобы понять какие методы планируем использовать и запрашивать.                                                    SA - 2 спринта (для встреч с коллегами из RnD и на выходе получение аналитической записки)</t>
        </r>
      </text>
    </comment>
    <comment ref="A61" authorId="0" shapeId="0" xr:uid="{83DFC640-F686-4051-84AA-634C6A4FEACA}">
      <text>
        <r>
          <rPr>
            <b/>
            <sz val="9"/>
            <color indexed="81"/>
            <rFont val="Tahoma"/>
            <charset val="1"/>
          </rPr>
          <t>Занина Евгения (HQ):</t>
        </r>
        <r>
          <rPr>
            <sz val="9"/>
            <color indexed="81"/>
            <rFont val="Tahoma"/>
            <charset val="1"/>
          </rPr>
          <t xml:space="preserve">
кажется задача Кирилла</t>
        </r>
      </text>
    </comment>
    <comment ref="S99" authorId="0" shapeId="0" xr:uid="{0B5AB516-DFC8-4607-97E3-6A34F43B0155}">
      <text>
        <r>
          <rPr>
            <b/>
            <sz val="9"/>
            <color indexed="81"/>
            <rFont val="Tahoma"/>
            <charset val="1"/>
          </rPr>
          <t>Занина Евгения (HQ):</t>
        </r>
        <r>
          <rPr>
            <sz val="9"/>
            <color indexed="81"/>
            <rFont val="Tahoma"/>
            <charset val="1"/>
          </rPr>
          <t xml:space="preserve">
30ч (5д) QA, 15ч (3д) FE - баги
24ч (4д) FE, 20ч (4д) QA - разметка 
4ч (1д) SA, 4ч (1д) FE, 4ч (1д) BE, 5ч (1д) QA - копирайты</t>
        </r>
      </text>
    </comment>
  </commentList>
</comments>
</file>

<file path=xl/sharedStrings.xml><?xml version="1.0" encoding="utf-8"?>
<sst xmlns="http://schemas.openxmlformats.org/spreadsheetml/2006/main" count="2657" uniqueCount="995">
  <si>
    <t>Продуктовые задачи 1кв26</t>
  </si>
  <si>
    <t>Направление</t>
  </si>
  <si>
    <t>Инициатива</t>
  </si>
  <si>
    <t>Эпик</t>
  </si>
  <si>
    <t>Менеджер продукта</t>
  </si>
  <si>
    <t>Привлекаемые</t>
  </si>
  <si>
    <t>Оценка</t>
  </si>
  <si>
    <t>Комментарии от ЦКО</t>
  </si>
  <si>
    <t>(гиперссылки кликабельные)</t>
  </si>
  <si>
    <t>Функции / NX</t>
  </si>
  <si>
    <t>по выделению ресурса на 1Q’26</t>
  </si>
  <si>
    <t>#1. МегаСемья</t>
  </si>
  <si>
    <t>[Discovery] Интеграция сервисов безопасности в МегаСемью</t>
  </si>
  <si>
    <t>[Discovery] Исследование гипотез по интеграции сервисов безопасности в МегаСемью</t>
  </si>
  <si>
    <t>Рожкова Елена</t>
  </si>
  <si>
    <t>СКО, КО, Исследования</t>
  </si>
  <si>
    <t>[Delivery] Развитие бесплатной ИИ защиты от мошенников в МегаСемье</t>
  </si>
  <si>
    <t>BSS, FT, CKO, RnD, ЕВА</t>
  </si>
  <si>
    <t>[Delivery] Изменение стоимости АП по МегаСемье для новых подключений</t>
  </si>
  <si>
    <t>BSS, FT, CKO, Массовые операции</t>
  </si>
  <si>
    <t>Контент 0,5 спринта</t>
  </si>
  <si>
    <t xml:space="preserve">Изменение параметров у новых абонентов, у кого нет МС. Контент. Доработки не требуется. </t>
  </si>
  <si>
    <t>Доступность CVM опций в МегаСемье (Автошаринг)</t>
  </si>
  <si>
    <t>[Delivery] Распространить доработку по автошарингу на действующие пакеты CVM</t>
  </si>
  <si>
    <t>Деревянченко Екатерина</t>
  </si>
  <si>
    <t>BSS, FT</t>
  </si>
  <si>
    <t>Межрегиональная семья для пакетов без абонентской платы</t>
  </si>
  <si>
    <t>[Delivery] Распространение межфилиальность на ряд продуктов без абонентской платы</t>
  </si>
  <si>
    <t>BSS, FT,</t>
  </si>
  <si>
    <t>Скидки NORCA для МегаСемьи</t>
  </si>
  <si>
    <t>[Delivery] Конфигурирование скидок NORCA для МегаСемьи</t>
  </si>
  <si>
    <t>BSS, FT, CKO, КО</t>
  </si>
  <si>
    <t xml:space="preserve">Контентные работы. Отображать в "услугах" (не в разделе МегаСемья). Учитывать в общем пакете. Рекомендуем провести ФТ. </t>
  </si>
  <si>
    <t>[QBR] Региональность слота МегаСемьи для тарифов на сетах_Тех</t>
  </si>
  <si>
    <t>(Анализ/Разработка) Вариативность бесплатных слотов в зависимости от региона для тарифов на сетах</t>
  </si>
  <si>
    <t>NX</t>
  </si>
  <si>
    <t>#2. Персона</t>
  </si>
  <si>
    <t>Плати за близких (группа для оплаты с основного баланса)_Бюджет_Страт. Проект</t>
  </si>
  <si>
    <t>[Delivery] Реализация согласованной логики продукта</t>
  </si>
  <si>
    <t>FT, CKO, INPLAT</t>
  </si>
  <si>
    <t>Не оцениваем</t>
  </si>
  <si>
    <t>КПП</t>
  </si>
  <si>
    <t>[Delivery] Дашборд Услуги плати за близких</t>
  </si>
  <si>
    <t>КХД</t>
  </si>
  <si>
    <t>Персона</t>
  </si>
  <si>
    <t>[Discovery] [QBR] Этап аналитики NX на разработку целевого функционала для КН</t>
  </si>
  <si>
    <t>Повстемская Виктория</t>
  </si>
  <si>
    <t>Делать параллельно с NX</t>
  </si>
  <si>
    <t>[Discovery] [QBR] Этап аналитики NX. Доработка услуги переадресации биллинговых/сервисных коммуникаций</t>
  </si>
  <si>
    <t>[Delivery] СКО. Внесение и сонхронизация с ССМП контактных данных в МЛК (этап внедрения часть NX)</t>
  </si>
  <si>
    <t>CKO, NX</t>
  </si>
  <si>
    <t>Погружение аналитика (Вова) и написание постановки. Микросервис</t>
  </si>
  <si>
    <r>
      <t xml:space="preserve">Отдельная задача на лендинг </t>
    </r>
    <r>
      <rPr>
        <sz val="11"/>
        <color rgb="FFFF0000"/>
        <rFont val="Calibri"/>
        <family val="2"/>
        <charset val="204"/>
        <scheme val="minor"/>
      </rPr>
      <t>ждем</t>
    </r>
  </si>
  <si>
    <t>Просьба завести отдельной задачей, тк разные команды и разные статусы. Мы не сможем корректно валидировать статус, Лендинг и ЛК развиваются по разным трекам</t>
  </si>
  <si>
    <t>[Discovery] СКО. Аналитика по реализации целевого функционала по КН</t>
  </si>
  <si>
    <t>CKO</t>
  </si>
  <si>
    <t>Делать параллельно с NX. Аналитик (Вова) на погружение и обсуждение, по итогу NX пишет документ и ЦКО согласует и готовит аналитическую записку, планирует затем к разработке.</t>
  </si>
  <si>
    <t>[Discovery] КО. Доработка услуги переадресации биллинговых/сервисных нотификаций</t>
  </si>
  <si>
    <t>KO</t>
  </si>
  <si>
    <t>Не понимаем к ЦКО относится эта задача или оценивать трудозатраты в задаче ниже - они похожи по описанию</t>
  </si>
  <si>
    <t>QBR. Дублирование биллинговых/сервисных SMS CKO-54695</t>
  </si>
  <si>
    <t>Дискавери - проработка архитектуры</t>
  </si>
  <si>
    <t>[Discovery] [QBR] Доработка DAPI_Отрицательное значение скидки интернет_Тех.</t>
  </si>
  <si>
    <t>Создание и внедрение разметки данных проекта "Персона"</t>
  </si>
  <si>
    <t>[Delivery] Разработать методологию формирования необходимых терминов для разметки базы [КХД]</t>
  </si>
  <si>
    <t>Маленюк Наталья</t>
  </si>
  <si>
    <t>КХД, NX</t>
  </si>
  <si>
    <t>[Delivery] Реализовать механизм создания опросов [СВК]</t>
  </si>
  <si>
    <t>СВК</t>
  </si>
  <si>
    <t>[Delivery] Создать модели Персона Мультисим Домохозяйство [АБД]</t>
  </si>
  <si>
    <t>ABD</t>
  </si>
  <si>
    <t>[Delivery] Создание витрины для опросов [КХД]</t>
  </si>
  <si>
    <t>МегаСемья 2.0 (Дом групповых продуктов)</t>
  </si>
  <si>
    <t>[Discovery] МегаСемья 2.0 (Роли, Уровни доступа, Миграции)</t>
  </si>
  <si>
    <t>Деревянченко Екатерина, Бобко Максим, Маленюк Наталья</t>
  </si>
  <si>
    <t>CKO, КО, Архитектура, NX</t>
  </si>
  <si>
    <r>
      <t xml:space="preserve">Запараллелить анализ с NX. Преданализ 2 спринта. </t>
    </r>
    <r>
      <rPr>
        <sz val="10"/>
        <color rgb="FFFF0000"/>
        <rFont val="Calibri"/>
        <family val="2"/>
        <charset val="204"/>
        <scheme val="minor"/>
      </rPr>
      <t>Просьба в описании задачи "Проведена аналитика" скорректировать на "Проведен преданализ и определены все требования для начала подготовки постановки на разработку, описана аналитическая записка". 
Расшифровка работ по дизайну: 
(1) добавление нового участника (9 ролей) - 5 дней; 
2) экраны настройки для 9 ролей и экран 3 вариантов доступа - 5 дней; 
3) просмотр участника под 9 ролей - 10 дней; 
4) редактирование участника 9 ролей - 5 дней;
5) назначение ролей легаси пользователям - 5 дней 
6) неучтенные сценарии, ошибки, форс-мажоры - 10 дней</t>
    </r>
  </si>
  <si>
    <t>[Discovery] Слоты (Персонализациия и вариативность параметров Мега Семьи 2.0)</t>
  </si>
  <si>
    <t>Деревянченко Екатерина,</t>
  </si>
  <si>
    <t xml:space="preserve">Запараллелить анализ с NX и CVM. Преданализ 2 спринта. Бизнес - обратить внимание, что у CVM должны быть забукированы ресурсы на проработку. </t>
  </si>
  <si>
    <t>[Discovery] Сценарии согласия и выхода из группы</t>
  </si>
  <si>
    <t>Аналитика - 2 спринта. 
Дизайн - 1 спринт</t>
  </si>
  <si>
    <t>Запараллелить анализ с NX.</t>
  </si>
  <si>
    <t>[Discovery] Функциональность администраторов</t>
  </si>
  <si>
    <t>Бобко Максим</t>
  </si>
  <si>
    <r>
      <t>Запараллелить анализ с NX. Преданализ 2 спринта.</t>
    </r>
    <r>
      <rPr>
        <sz val="10"/>
        <color rgb="FFFF0000"/>
        <rFont val="Calibri"/>
        <family val="2"/>
        <charset val="204"/>
        <scheme val="minor"/>
      </rPr>
      <t xml:space="preserve"> Роль администратора. Проведена аналитика - речь об анализе без постановки, тк архитектура еще в процессе</t>
    </r>
  </si>
  <si>
    <t>[Discovery] Управление МегаСемьей 2.0 в ССМР</t>
  </si>
  <si>
    <t>Мои номера_Переход на целевое техническое решение</t>
  </si>
  <si>
    <t>[Delivery] Переход на целевое решение «Мои номера» (мультиаккаунт)</t>
  </si>
  <si>
    <t>FT, CKO</t>
  </si>
  <si>
    <t>27.11 решить дают нам Е2Е ресурс или отдаем ФТ и тестируем в след году</t>
  </si>
  <si>
    <t>#3. PAYGO</t>
  </si>
  <si>
    <t>Закрытие тарифа МегаФон.KIDS</t>
  </si>
  <si>
    <t>[Delivery] Техническое закрытие тарифа KIDS</t>
  </si>
  <si>
    <t>Охотникова Юлия</t>
  </si>
  <si>
    <t>Обновление ценовых параметров тарифа Переходи на НОЛЬ</t>
  </si>
  <si>
    <t xml:space="preserve">[Delivery] Проработка обновления параметров Переходи на НОЛЬ </t>
  </si>
  <si>
    <t>Определение потребностей сегмента PAYG через исследование</t>
  </si>
  <si>
    <t>[Discovery] Проведение исследования по сегменту PAYG</t>
  </si>
  <si>
    <t>Исследования</t>
  </si>
  <si>
    <t>необходимо провести встречу с коллегами из RnD, чтобы понять какие методы планируем использовать и запрашивать.                                                    SA - 2 спринта (для встреч с коллегами из RnD и на выходе получение аналитической записки)</t>
  </si>
  <si>
    <t>Не можем сейчас дать оценку со стороны ЦКО</t>
  </si>
  <si>
    <t xml:space="preserve">Контент 0,5 спринта
</t>
  </si>
  <si>
    <t>Для реализации MVP версии (2 вариант)
Менеджер - 2 спринта
SA - 2 спринта
BE - 1 спринт  
FE - 1 спринт
QA - 1 спринт</t>
  </si>
  <si>
    <r>
      <rPr>
        <sz val="10"/>
        <color rgb="FFFF0000"/>
        <rFont val="Calibri"/>
        <family val="2"/>
        <charset val="204"/>
        <scheme val="minor"/>
      </rPr>
      <t xml:space="preserve">MVP КН
Менеджер - 1 спринт
</t>
    </r>
    <r>
      <rPr>
        <sz val="10"/>
        <rFont val="Calibri"/>
        <family val="2"/>
        <charset val="204"/>
        <scheme val="minor"/>
      </rPr>
      <t xml:space="preserve">Аналитик - 3,5 спринта. </t>
    </r>
    <r>
      <rPr>
        <sz val="10"/>
        <color rgb="FFFF0000"/>
        <rFont val="Calibri"/>
        <family val="2"/>
        <charset val="204"/>
        <scheme val="minor"/>
      </rPr>
      <t xml:space="preserve">
</t>
    </r>
    <r>
      <rPr>
        <sz val="10"/>
        <rFont val="Calibri"/>
        <family val="2"/>
        <charset val="204"/>
        <scheme val="minor"/>
      </rPr>
      <t>BE - 6 спринтов. 
FE - 2 спринта. 
QA - 4 спринта.</t>
    </r>
  </si>
  <si>
    <r>
      <t xml:space="preserve">ЦКО - QA 1 спринт. 
</t>
    </r>
    <r>
      <rPr>
        <sz val="10"/>
        <color rgb="FFFF0000"/>
        <rFont val="Calibri"/>
        <family val="2"/>
        <charset val="204"/>
        <scheme val="minor"/>
      </rPr>
      <t>Менеджер - 1 спринт</t>
    </r>
    <r>
      <rPr>
        <sz val="10"/>
        <color theme="1"/>
        <rFont val="Calibri"/>
        <family val="2"/>
        <charset val="204"/>
        <scheme val="minor"/>
      </rPr>
      <t xml:space="preserve">
Сайт - FE 2 спринта; 
BE 1,5 спринта, 
QA 1 спринт. </t>
    </r>
  </si>
  <si>
    <r>
      <rPr>
        <sz val="10"/>
        <color rgb="FFFF0000"/>
        <rFont val="Calibri"/>
        <family val="2"/>
        <charset val="204"/>
        <scheme val="minor"/>
      </rPr>
      <t xml:space="preserve">Целевая КН 
Менеджер - 1 спринт
</t>
    </r>
    <r>
      <rPr>
        <sz val="10"/>
        <color theme="1"/>
        <rFont val="Calibri"/>
        <family val="2"/>
        <charset val="204"/>
        <scheme val="minor"/>
      </rPr>
      <t>Дизайнер - 1 спринт
Аналитик - 3 спринта</t>
    </r>
  </si>
  <si>
    <r>
      <t xml:space="preserve">Аналитик 1,5 спринта
</t>
    </r>
    <r>
      <rPr>
        <sz val="10"/>
        <color rgb="FFFF0000"/>
        <rFont val="Calibri"/>
        <family val="2"/>
        <charset val="204"/>
        <scheme val="minor"/>
      </rPr>
      <t>Менеджер 0,5 спринта</t>
    </r>
  </si>
  <si>
    <r>
      <rPr>
        <sz val="10"/>
        <color rgb="FFFF0000"/>
        <rFont val="Calibri"/>
        <family val="2"/>
        <charset val="204"/>
      </rPr>
      <t>Менеджер - 6 спринтов.</t>
    </r>
    <r>
      <rPr>
        <sz val="10"/>
        <color theme="1"/>
        <rFont val="Calibri"/>
        <family val="2"/>
        <charset val="204"/>
      </rPr>
      <t xml:space="preserve">
Аналитика - 2 спринта. 
Архитектор - 2 спринта. 
Дизайн - 8 спринтов при условии, что концепция будет согласована в декабре 25г.
Контент 3 спринта. </t>
    </r>
  </si>
  <si>
    <r>
      <rPr>
        <sz val="10"/>
        <color rgb="FFFF0000"/>
        <rFont val="Calibri"/>
        <family val="2"/>
        <charset val="204"/>
      </rPr>
      <t>Менеджер 2 спринта.</t>
    </r>
    <r>
      <rPr>
        <sz val="10"/>
        <color theme="1"/>
        <rFont val="Calibri"/>
        <family val="2"/>
        <charset val="204"/>
      </rPr>
      <t xml:space="preserve">
Аналитика - 2 спринта. 
Дизайн (доработки баннерных мест) - 1,5 спринта</t>
    </r>
  </si>
  <si>
    <r>
      <rPr>
        <sz val="10"/>
        <color rgb="FFFF0000"/>
        <rFont val="Calibri"/>
        <family val="2"/>
        <charset val="204"/>
      </rPr>
      <t>Менеджер 1 спринт.</t>
    </r>
    <r>
      <rPr>
        <sz val="10"/>
        <color theme="1"/>
        <rFont val="Calibri"/>
        <family val="2"/>
        <charset val="204"/>
      </rPr>
      <t xml:space="preserve">
Аналитика - 2 спринта. 
Архитектор - уточняется.  
Дизайн - 3 спринта.</t>
    </r>
  </si>
  <si>
    <r>
      <rPr>
        <sz val="10"/>
        <color rgb="FFFF0000"/>
        <rFont val="Calibri"/>
        <family val="2"/>
        <charset val="204"/>
      </rPr>
      <t>Менеджер 1 спринт.</t>
    </r>
    <r>
      <rPr>
        <sz val="10"/>
        <color theme="1"/>
        <rFont val="Calibri"/>
        <family val="2"/>
        <charset val="204"/>
      </rPr>
      <t xml:space="preserve">
QA - 1 спринт. 
BE - 1,5 спринт. </t>
    </r>
  </si>
  <si>
    <t>Емкость команды</t>
  </si>
  <si>
    <t>Исполнитель</t>
  </si>
  <si>
    <t>https://cko-jira.megafon.ru/browse/LK-25434</t>
  </si>
  <si>
    <t>Ускорение загрузки главной] Методы B2C Strat</t>
  </si>
  <si>
    <t>[Мультиаккаунт] Исправить тип ошибок для апи /mlk/api/multiaccount/add")</t>
  </si>
  <si>
    <t>[Мультиаккаунт] Пересмотреть значения SLO Latency для методов раздела Мультиаккаунт")</t>
  </si>
  <si>
    <t>Актуализация названий внешних систем. Часть 2")</t>
  </si>
  <si>
    <t>Техдолг</t>
  </si>
  <si>
    <t>Manager</t>
  </si>
  <si>
    <t>SA</t>
  </si>
  <si>
    <t>FE</t>
  </si>
  <si>
    <t>BE</t>
  </si>
  <si>
    <t>QA</t>
  </si>
  <si>
    <t>Designer</t>
  </si>
  <si>
    <t xml:space="preserve"> </t>
  </si>
  <si>
    <t>Евгения Занина</t>
  </si>
  <si>
    <t>Екатерина Ермолаева</t>
  </si>
  <si>
    <t>Михаил Бянкин</t>
  </si>
  <si>
    <t>Андрей Крюков</t>
  </si>
  <si>
    <t>Георгий Гоголюк</t>
  </si>
  <si>
    <t>Владимир Аксенов</t>
  </si>
  <si>
    <t>Оля Фёдорова</t>
  </si>
  <si>
    <t>Иван Прокопчук</t>
  </si>
  <si>
    <t>Богдан Савлук</t>
  </si>
  <si>
    <t>Иван Титов</t>
  </si>
  <si>
    <t>Михаил Кувшинов</t>
  </si>
  <si>
    <t>Антон Краснобаев</t>
  </si>
  <si>
    <t>Михаил Бодров</t>
  </si>
  <si>
    <t>При ресурсе 100%</t>
  </si>
  <si>
    <t>Продуктовые инициативы</t>
  </si>
  <si>
    <t>Произведственная необходимость</t>
  </si>
  <si>
    <t>Пояснение</t>
  </si>
  <si>
    <t>Работы</t>
  </si>
  <si>
    <t>январь</t>
  </si>
  <si>
    <t>Ссылка CKO</t>
  </si>
  <si>
    <t>Ссылка Jira</t>
  </si>
  <si>
    <t>12- 16</t>
  </si>
  <si>
    <t>19 - 23</t>
  </si>
  <si>
    <t>26 - 30</t>
  </si>
  <si>
    <t>февраль</t>
  </si>
  <si>
    <t>март</t>
  </si>
  <si>
    <t>2 - 6</t>
  </si>
  <si>
    <t>9 - 13</t>
  </si>
  <si>
    <t>16 - 20</t>
  </si>
  <si>
    <t>23 - 27</t>
  </si>
  <si>
    <t>30 - 31</t>
  </si>
  <si>
    <t>спринты</t>
  </si>
  <si>
    <t>дни</t>
  </si>
  <si>
    <t>Продуктовые иницативы</t>
  </si>
  <si>
    <t>Технический долг</t>
  </si>
  <si>
    <t>Миша Б</t>
  </si>
  <si>
    <t>Гоша</t>
  </si>
  <si>
    <t>[B2C Strat] Выпил легаси кода после закрытия старых фронтов</t>
  </si>
  <si>
    <t>Вова</t>
  </si>
  <si>
    <t>Рескин МегаСемьи</t>
  </si>
  <si>
    <t>Рескин Переадресации</t>
  </si>
  <si>
    <t>Баги рескина Мои номера</t>
  </si>
  <si>
    <t>Инициатива B2CProd</t>
  </si>
  <si>
    <t>Эпик B2CProd</t>
  </si>
  <si>
    <t>Сайт</t>
  </si>
  <si>
    <t>B2CPROD-276</t>
  </si>
  <si>
    <t>B2CPROD-287</t>
  </si>
  <si>
    <t>B2CPROD-285</t>
  </si>
  <si>
    <t>CKO-54695</t>
  </si>
  <si>
    <t>B2CPROD-111</t>
  </si>
  <si>
    <t>B2CPROD-91</t>
  </si>
  <si>
    <t>B2CPROD-97</t>
  </si>
  <si>
    <t>LK-24967</t>
  </si>
  <si>
    <t>LK-25917</t>
  </si>
  <si>
    <t>LK-25911</t>
  </si>
  <si>
    <t>Оценка в днях</t>
  </si>
  <si>
    <t>B2CPROD-494</t>
  </si>
  <si>
    <t>QBR. Дублирование биллинговых/сервисных SMS</t>
  </si>
  <si>
    <t>Architect</t>
  </si>
  <si>
    <t>Катя</t>
  </si>
  <si>
    <t>Миша</t>
  </si>
  <si>
    <t>Ваня</t>
  </si>
  <si>
    <t>Иван</t>
  </si>
  <si>
    <t>Женя</t>
  </si>
  <si>
    <t xml:space="preserve">Миша </t>
  </si>
  <si>
    <t>Оля</t>
  </si>
  <si>
    <t>Антон</t>
  </si>
  <si>
    <t>?</t>
  </si>
  <si>
    <t>Инициативы</t>
  </si>
  <si>
    <t>Емкость</t>
  </si>
  <si>
    <t>Остатки</t>
  </si>
  <si>
    <t>Скоринг</t>
  </si>
  <si>
    <t>[Delivery] СКО. Лендинг для верификации КН через ССМП 1 этап</t>
  </si>
  <si>
    <t>B2CPROD-789</t>
  </si>
  <si>
    <t>B2CPROD-301</t>
  </si>
  <si>
    <t>B2CPROD-114</t>
  </si>
  <si>
    <t>[Delivery] Реализация бесплатной ИИ защиты от мошенников в МегаСемье</t>
  </si>
  <si>
    <t>https://jira.megafon.ru/browse/B2CPROD-121</t>
  </si>
  <si>
    <t>https://jira.megafon.ru/browse/B2CPROD-142</t>
  </si>
  <si>
    <t>https://jira.megafon.ru/browse/B2CPROD-144</t>
  </si>
  <si>
    <t>https://jira.megafon.ru/browse/B2CPROD-145</t>
  </si>
  <si>
    <t>https://jira.megafon.ru/browse/B2CPROD-146</t>
  </si>
  <si>
    <t>https://jira.megafon.ru/browse/B2CPROD-498</t>
  </si>
  <si>
    <r>
      <rPr>
        <sz val="10"/>
        <color rgb="FFFF0000"/>
        <rFont val="Calibri"/>
        <family val="2"/>
        <charset val="204"/>
        <scheme val="minor"/>
      </rPr>
      <t xml:space="preserve">ЦКО НЕ нужно верифицировать общие архитектурные решения для портала и ЛК. </t>
    </r>
    <r>
      <rPr>
        <sz val="10"/>
        <color theme="1"/>
        <rFont val="Calibri"/>
        <family val="2"/>
        <charset val="204"/>
        <scheme val="minor"/>
      </rPr>
      <t>Запараллелить анализ с NX. ЦКО для макетов не нужно.</t>
    </r>
  </si>
  <si>
    <t>Группы</t>
  </si>
  <si>
    <t>[Discovery] Реализация бесплатной ИИ защиты от мошенников в МегаСемье</t>
  </si>
  <si>
    <t>График работ</t>
  </si>
  <si>
    <t>Список задач и оценки</t>
  </si>
  <si>
    <t>[Delivery] СКО. Внесение и синхронизация с ССМП контактных данных в МЛК (этап внедрения часть NX)</t>
  </si>
  <si>
    <t>[Discovery] QBR. Дублирование биллинговых/сервисных SMS</t>
  </si>
  <si>
    <t>BE сайта - 3</t>
  </si>
  <si>
    <t>FE сайта - 8</t>
  </si>
  <si>
    <t xml:space="preserve">QA сайта - </t>
  </si>
  <si>
    <t>https://jira.megafon.ru/browse/B2CPROD-849</t>
  </si>
  <si>
    <t>Оля лид</t>
  </si>
  <si>
    <t>Богдан лид</t>
  </si>
  <si>
    <t>Ваня Титов</t>
  </si>
  <si>
    <t>Исследование логики и механики работы для реализации целевой версии в ЛК - зависим от технических решений</t>
  </si>
  <si>
    <t>Дом групповых продуктов</t>
  </si>
  <si>
    <t>Контактный номер</t>
  </si>
  <si>
    <t xml:space="preserve">ИИ Защита в МегаСемью </t>
  </si>
  <si>
    <t>Мультиаккаунт</t>
  </si>
  <si>
    <t>https://jira.megafon.ru/browse/CKO-53773</t>
  </si>
  <si>
    <t>https://jira.megafon.ru/browse/CKO-53775</t>
  </si>
  <si>
    <t>https://jira.megafon.ru/browse/CKO-53778</t>
  </si>
  <si>
    <t>https://jira.megafon.ru/browse/B2CPROD-855</t>
  </si>
  <si>
    <t>https://jira.megafon.ru/browse/B2CPROD-854</t>
  </si>
  <si>
    <t>https://jira.megafon.ru/browse/B2CPROD-857</t>
  </si>
  <si>
    <t xml:space="preserve">Антон </t>
  </si>
  <si>
    <t>BE 1</t>
  </si>
  <si>
    <t>BE 2</t>
  </si>
  <si>
    <t>QA 1</t>
  </si>
  <si>
    <t>QA 2</t>
  </si>
  <si>
    <t>уточнить график у команды сайта</t>
  </si>
  <si>
    <t>рабочих дней</t>
  </si>
  <si>
    <t>неделя</t>
  </si>
  <si>
    <t>Андрей</t>
  </si>
  <si>
    <t>Никита</t>
  </si>
  <si>
    <t>https://jira.megafon.ru/browse/CKO-53532</t>
  </si>
  <si>
    <t>Никита Коструб</t>
  </si>
  <si>
    <t>Никита К</t>
  </si>
  <si>
    <t>https://jira.megafon.ru/browse/CKO-54554</t>
  </si>
  <si>
    <t>https://jira.megafon.ru/browse/CKO-54558</t>
  </si>
  <si>
    <t>[Discovery] Вывод функционала Гео в МЛК</t>
  </si>
  <si>
    <t>Настя</t>
  </si>
  <si>
    <t xml:space="preserve">Запланировано </t>
  </si>
  <si>
    <t>wsjf</t>
  </si>
  <si>
    <t>МегаИнтернет</t>
  </si>
  <si>
    <t>ДГП</t>
  </si>
  <si>
    <t>Защита близких</t>
  </si>
  <si>
    <t>Гео</t>
  </si>
  <si>
    <t>Мультиаккаунт: новая механика</t>
  </si>
  <si>
    <t>https://jira.megafon.ru/browse/B2CPROD-156</t>
  </si>
  <si>
    <t>[Delivery] Вывод функционала Гео в МЛК</t>
  </si>
  <si>
    <t>https://jira.megafon.ru/browse/B2CPROD-499</t>
  </si>
  <si>
    <t>Не берем</t>
  </si>
  <si>
    <t>завести дискавери</t>
  </si>
  <si>
    <t xml:space="preserve">Задача по пользователям YOTA в МегаСемью </t>
  </si>
  <si>
    <t>да</t>
  </si>
  <si>
    <t>Не нужен кейс, Discovery</t>
  </si>
  <si>
    <t>Гущин Владимир</t>
  </si>
  <si>
    <t>Проведение исследования</t>
  </si>
  <si>
    <t>Стандартный_трек</t>
  </si>
  <si>
    <t>[Discovery] Усиление CORE продуктов решениями для сегмента СНГ</t>
  </si>
  <si>
    <t>Исследования (Солодова С.)</t>
  </si>
  <si>
    <t>Кейс нужен, завели задачу</t>
  </si>
  <si>
    <t>Офферы на непубличный тсраницах на сайте и работы копирайтера, 6 страниц</t>
  </si>
  <si>
    <t>Запускаем пилоты займы и переводы + CORE продукт</t>
  </si>
  <si>
    <t>[Delivery] Гипотезы Фин. сервисы + CORE продукты (сегмент СНГ)</t>
  </si>
  <si>
    <t>BSS, FT, RnD, CKO, KO, Марком, CVM, SSMF</t>
  </si>
  <si>
    <t>Юля Охотникова</t>
  </si>
  <si>
    <t>↑↑↑</t>
  </si>
  <si>
    <t>PAYGO и СНГ</t>
  </si>
  <si>
    <t>спросить нужны или нет</t>
  </si>
  <si>
    <t>[Discovery]_проект Персона_Применение разметки данных функциями_Страт. проект</t>
  </si>
  <si>
    <t>Катя Деревянченко</t>
  </si>
  <si>
    <t>Менеджер 1 спринт
SA 1 спринт
D 1 спринт</t>
  </si>
  <si>
    <t>На стороне ЦКО работы, связанные с миграцией МегаСемьи в рамках целевого решения: дискавери/деливери?</t>
  </si>
  <si>
    <t>Реализация шаринга в ДГП (МегаСемья 2.0) для последующей миграции абонентов</t>
  </si>
  <si>
    <t>[Delivery] МегаСемья 2.0 - реализация шаринга в МегаСемье 2.0 для перехода на целевое решение</t>
  </si>
  <si>
    <t>Дискавери</t>
  </si>
  <si>
    <t>Максим Бобко</t>
  </si>
  <si>
    <t>Менеджер 2 спринта 
D 3 спринта 
SA: 
ПЗБ 2 спринта
семейная безопасность 2 спринта
МА 3 спринта</t>
  </si>
  <si>
    <t>Задачи нарезаны по целевой ДГП для миграции каждого фунционала: 3 СКО. На ЦКО уже есть из RFC на дискавери целевой ДГП: каждая дискавери по функциональности для миграции</t>
  </si>
  <si>
    <t>Переход на целевую версию ГП в рамках ДГП для последующей миграции</t>
  </si>
  <si>
    <t>[Discovery] МегаСемья 2.0 Проработка реализации групповых продуктов уровней доступа в ДГП для целевой схемы</t>
  </si>
  <si>
    <t>нужен ресурс на сопровждения архитектуры</t>
  </si>
  <si>
    <t>Менеджер 4 спринта 
D 2 спринт + 1 спринт на поддержку
SA 3 спринта + 1 спринт на поддержку
BE 4 спринта + 1 спринт правки после QA (можно разбить на несколько разработчиков, тогда параллельно по сроку быстрее) + 1 спринт на поддержку
FE 4 спринта + 2 спринта правки после QA (можно разбить на несколько разработчиков, тогда параллельно по сроку быстрее) + 2 спринта на поддержку
QA 3 спринта на BE, 4 спринтов FE (если человек погружен и не выдергивается, можно поделить на двоих) + 2 спринта на поддержку
заложить время на хотелки и проблемы после релиза</t>
  </si>
  <si>
    <t>Все доработки ЛК по MVP ДГП: дизайн, аналитика, разработка, тестирование. Страница лендинга МегаСемьи - отдельно</t>
  </si>
  <si>
    <t xml:space="preserve">Реализация MVP версии ДГП (МегаСемья 2.0) к РК </t>
  </si>
  <si>
    <t>[B2CPROD-1177] Delivery] МегаСемья 2.0 MVP (МегаСемья 2.0 без шаринга, Роли и продукты профилей, общий раздел в МЛК по групповым продуктам) - MegaFon JIRA</t>
  </si>
  <si>
    <t>МегаСемья 2.0 MVP (МегаСемья 2.0 без шаринга, Роли и продукты профилей, общий раздел в МЛК по групповым продуктам) - MegaFon JIRA</t>
  </si>
  <si>
    <t>Кейс посчитан</t>
  </si>
  <si>
    <t>Тех. долги ЦКО и Инплат (запреты моб коммерции  и т.д.)</t>
  </si>
  <si>
    <t>[B2CPROD-904] Плати за близких_Доработки следующего этапа - MegaFon JIRA</t>
  </si>
  <si>
    <t xml:space="preserve">Исследование после запуска </t>
  </si>
  <si>
    <t>[B2CPROD-1015] Плати за близких_UX после запуска продукта - MegaFon JIRA</t>
  </si>
  <si>
    <t>Плати за близких (доработки после запуска)_Бюджет_Страт. проект</t>
  </si>
  <si>
    <t>FT</t>
  </si>
  <si>
    <t>Есть кейс, учтен на ПК #2.6852</t>
  </si>
  <si>
    <t>Лена Рожкова</t>
  </si>
  <si>
    <t>[B2CPROD-849] [Discovery] Реализация ИИ-защиты от мошенников в МегаСемье - MegaFon JIRA</t>
  </si>
  <si>
    <t>[B2CPROD-111] Реализация ИИ защиты от мошенников в МегаСемье  (целевая версия)</t>
  </si>
  <si>
    <t>Есть прикидка от ЦО</t>
  </si>
  <si>
    <t>SA 1 спринт</t>
  </si>
  <si>
    <t>необходимо изменение цен + изменнения информациии  в ЛК, МЛК (не требуется, если передается в МЛК, нужно ли поменять в продуктовом каталоге), на сайте везде где идет упоминания  по ценам на сайте (контент) +  новость на сайте об изменениях</t>
  </si>
  <si>
    <t>Отменяем бесплатные слоты и вводим плату за них</t>
  </si>
  <si>
    <t>[B2CPROD-964] Отмена бесплатного слота по МегаСемье при подключении сетов (маркетплейс тарифов) - MegaFon JIRA</t>
  </si>
  <si>
    <t>[B2CPROD-963] [Delivery] Отмена бесплатного слота по МегаСемье при подключении сетов (маркетплейса тарифов) - MegaFon JIRA</t>
  </si>
  <si>
    <t>BSS, FT, RnD, ЦКО, массовые операции, CVM, КО, КС</t>
  </si>
  <si>
    <t>Исследование на предмет подтверждения гипотез встройки сфер интересов в групповой/семейный продукт</t>
  </si>
  <si>
    <t>[B2CPROD-934] Сферы интересов пользователя в МегаСемье 2.0 - MegaFon JIRA</t>
  </si>
  <si>
    <t>[B2CPROD-932] [Discovery] Сферы интересов пользователя в МегаСемье 2.0 - MegaFon JIRA</t>
  </si>
  <si>
    <t>Исследование</t>
  </si>
  <si>
    <t>Есть кейс QBR</t>
  </si>
  <si>
    <t>Исключаем ситуацию когда у абонента при смене со старого ТП на продукты на Перс 4.0  у него остаются старые параметры МегаСемьи  (например - МегаТариф (все участники платные) переходит через сервис клонирование на Персональный 4.0 выбирает Сет с 1 бесплатным участником. После смены тарифа параметры семьи не меняются, новые условия семьи не применяются)</t>
  </si>
  <si>
    <t>[B2CPROD-915] QBR_Анализ_Переперсонализация МегаСемьи_Перенос характеристик - MegaFon JIRA</t>
  </si>
  <si>
    <t>[B2CPROD-914] QBR_Штатное решение для симплификатора по переносу характеристик МегаСемьи при смене тарифа - MegaFon JIRA</t>
  </si>
  <si>
    <t>Исключаем ситуации, когда  на организаторе подключено несколько экземпляров одного продукта и шарим обьемы из каждого, например  "У абонента тариф Секретный, абонент организатор мегасемьи, у абонента подключено 2 пакета 100 минут_сет, объемы этих пакетов суммируются. Итого абоненту должно быть доступно 200 минут на всех участников семьи, а сейчас организатору доступно 200 минут, а участникам только 100"</t>
  </si>
  <si>
    <t>[B2CPROD-938] QBR_Анализ_Шаринг объемов нескольких экземпляров одного продукта - MegaFon JIRA</t>
  </si>
  <si>
    <t>[B2CPROD-937] QBR_Шаринг объемов нескольких экземпляров одного продукта - MegaFon JIRA</t>
  </si>
  <si>
    <t>Реализуем разное кол-во бесплатных слотов для одного тарифа в зависимости от РО</t>
  </si>
  <si>
    <t>[B2CPROD-1023] [Discovery][QBR] Разработка_Вариативность бесплатных слотов в зависимости от региона для тарифов на сетах.Тех - MegaFon JIRA</t>
  </si>
  <si>
    <t>Не требуется</t>
  </si>
  <si>
    <t>1. Необходимо учесть в системах отчетности новый коммерческий продукт Мои номера (мультиаккаунт) - сделано?
2. Доработать существующий или разработать новый дашборд под группы Мои номера (мультиаккаунт)</t>
  </si>
  <si>
    <t>[B2CPROD-801] [Delivery] [КХД] Мои номера_Переход на целевое техническое решение - MegaFon JIRA</t>
  </si>
  <si>
    <t>[B2CPROD-494] Мои номера_Переход на целевое техническое решение - MegaFon JIRA</t>
  </si>
  <si>
    <t>Нужен финальный расчет кейса</t>
  </si>
  <si>
    <t xml:space="preserve">Переносим на 2кв под инициативу отмена бесплатных слотов </t>
  </si>
  <si>
    <t>BSS, FT, СКО</t>
  </si>
  <si>
    <t>Нужен кейс</t>
  </si>
  <si>
    <t>Отложено</t>
  </si>
  <si>
    <t>МегаСемья</t>
  </si>
  <si>
    <t>Массовые операции</t>
  </si>
  <si>
    <t>Инплат</t>
  </si>
  <si>
    <t>АВD</t>
  </si>
  <si>
    <t>Архитектура</t>
  </si>
  <si>
    <t>Ева</t>
  </si>
  <si>
    <t>RnD</t>
  </si>
  <si>
    <t>СKO</t>
  </si>
  <si>
    <t>BSS</t>
  </si>
  <si>
    <t>Статус ресурса</t>
  </si>
  <si>
    <t>Кейс</t>
  </si>
  <si>
    <t>Ответственный</t>
  </si>
  <si>
    <t>Оценки ЦКО</t>
  </si>
  <si>
    <t>ЦКО (описание краткое)</t>
  </si>
  <si>
    <t>Описание (кратко описываем инциативу)</t>
  </si>
  <si>
    <t>Трек</t>
  </si>
  <si>
    <t>#</t>
  </si>
  <si>
    <t>Оценка Функций</t>
  </si>
  <si>
    <t>#0. Бэклог инициатив</t>
  </si>
  <si>
    <t>https://jira.megafon.ru/browse/CKO-54568</t>
  </si>
  <si>
    <t>https://jira.megafon.ru/browse/CKO-36890</t>
  </si>
  <si>
    <t>https://jira.megafon.ru/browse/CKO-39986</t>
  </si>
  <si>
    <t>https://jira.megafon.ru/browse/CKO-44874</t>
  </si>
  <si>
    <t>https://jira.megafon.ru/browse/CKO-45400</t>
  </si>
  <si>
    <t>Раздел МегаСемья на детальной странице тарифа</t>
  </si>
  <si>
    <t>Изменение текста баннера при добавлении в МегаСемью номер др.оператора</t>
  </si>
  <si>
    <t>Адаптация раздела с детализацией по объемам для организаторов Мсемьи</t>
  </si>
  <si>
    <t>МегаСемья_Добавление в опрос поля для комментариев</t>
  </si>
  <si>
    <t>https://jira.megafon.ru/browse/CKO-56665</t>
  </si>
  <si>
    <t>Оценки, которые мне дали наши лиды: 
Дизайн - 2 недели
SA - 3 недели 
от ЦКО ожидают макеты (драфт), но с CJ, чтобы логика и флоу прослеживалось. И по макетам провести анализ, чтобы понять какие методы нужны, ходить на встрече с внешкой и прорабатывать этот вопрос</t>
  </si>
  <si>
    <t>B2CPROD</t>
  </si>
  <si>
    <t>Менеджер</t>
  </si>
  <si>
    <t>Дизайнер</t>
  </si>
  <si>
    <t>Аналитик</t>
  </si>
  <si>
    <t>Богдан</t>
  </si>
  <si>
    <t>Миша К</t>
  </si>
  <si>
    <t>Название инициативы</t>
  </si>
  <si>
    <t>Заметка</t>
  </si>
  <si>
    <t>Отпуск</t>
  </si>
  <si>
    <t>Прочее</t>
  </si>
  <si>
    <t>Запуск тумблеров для подключения ИИ-защиты (платной/бесплатной) в ЛК. Аналитика на2Q : при подключении МегаСемьи тумблеры управления платной и бесплатной МегаСемьи. Макеты со стороны ЦКО, определить решение</t>
  </si>
  <si>
    <t>https://jira.megafon.ru/browse/B2CPROD-1176</t>
  </si>
  <si>
    <t xml:space="preserve">Все доработки ЛК по MVP ДГП: дизайн, аналитика, разработка, тестирование. Страница лендинга МегаСемьи - отдельно. Реализация MVP версии ДГП (МегаСемья 2.0) к РК </t>
  </si>
  <si>
    <t>https://jira.megafon.ru/browse/B2CPROD-1018</t>
  </si>
  <si>
    <t>Реализация шаринга в ДГП (МегаСемья 2.0) для последующей миграции абонентов. На стороне ЦКО работы, связанные с миграцией МегаСемьи в рамках целевого решения: дискавери/деливери?</t>
  </si>
  <si>
    <t>апрель</t>
  </si>
  <si>
    <t>май</t>
  </si>
  <si>
    <t>интегротесты на клоне с NX</t>
  </si>
  <si>
    <t>отпуск</t>
  </si>
  <si>
    <t>поддержка</t>
  </si>
  <si>
    <t>бэк</t>
  </si>
  <si>
    <t>фронт</t>
  </si>
  <si>
    <t>Дизайн</t>
  </si>
  <si>
    <t>дизайн-ревью</t>
  </si>
  <si>
    <t>ресайзы, темы</t>
  </si>
  <si>
    <t>https://jira.megafon.ru/browse/B2CPROD-76</t>
  </si>
  <si>
    <t>Контроль геопозиции</t>
  </si>
  <si>
    <t>[B2CPROD-1220] [Delivery] Изменение текущего сервиса защиты в МегаСемье на "Ева. Блокировка спам-звонков" - MegaFon JIRA</t>
  </si>
  <si>
    <t>https://jira.megafon.ru/browse/CKO-56799</t>
  </si>
  <si>
    <t>•	Нужно пересмотреть CJM и ШПК
•	Со стороны ЦКО предварительно пул работ: изменить на фронте тексты про ИИ защиту: бенефиты, faq
•	Смотрим 23.03 точки входа ИИ-защиты в семью (где/что нужно будет изменить) + контентные правки.</t>
  </si>
  <si>
    <t>https://jira.megafon.ru/browse/B2CPROD-1221</t>
  </si>
  <si>
    <t>SA Гоша</t>
  </si>
  <si>
    <t>BE Никита Коструб</t>
  </si>
  <si>
    <t>FE Иван Титов</t>
  </si>
  <si>
    <t>QA Миша Бодров</t>
  </si>
  <si>
    <t>D Миша Б</t>
  </si>
  <si>
    <t>ПЗБ</t>
  </si>
  <si>
    <t>июнь</t>
  </si>
  <si>
    <t>https://jira.megafon.ru/browse/CKO-56872</t>
  </si>
  <si>
    <r>
      <rPr>
        <b/>
        <sz val="11"/>
        <color theme="1"/>
        <rFont val="Calibri"/>
        <family val="2"/>
        <charset val="204"/>
        <scheme val="minor"/>
      </rPr>
      <t>Разработка MVP ДГП</t>
    </r>
    <r>
      <rPr>
        <sz val="11"/>
        <color theme="1"/>
        <rFont val="Calibri"/>
        <family val="2"/>
        <charset val="204"/>
        <scheme val="minor"/>
      </rPr>
      <t xml:space="preserve"> МегаСемья 2.0 MVP (МегаСемья 2.0 без шаринга, Роли и продукты профилей, общий раздел в МЛК по групповым продуктам)</t>
    </r>
  </si>
  <si>
    <r>
      <rPr>
        <b/>
        <sz val="11"/>
        <color theme="1"/>
        <rFont val="Calibri"/>
        <family val="2"/>
        <charset val="204"/>
        <scheme val="minor"/>
      </rPr>
      <t xml:space="preserve">[Delivery] ДГП целевая шаринг </t>
    </r>
    <r>
      <rPr>
        <sz val="11"/>
        <color theme="1"/>
        <rFont val="Calibri"/>
        <family val="2"/>
        <charset val="204"/>
        <scheme val="minor"/>
      </rPr>
      <t>МегаСемья 2.0 - реализация шаринга в МегаСемье 2.0 для перехода на целевое решение</t>
    </r>
  </si>
  <si>
    <t>https://jira.megafon.ru/browse/CKO-56696</t>
  </si>
  <si>
    <t>https://jira.megafon.ru/browse/B2CPROD-1022</t>
  </si>
  <si>
    <t>https://jira.megafon.ru/browse/B2CPROD-906</t>
  </si>
  <si>
    <t>https://jira.megafon.ru/browse/B2CPROD-15</t>
  </si>
  <si>
    <t>В рамках требования планируется создание скидок 50%, 100% на абонентскую плату за слоты в МегаСемье, которые будут действовать на платных участников.</t>
  </si>
  <si>
    <t xml:space="preserve"> https://jira.megafon.ru/browse/B2CPROD-14</t>
  </si>
  <si>
    <t>Мы ожидаем от ЦКО ответственного дизайнера, который будет периодически следить за редизайном текущего Радара</t>
  </si>
  <si>
    <t>Обновить ТК мои номера</t>
  </si>
  <si>
    <t>https://cko-jira.megafon.ru/browse/WLK-13222</t>
  </si>
  <si>
    <t>https://cko-jira.megafon.ru/browse/WLK-13221</t>
  </si>
  <si>
    <t>https://cko-jira.megafon.ru/browse/WLK-13220</t>
  </si>
  <si>
    <t>[B2C-retention] Переход с метода Products на метод Products Lite</t>
  </si>
  <si>
    <t>https://cko-jira.megafon.ru/browse/LK-26885</t>
  </si>
  <si>
    <t>https://cko-jira.megafon.ru/browse/LK-26909</t>
  </si>
  <si>
    <t>[B2C-retention] Доп. получение бсс токена в бизнес-сценариях</t>
  </si>
  <si>
    <t>https://cko-jira.megafon.ru/browse/LK-25912</t>
  </si>
  <si>
    <t>[Устройства] Пересмотреть значения SLO Latency для методов раздела Устройства</t>
  </si>
  <si>
    <t>преданализ</t>
  </si>
  <si>
    <t>https://jira.megafon.ru/browse/CKO-56360</t>
  </si>
  <si>
    <t>https://jira.megafon.ru/browse/CKO-56368</t>
  </si>
  <si>
    <t>https://jira.megafon.ru/browse/CKO-56496</t>
  </si>
  <si>
    <t>дизайн</t>
  </si>
  <si>
    <r>
      <t xml:space="preserve">часть 1 QBR_ДГП. Перевод </t>
    </r>
    <r>
      <rPr>
        <b/>
        <i/>
        <sz val="11"/>
        <color theme="1"/>
        <rFont val="Calibri"/>
        <family val="2"/>
        <charset val="204"/>
        <scheme val="minor"/>
      </rPr>
      <t>Плати за близких</t>
    </r>
    <r>
      <rPr>
        <i/>
        <sz val="11"/>
        <color theme="1"/>
        <rFont val="Calibri"/>
        <family val="2"/>
        <charset val="204"/>
        <scheme val="minor"/>
      </rPr>
      <t xml:space="preserve"> в ССМ</t>
    </r>
  </si>
  <si>
    <r>
      <t>часть 2 Перенести текущее решение "</t>
    </r>
    <r>
      <rPr>
        <b/>
        <i/>
        <sz val="11"/>
        <color theme="1"/>
        <rFont val="Calibri"/>
        <family val="2"/>
        <charset val="204"/>
        <scheme val="minor"/>
      </rPr>
      <t>Семейной безопасности</t>
    </r>
    <r>
      <rPr>
        <i/>
        <sz val="11"/>
        <color theme="1"/>
        <rFont val="Calibri"/>
        <family val="2"/>
        <charset val="204"/>
        <scheme val="minor"/>
      </rPr>
      <t>" из микросервиса в ССМ</t>
    </r>
  </si>
  <si>
    <r>
      <t>часть 3 ДГП_</t>
    </r>
    <r>
      <rPr>
        <b/>
        <i/>
        <sz val="11"/>
        <color theme="1"/>
        <rFont val="Calibri"/>
        <family val="2"/>
        <charset val="204"/>
        <scheme val="minor"/>
      </rPr>
      <t>Мультиаккаунт</t>
    </r>
    <r>
      <rPr>
        <i/>
        <sz val="11"/>
        <color theme="1"/>
        <rFont val="Calibri"/>
        <family val="2"/>
        <charset val="204"/>
        <scheme val="minor"/>
      </rPr>
      <t xml:space="preserve"> (уровни доступа, балансы)</t>
    </r>
  </si>
  <si>
    <r>
      <rPr>
        <b/>
        <sz val="11"/>
        <color theme="1"/>
        <rFont val="Calibri"/>
        <family val="2"/>
        <charset val="204"/>
        <scheme val="minor"/>
      </rPr>
      <t>[Discovery] ДГП целевая 3 части:</t>
    </r>
    <r>
      <rPr>
        <sz val="11"/>
        <color theme="1"/>
        <rFont val="Calibri"/>
        <family val="2"/>
        <charset val="204"/>
        <scheme val="minor"/>
      </rPr>
      <t xml:space="preserve"> МегаСемья 2.0 Проработка реализации групповых продуктов и уровней доступа в ДГП для целевой схемы</t>
    </r>
  </si>
  <si>
    <r>
      <rPr>
        <b/>
        <sz val="11"/>
        <color theme="1"/>
        <rFont val="Calibri"/>
        <family val="2"/>
        <charset val="204"/>
        <scheme val="minor"/>
      </rPr>
      <t xml:space="preserve">Доработка Семейной безопасности: </t>
    </r>
    <r>
      <rPr>
        <sz val="11"/>
        <color theme="1"/>
        <rFont val="Calibri"/>
        <family val="2"/>
        <charset val="204"/>
        <scheme val="minor"/>
      </rPr>
      <t>Изменение текущего сервиса защиты в МегаСемье на "Ева. Блокировка спам-звонков"</t>
    </r>
  </si>
  <si>
    <r>
      <rPr>
        <b/>
        <sz val="11"/>
        <color theme="1"/>
        <rFont val="Calibri"/>
        <family val="2"/>
        <charset val="204"/>
        <scheme val="minor"/>
      </rPr>
      <t>[Discovery] Целевая Семейной безопасности:</t>
    </r>
    <r>
      <rPr>
        <sz val="11"/>
        <color theme="1"/>
        <rFont val="Calibri"/>
        <family val="2"/>
        <charset val="204"/>
        <scheme val="minor"/>
      </rPr>
      <t xml:space="preserve"> Реализация ИИ-защиты от мошенников в МегаСемье</t>
    </r>
  </si>
  <si>
    <t>МегаСемья, Управляй номерами</t>
  </si>
  <si>
    <t>Мои номера, мультиаккаунт</t>
  </si>
  <si>
    <t>Адаптация раздела с детализацией по объемам для организаторов Мегасемьи</t>
  </si>
  <si>
    <t>Разработка MVP ДГП МегаСемья 2.0 MVP (МегаСемья 2.0 без шаринга, Роли и продукты профилей, общий раздел в МЛК по групповым продуктам)</t>
  </si>
  <si>
    <t>[Delivery] ДГП целевая шаринг МегаСемья 2.0 - реализация шаринга в МегаСемье 2.0 для перехода на целевое решение</t>
  </si>
  <si>
    <t>[Discovery] ДГП целевая 3 части: МегаСемья 2.0 Проработка реализации групповых продуктов и уровней доступа в ДГП для целевой схемы</t>
  </si>
  <si>
    <t>Доработка Семейной безопасности: Изменение текущего сервиса защиты в МегаСемье на "Ева. Блокировка спам-звонков"</t>
  </si>
  <si>
    <t>нет</t>
  </si>
  <si>
    <t xml:space="preserve">Изменить порядок блоков </t>
  </si>
  <si>
    <t>В объемах нужно детализировать расходы лоя организаторов</t>
  </si>
  <si>
    <t>1 FTE</t>
  </si>
  <si>
    <t>0,5 FTE</t>
  </si>
  <si>
    <t>0 FTE</t>
  </si>
  <si>
    <t>Саппорт рабочей функциональности на проде</t>
  </si>
  <si>
    <t>Список задач и оценки: половина стакана разработки</t>
  </si>
  <si>
    <t>Список задач и оценки: полный стакан разработки</t>
  </si>
  <si>
    <t>прототип mvp</t>
  </si>
  <si>
    <t>отнести все стори на бэк НТ</t>
  </si>
  <si>
    <t>список сервисов для клона</t>
  </si>
  <si>
    <t>тестирование на эпсилон - *уходим на пром</t>
  </si>
  <si>
    <t>июль</t>
  </si>
  <si>
    <t>тестирование на проме</t>
  </si>
  <si>
    <t>lk-27111</t>
  </si>
  <si>
    <t>lk-27050</t>
  </si>
  <si>
    <t>lk-27157</t>
  </si>
  <si>
    <t>lk-27174</t>
  </si>
  <si>
    <t>lk 27184</t>
  </si>
  <si>
    <t>LK-27237</t>
  </si>
  <si>
    <t>wlk-13520</t>
  </si>
  <si>
    <t>wlk-13522</t>
  </si>
  <si>
    <t>LK-27261</t>
  </si>
  <si>
    <t>бэк, фронт</t>
  </si>
  <si>
    <t>lk-27291</t>
  </si>
  <si>
    <t>lk-27314</t>
  </si>
  <si>
    <t>сверили доступы и подключения к клону</t>
  </si>
  <si>
    <t>бэк
фронт</t>
  </si>
  <si>
    <t>sick</t>
  </si>
  <si>
    <t>УРОВНИ ДОСТУПА</t>
  </si>
  <si>
    <t>КАРТОЧКА ОРГАНИЗАТОРА ( БАЛАНС, ОСТАТКИ)</t>
  </si>
  <si>
    <t>CVM ПЛАТФОРМА ДЛЯ ДГП (рекомендации по участникам)</t>
  </si>
  <si>
    <t>ГЕО (при выборе роли/ как отдельный продукт)</t>
  </si>
  <si>
    <t>КОНТАКТНЫЙ НОМЕР, КАК ТОЧКА ВХОДА В ДГП</t>
  </si>
  <si>
    <t>АДМИНИСТРАТОРЫ</t>
  </si>
  <si>
    <t>ДОП. РОЛИ (признаки ролей)</t>
  </si>
  <si>
    <t>Миграция МА</t>
  </si>
  <si>
    <t>Миграция Дели тариф (exМегаСемья)</t>
  </si>
  <si>
    <t>Миграция ПЗБ</t>
  </si>
  <si>
    <t>Миграция Семейная безопасность (целевая)</t>
  </si>
  <si>
    <t>Реализовать выдачу доступов в интерфейсе. ЦКО должны согласовать вырабатонное решение</t>
  </si>
  <si>
    <t>Доработка сервиса согласий. Общее приглашение на добавление в группу и на роль</t>
  </si>
  <si>
    <t>СОГЛАСИЕ ДЛЯ ЦЕЛЕВОЙ для всех функциональностей: ПЗБ + Дели Тариф + МА + Семейная безопасность</t>
  </si>
  <si>
    <t>Под каждую функциональность заложены доработки персонализированного  экрана согласий на роль и группу</t>
  </si>
  <si>
    <t>Карточка организатора: семейная безопасность</t>
  </si>
  <si>
    <t>Выводить в разделе МегаСемья баланс и остатки по участникам организитора</t>
  </si>
  <si>
    <t>Деливери</t>
  </si>
  <si>
    <t>ЦКО нужно интегрироваться с новым мкс/апи и добавить плашки. Зависим от NX, нам нужно api</t>
  </si>
  <si>
    <t>Выводить в разделе МегаСемья статистику по защите близиких</t>
  </si>
  <si>
    <t>ЦКО нужно интегрироваться с кем-то, кто будет отдавать нам данные</t>
  </si>
  <si>
    <t>Витрина доп.продуктов при подключении роли + корзина</t>
  </si>
  <si>
    <t>К ролям/продуктам подбираются платные рекомендации, которые можно подключить до отправки приглашения</t>
  </si>
  <si>
    <t>баги</t>
  </si>
  <si>
    <t>ТК</t>
  </si>
  <si>
    <t>Очеловечить роль устройств: признак кто использует устройство</t>
  </si>
  <si>
    <t>ЦКО нужно синхронизироваться с NX. Нужно определить как привязывать к ролям</t>
  </si>
  <si>
    <t>производственные расходы</t>
  </si>
  <si>
    <t>болезни</t>
  </si>
  <si>
    <t>ран и чендж</t>
  </si>
  <si>
    <t>4кв</t>
  </si>
  <si>
    <t>3 квартал</t>
  </si>
  <si>
    <t>4 квартал</t>
  </si>
  <si>
    <t>Менеджеры</t>
  </si>
  <si>
    <t>Пользовательский опыт и интерфейсы</t>
  </si>
  <si>
    <t>Архитектура и системный анализ</t>
  </si>
  <si>
    <t>Разработка портальных решений web фронт</t>
  </si>
  <si>
    <t>Разработка сервисов самообслуживания (Java)</t>
  </si>
  <si>
    <t>Тестирование</t>
  </si>
  <si>
    <t>2кв</t>
  </si>
  <si>
    <t>3кв</t>
  </si>
  <si>
    <t>Емкость run</t>
  </si>
  <si>
    <t>готово</t>
  </si>
  <si>
    <t>Change задачи</t>
  </si>
  <si>
    <t>дискавери, деливери</t>
  </si>
  <si>
    <t>Техдолг: поддержка всей функциональности в ЛК, аварии, баги, отладка</t>
  </si>
  <si>
    <t>Сумма оценок change задач</t>
  </si>
  <si>
    <t>Разница емкость - оценки</t>
  </si>
  <si>
    <t>Емкость change 13 FTE</t>
  </si>
  <si>
    <t>3 и 4 квартал</t>
  </si>
  <si>
    <t>ЧД по задаче</t>
  </si>
  <si>
    <t>фронт
бэк</t>
  </si>
  <si>
    <t>ревью
баги</t>
  </si>
  <si>
    <t>lk-27333</t>
  </si>
  <si>
    <t>lk-27338</t>
  </si>
  <si>
    <t>регресс</t>
  </si>
  <si>
    <t>индев, сторис, прототип</t>
  </si>
  <si>
    <t>lk-27385</t>
  </si>
  <si>
    <t>ждем кейсы ФТ и проверяем пересечения</t>
  </si>
  <si>
    <t>повторно доступы к клону</t>
  </si>
  <si>
    <t>wlk-13660</t>
  </si>
  <si>
    <t xml:space="preserve">заказать порты на test-zone.megafon.ru у Л. Пашиновой к 5.06  </t>
  </si>
  <si>
    <t>LK-27391</t>
  </si>
  <si>
    <t>lk-27391</t>
  </si>
  <si>
    <t>баги
wlk-13520</t>
  </si>
  <si>
    <t xml:space="preserve">
релиз мкс lk-27198</t>
  </si>
  <si>
    <t>МА
lk-27198</t>
  </si>
  <si>
    <t>НТ</t>
  </si>
  <si>
    <t>МА:разметка+баг</t>
  </si>
  <si>
    <t>поддержка Евы</t>
  </si>
  <si>
    <t>https://jira.megafon.ru/browse/CKO-56696
https://jira.megafon.ru/browse/CKO-57524</t>
  </si>
  <si>
    <t>lk-27476</t>
  </si>
  <si>
    <t>wlk-13850</t>
  </si>
  <si>
    <t>сервис
согл</t>
  </si>
  <si>
    <t>ошибки
слейва</t>
  </si>
  <si>
    <t>ревью</t>
  </si>
  <si>
    <t>релиз</t>
  </si>
  <si>
    <t>целевая
шеринга</t>
  </si>
  <si>
    <t>фронт
разделов</t>
  </si>
  <si>
    <t>lk-27504</t>
  </si>
  <si>
    <t>wlk-13866</t>
  </si>
  <si>
    <t>lk-27526</t>
  </si>
  <si>
    <t>lk-27528
27504</t>
  </si>
  <si>
    <t>фронт ошибки,
НЕ МФ</t>
  </si>
  <si>
    <t>DUX-4625</t>
  </si>
  <si>
    <t>тестирование на клоне</t>
  </si>
  <si>
    <t>целевая шеринг: преданализ</t>
  </si>
  <si>
    <t>lk-27544</t>
  </si>
  <si>
    <t>Согласование нагрузки на inPlat, 
Навешивание ролей на API CCM`a</t>
  </si>
  <si>
    <t>Роли для Не Мегафон</t>
  </si>
  <si>
    <t>Программирование фронта</t>
  </si>
  <si>
    <t>Добавление участника - 4 дня</t>
  </si>
  <si>
    <t>Изменения даты рождения и роли - 2 дня</t>
  </si>
  <si>
    <t>Удаление участника (роли) - 1 день</t>
  </si>
  <si>
    <t>контент - 4 дня</t>
  </si>
  <si>
    <t>чек - 2 день</t>
  </si>
  <si>
    <t>добавление - 1 день</t>
  </si>
  <si>
    <t>редактирование имени - 1 день</t>
  </si>
  <si>
    <t>редактирование роли? - 1 день</t>
  </si>
  <si>
    <t>удаление - 1 день</t>
  </si>
  <si>
    <r>
      <t>discovery </t>
    </r>
    <r>
      <rPr>
        <sz val="11"/>
        <rFont val="Calibri"/>
        <family val="2"/>
        <charset val="204"/>
        <scheme val="minor"/>
      </rPr>
      <t>- 3 дня (на проработку макетов)</t>
    </r>
  </si>
  <si>
    <r>
      <t>delivery </t>
    </r>
    <r>
      <rPr>
        <sz val="11"/>
        <rFont val="Calibri"/>
        <family val="2"/>
        <charset val="204"/>
        <scheme val="minor"/>
      </rPr>
      <t>- 8 дней+ 3 дня риски (на написание постановок)</t>
    </r>
  </si>
  <si>
    <r>
      <t>discovery </t>
    </r>
    <r>
      <rPr>
        <sz val="11"/>
        <rFont val="Calibri"/>
        <family val="2"/>
        <charset val="204"/>
        <scheme val="minor"/>
      </rPr>
      <t>- 8 дней (на проработку контрактов внешних API с коллегами, вычитку их документации по итогу работ, согласование контрактов)</t>
    </r>
  </si>
  <si>
    <r>
      <t>delivery </t>
    </r>
    <r>
      <rPr>
        <sz val="11"/>
        <rFont val="Calibri"/>
        <family val="2"/>
        <charset val="204"/>
        <scheme val="minor"/>
      </rPr>
      <t>- 11 дней + 3 дня риски (на написание постановок)</t>
    </r>
  </si>
  <si>
    <r>
      <t>Приблизительные оценки команд разработки и тестирвоания </t>
    </r>
    <r>
      <rPr>
        <i/>
        <sz val="11"/>
        <rFont val="Calibri"/>
        <family val="2"/>
        <charset val="204"/>
        <scheme val="minor"/>
      </rPr>
      <t>(будут переоценены после получения постановок от аналитики)</t>
    </r>
    <r>
      <rPr>
        <b/>
        <sz val="11"/>
        <rFont val="Calibri"/>
        <family val="2"/>
        <charset val="204"/>
        <scheme val="minor"/>
      </rPr>
      <t>:</t>
    </r>
  </si>
  <si>
    <t>Программирование бэка</t>
  </si>
  <si>
    <t>риски - 3 дня</t>
  </si>
  <si>
    <t>10 сторей - 25 дней</t>
  </si>
  <si>
    <t>риски - 5 дней</t>
  </si>
  <si>
    <t>Общий список - 2 дня</t>
  </si>
  <si>
    <t>Ошибочные кейсы - 1 день</t>
  </si>
  <si>
    <t>ВЕ разработчик</t>
  </si>
  <si>
    <t>Фронт разработчик</t>
  </si>
  <si>
    <t>Список задач и оценки: групповые продукты 2Q2026</t>
  </si>
  <si>
    <r>
      <rPr>
        <b/>
        <sz val="11"/>
        <color theme="1"/>
        <rFont val="Calibri"/>
        <family val="2"/>
        <charset val="204"/>
        <scheme val="minor"/>
      </rPr>
      <t xml:space="preserve">[Discovery+Delivery] ДГП целевая шаринг </t>
    </r>
    <r>
      <rPr>
        <sz val="11"/>
        <color theme="1"/>
        <rFont val="Calibri"/>
        <family val="2"/>
        <charset val="204"/>
        <scheme val="minor"/>
      </rPr>
      <t>МегаСемья 2.0 - реализация шаринга в МегаСемье 2.0 для перехода на целевое решение</t>
    </r>
  </si>
  <si>
    <t>Детальная оценка по ролям НЕ МегаФон</t>
  </si>
  <si>
    <t>ВЕ разработка</t>
  </si>
  <si>
    <t>FE разработка</t>
  </si>
  <si>
    <t>BE разработка</t>
  </si>
  <si>
    <t>Аналитика</t>
  </si>
  <si>
    <t>поддержка на клонах</t>
  </si>
  <si>
    <t>Согласованный роадмап: групповые продукты 2Q2026</t>
  </si>
  <si>
    <t>Роадмап: Роли абонам НЕ МегаФон</t>
  </si>
  <si>
    <t>Итого: 53 дня</t>
  </si>
  <si>
    <t>3Q2026</t>
  </si>
  <si>
    <t>РЕЛИЗ</t>
  </si>
  <si>
    <t>миграция шеринг: преданализ</t>
  </si>
  <si>
    <t>миграция ПЗБ: преданализ</t>
  </si>
  <si>
    <t>Роадмап: Роли абонам НЕ МегаФон: если ничего из подвержденного не двигаем и делаем роли после</t>
  </si>
  <si>
    <t>Роадмап: Роли абонам НЕ МегаФон: если двигать после ролей НЕ МФ дискавери миграции ПЗБ, скидок NORCA</t>
  </si>
  <si>
    <t>Роадмап: Роли абонам НЕ МегаФон: если двигать после ролей НЕ МФ дискавери миграции шеринга, миграции ПЗБ, доработки Евы, скидок NORCA</t>
  </si>
  <si>
    <t>август</t>
  </si>
  <si>
    <t>согласованный api</t>
  </si>
  <si>
    <t>дискавери api</t>
  </si>
  <si>
    <t>постановка ВЕ</t>
  </si>
  <si>
    <t>постановка FE</t>
  </si>
  <si>
    <t>обсуждение контракта и проектирование диз</t>
  </si>
  <si>
    <t>постановки ВЕ</t>
  </si>
  <si>
    <t>постановки FЕ</t>
  </si>
  <si>
    <t>lk-27539
lk-27544</t>
  </si>
  <si>
    <t>WLK-13660</t>
  </si>
  <si>
    <t>lk-27053</t>
  </si>
  <si>
    <t>доступ</t>
  </si>
  <si>
    <t>WLK-13920</t>
  </si>
  <si>
    <t>WLK-14001</t>
  </si>
  <si>
    <t>lk-27609</t>
  </si>
  <si>
    <t>В2В ДГП</t>
  </si>
  <si>
    <t>lk-27652
lk-27650</t>
  </si>
  <si>
    <t>lk-27652
lk-27650
lk-27697</t>
  </si>
  <si>
    <t>wlk-13889 клон</t>
  </si>
  <si>
    <t>lk-27705</t>
  </si>
  <si>
    <t>баги,
WLK-13896</t>
  </si>
  <si>
    <t>WLK-14104
ПЗБ</t>
  </si>
  <si>
    <t>WLK-14087
МС</t>
  </si>
  <si>
    <t>WLK-14086
МА</t>
  </si>
  <si>
    <t>клон</t>
  </si>
  <si>
    <t>ретест
багов</t>
  </si>
  <si>
    <t>WLK-14106
роли успех</t>
  </si>
  <si>
    <t>SA Андрей</t>
  </si>
  <si>
    <t>wlk-13895
ошибки</t>
  </si>
  <si>
    <t>wlk-13850 продолжение</t>
  </si>
  <si>
    <t>миграция шеринга</t>
  </si>
  <si>
    <t>WLK-14087 МС
WLK-14104 ПЗБ</t>
  </si>
  <si>
    <t>копирайты</t>
  </si>
  <si>
    <t>согласовать дизайн</t>
  </si>
  <si>
    <t>wlk-13866 модальные окна</t>
  </si>
  <si>
    <t>Роли не МФ 
и шеринг</t>
  </si>
  <si>
    <t>Роли не МФ 
Конфликты ДГП</t>
  </si>
  <si>
    <t>ИИ защита</t>
  </si>
  <si>
    <t>МИ</t>
  </si>
  <si>
    <t>Скидки МС</t>
  </si>
  <si>
    <t>аналитик должен забрифовать диза</t>
  </si>
  <si>
    <t>FE Ваня</t>
  </si>
  <si>
    <t>BE Никита</t>
  </si>
  <si>
    <r>
      <rPr>
        <b/>
        <sz val="11"/>
        <color rgb="FFFF0000"/>
        <rFont val="Calibri"/>
        <family val="2"/>
        <charset val="204"/>
        <scheme val="minor"/>
      </rPr>
      <t>№4</t>
    </r>
    <r>
      <rPr>
        <b/>
        <sz val="11"/>
        <color theme="1"/>
        <rFont val="Calibri"/>
        <family val="2"/>
        <charset val="204"/>
        <scheme val="minor"/>
      </rPr>
      <t xml:space="preserve"> Доработка Семейной безопасности: Блокировка спам-звонков</t>
    </r>
  </si>
  <si>
    <r>
      <rPr>
        <b/>
        <sz val="11"/>
        <color rgb="FFFF0000"/>
        <rFont val="Calibri"/>
        <family val="2"/>
        <charset val="204"/>
        <scheme val="minor"/>
      </rPr>
      <t>№5</t>
    </r>
    <r>
      <rPr>
        <b/>
        <sz val="11"/>
        <color theme="1"/>
        <rFont val="Calibri"/>
        <family val="2"/>
        <charset val="204"/>
        <scheme val="minor"/>
      </rPr>
      <t xml:space="preserve"> Скидки NORCA для МегаСемьи</t>
    </r>
  </si>
  <si>
    <t>lk-27697</t>
  </si>
  <si>
    <t>lk-27698</t>
  </si>
  <si>
    <t>wlk-14086</t>
  </si>
  <si>
    <t>lk-27762</t>
  </si>
  <si>
    <t>№4</t>
  </si>
  <si>
    <t>№2</t>
  </si>
  <si>
    <t>№3</t>
  </si>
  <si>
    <t>QA Антон</t>
  </si>
  <si>
    <t>lk-27706, 27707</t>
  </si>
  <si>
    <t>свериться</t>
  </si>
  <si>
    <t>постановки BE</t>
  </si>
  <si>
    <t>ТК wlk-13850</t>
  </si>
  <si>
    <t>баги wlk-13850</t>
  </si>
  <si>
    <t>epic</t>
  </si>
  <si>
    <t>1 спринт - 1 неделя</t>
  </si>
  <si>
    <r>
      <t xml:space="preserve">Вьюжанина Светлана (IT) </t>
    </r>
    <r>
      <rPr>
        <sz val="10"/>
        <color theme="1"/>
        <rFont val="Segoe UI"/>
        <family val="2"/>
        <charset val="204"/>
      </rPr>
      <t>svetlana.vyuzhanina</t>
    </r>
  </si>
  <si>
    <t>Ярик</t>
  </si>
  <si>
    <t>КС</t>
  </si>
  <si>
    <t>[B2CPROD-1380] [Delivery] Изменение параметров МегаСемьи для новых подключений на архивных линейках и переносе тарифа - MegaFon JIRA</t>
  </si>
  <si>
    <t>[B2CPROD-1384] [Delivery] Изменение параметров МегаСемьи для новых подключений на архивных линейках и переносе тарифа - MegaFon JIRA</t>
  </si>
  <si>
    <t>Стандартный</t>
  </si>
  <si>
    <t xml:space="preserve">архиные линейки 23.07, </t>
  </si>
  <si>
    <t>Рожкова Е.</t>
  </si>
  <si>
    <t xml:space="preserve">Работ В2С нет. 
Полностью на стороне конфигурирования. Если будут новые параметры, новое отображение, то нужно привлечь СКО. Пока из описания задачи наше участие не требуется. 
Контент нужен для внесения изменений в продуктовый каталог. </t>
  </si>
  <si>
    <t>ШПК, CJM</t>
  </si>
  <si>
    <t>конфигурировнание 4 дн</t>
  </si>
  <si>
    <t xml:space="preserve">Изменения на СПОК, подготовка информирования </t>
  </si>
  <si>
    <t>[Delivery] Изменение акционных параметров МегаСемьи на сетах (маркетплейс ТП) для действующих пользователей</t>
  </si>
  <si>
    <t>[[Delivery] У действующих пользователей маркетплейса ТП отменяем бесплатный слот и вводим плату за участников МегаСемьи</t>
  </si>
  <si>
    <t>убрать бесп латные слоты Клоны и семья (февраль-март) - ≈327 тыс.аб.</t>
  </si>
  <si>
    <t>акция с сетами 20.08</t>
  </si>
  <si>
    <t>[Delivery] У новых пользователей непубличных ТП (сет №6, Секретный) отменяем бесплатный слот и вводим плату за участников МегаСемьи</t>
  </si>
  <si>
    <t>[B2CPROD-1585] [Delivery] У новых пользователей непубличных ТП "сет №6, Секретный) отменяем бесплатный слот и вводим плату за участников МегаСемьи</t>
  </si>
  <si>
    <t>[B2CPROD-1362] [Discovery] UX-исследование сфер интересов пользователя в МегаСемье 2.0 - MegaFon JIRA</t>
  </si>
  <si>
    <t>По итогам потребительского исследования проводим UX-исследование (бенчи)</t>
  </si>
  <si>
    <t xml:space="preserve">Работ B2C нет, если исследование только конкурентов. </t>
  </si>
  <si>
    <t>Исследования UX</t>
  </si>
  <si>
    <t>не требуется</t>
  </si>
  <si>
    <t>[B2CPROD-1363] [Discovery] Проработка концепции с экосистемными продуктами по итогам проведенных исследований - MegaFon JIRA</t>
  </si>
  <si>
    <t>По итогам двух исследований необходимо совместно с экосистемными продуктами определить дальнейшую концепцию на интеграцию определенной сфер(ы) в семейный продукт</t>
  </si>
  <si>
    <t>Нужна прикидка</t>
  </si>
  <si>
    <t>Консультации при проработке вариантов интеграции по CJM</t>
  </si>
  <si>
    <t>[B2CPROD-111] Встройка целевой версии Семейной безопасности+ в МегаСемью 2.0 - MegaFon JIRA</t>
  </si>
  <si>
    <t>[B2CPROD-849] [Delivery] Запуск МегаСилы "Семейная безопасность+" на тарифы оригинальной линейки и сеты</t>
  </si>
  <si>
    <t>CJM, ШПК</t>
  </si>
  <si>
    <t>4 дн</t>
  </si>
  <si>
    <t>Исключаем ситуации, когда  на организаторе подключено несколько экземпляров одного продукта и шарим обьемы из каждого.</t>
  </si>
  <si>
    <t>Работ В2С нет.</t>
  </si>
  <si>
    <t>Исключаем ситуацию когда у абонента при смене со старого ТП на продукты на Перс 4.0  у него остаются старые параметры МегаСемьи (например, не предоставляется бесплатный слот, который есть на новом ТП)</t>
  </si>
  <si>
    <t>не ребуется</t>
  </si>
  <si>
    <t>[B2CPROD-166] Плати за близких (доработки после запуска)_Бюджет_Страт. проект - MegaFon JIRA</t>
  </si>
  <si>
    <t>UX исследования по результатам запуска</t>
  </si>
  <si>
    <t>консультации</t>
  </si>
  <si>
    <t>требуется</t>
  </si>
  <si>
    <t>поддержка запуска</t>
  </si>
  <si>
    <t>[B2CPROD-1389] [Discovery] Любимые номера в МегаСемье 2.0 - MegaFon JIRA</t>
  </si>
  <si>
    <t>[B2CPROD-1390] [Discovery] Любимые номера в МегаСемье 2.0 - MegaFon JIRA</t>
  </si>
  <si>
    <t>В рамках данной инициативы с 29.09.26 планируется запуск услуги "Любимые номера" для пользователей МегаСемьи 2.0.
Будет доступно одновременное подключение до 5 контактов любых мобильных сетей России, без расходования основного пакета минут, а также отображение (мониторинг) расходов по услуге "Любимые номера" через ЛК.</t>
  </si>
  <si>
    <t>нужна встреча на след неделе по вариантам решения текущим функционалом - конфигурацией BSS, или нужны какие-то доработки NX или как -то еще</t>
  </si>
  <si>
    <t>проработка CJM и ШПК</t>
  </si>
  <si>
    <t>аналитика 5 дн.</t>
  </si>
  <si>
    <t>Консультация со стороны архитектуры, Solution ресурс тоже нужен</t>
  </si>
  <si>
    <t>[B2CPROD-14] Скидки NORCA для МегаСемьи (доработки после запуска)_Тех - MegaFon JIRA</t>
  </si>
  <si>
    <t>[B2CPROD-1364] QBR_Разработка_Действие скидок на МегаСемью при добавлении платного участника - MegaFon JIRA</t>
  </si>
  <si>
    <t>Необходимо реализовать решение по багу FTBUG-101510 Не применяется скидка при добавлении платного участника с подключенной скидкой - MegaFon JIRA</t>
  </si>
  <si>
    <t>Кейс не требуется</t>
  </si>
  <si>
    <t xml:space="preserve">не требуется </t>
  </si>
  <si>
    <t>изменения на СПОК на факту запуска</t>
  </si>
  <si>
    <t>[B2CPROD-1365] Доработка сервиса family-devices-app для срочных скидок - MegaFon JIRA</t>
  </si>
  <si>
    <t>Необходимо сделать доработку сервиса family-devices-app, чтобы микросервис передавал «срок скидки» (3 месяца, бессрочно и т.д.</t>
  </si>
  <si>
    <t>аналитика и разработка (оценка )</t>
  </si>
  <si>
    <t>Реализация шаринга в ДГП ( текущий вариант МС, без слотирования)</t>
  </si>
  <si>
    <t>[Delivery] МегаСемья 2.0 Разработка и внедрение решения. Реализация шаринга в МегаСемье 2.0 для перехода на целевое решение</t>
  </si>
  <si>
    <t>миграция на целевое решение</t>
  </si>
  <si>
    <t>консультации по CJM</t>
  </si>
  <si>
    <t>консультации при разработке</t>
  </si>
  <si>
    <t>[B2CPROD-1387] МегаСемья 2.0 (ДГП). Аналитика. Отображение балансов и остатков участников для организатора_Тех - MegaFon JIRA</t>
  </si>
  <si>
    <t>балансы и остатки</t>
  </si>
  <si>
    <t>не требуются</t>
  </si>
  <si>
    <t xml:space="preserve"> [Discovery] МегаСемья 2.0 Проработка реализации "Плати за близких" в ССМ_Тех</t>
  </si>
  <si>
    <t>задача 2Q</t>
  </si>
  <si>
    <t>[B2CPROD-1509] [ Delivery] МегаСемья 2.0 Аналитика решения по реализации "Плати за близких" в ССМ_Тех - MegaFon JIRA</t>
  </si>
  <si>
    <t>Целевое решение по ПзБ  в рамках ДГП</t>
  </si>
  <si>
    <t>проработка вопросов по CJM в  рамках аналитики решения</t>
  </si>
  <si>
    <t>проработка вопросов по управлению в каналах обслуживания (кроме МЛК) в  рамках аналитики решения</t>
  </si>
  <si>
    <t> B2CPROD-1399 Перенос текущего решения "Семейной безопасности +" из микросервиса в ССМ_Тех</t>
  </si>
  <si>
    <t xml:space="preserve">Целевое регение по Семейной безпасности в ДГП </t>
  </si>
  <si>
    <t>проработка вопросов по управлению в каналах обсуживания (кроме МЛК) в  рамках аналитики решения</t>
  </si>
  <si>
    <t>МегаСемья 2.0 (ДГП)_Мультиаккаунт (уровни доступа)_Тех</t>
  </si>
  <si>
    <t>Аналитика (концепт) по  технической реализации уровней доступа организатора МегаСемья 2.0 к ромерам участников для управления ими  в МЛК</t>
  </si>
  <si>
    <t>Консультации архитектуры</t>
  </si>
  <si>
    <t>B2CPROD-147 - [Discovery] МегаСемья 2.0.Управление МегаСемьей 2.0 в ССМР</t>
  </si>
  <si>
    <t>Управление в портале ДГП</t>
  </si>
  <si>
    <t>МегаСемья 2.0 .Упрощенное подключение на ПАК ДГП с шарингом</t>
  </si>
  <si>
    <t>Адаптируем решение для Упрощенного подключения Мегасемьи (для непрофильных каналов) для ДГП с учетом перехода на шаринг, как часть ДГП в рамках  https://jira.megafon.ru/browse/B2CPROD-1018</t>
  </si>
  <si>
    <t>https://jira.megafon.ru/browse/B2CPROD-572</t>
  </si>
  <si>
    <t>Подключение МегаСемьи сразу при заключении договора в CCMP</t>
  </si>
  <si>
    <t>МегаСемья 2.0. Проработка точек развития ДГП и "узких месте" по итогам MVP</t>
  </si>
  <si>
    <t>Исследованеи UX по результатам MVP и определение  необходимых изменений в спсиске ролей и продуктовом наполнении</t>
  </si>
  <si>
    <t>Исследование UX по результатам MVP, исследование по необходимом изменения функционала ролей</t>
  </si>
  <si>
    <t>МегаСемья 2.0 .Аналитика и Разработка. Миграция абонентов из старой МегаСемьи в ДГП с шарингом</t>
  </si>
  <si>
    <t>разработка и внедрение целевого шаринка</t>
  </si>
  <si>
    <t>Работы оценены в рамках https://jira.megafon.ru/browse/B2CPROD-1508</t>
  </si>
  <si>
    <t xml:space="preserve">проработка вопросов миграции при аналитике </t>
  </si>
  <si>
    <t>[B2CPROD-1523] Аналитика. Определение платных/бесплатных участников групповых продуктов_Тех - MegaFon JIRA</t>
  </si>
  <si>
    <t xml:space="preserve"> решение для упрощения отчетности по учету платных и бесплатных участников групповых продуктов.</t>
  </si>
  <si>
    <t>[B2CPROD-1522] Аналитика. Слоты (Персонализация и вариативность параметров МегаСемьи 2.0 ДГП)_Тех. - MegaFon JIRA</t>
  </si>
  <si>
    <t>слотирование в шаринге для ДГП</t>
  </si>
  <si>
    <t>[B2CPROD-1525] Разработка_Доработка openapi для открытия МегаСемьи сегменту F&amp;F_Тех - MegaFon JIRA</t>
  </si>
  <si>
    <t>аналитика по F&amp;F</t>
  </si>
  <si>
    <t>[B2CPROD-1386] [Discovery]_Витрина рекомендованных продуктов для ролей МегаСемья 2.0 (ДГП) - MegaFon JIRA</t>
  </si>
  <si>
    <t>внедрение MVP (раоты ФТ)</t>
  </si>
  <si>
    <t>нужны работы ФТ  (тесты МегаСемьи 2/0) MVP)</t>
  </si>
  <si>
    <t>Бобко М.</t>
  </si>
  <si>
    <t>постановки FE: назначение ролей</t>
  </si>
  <si>
    <r>
      <rPr>
        <b/>
        <sz val="11"/>
        <color rgb="FFFF0000"/>
        <rFont val="Calibri"/>
        <family val="2"/>
        <charset val="204"/>
        <scheme val="minor"/>
      </rPr>
      <t>№2</t>
    </r>
    <r>
      <rPr>
        <b/>
        <sz val="11"/>
        <color theme="1"/>
        <rFont val="Calibri"/>
        <family val="2"/>
        <charset val="204"/>
        <scheme val="minor"/>
      </rPr>
      <t xml:space="preserve"> Роли не МФ без ГЕО</t>
    </r>
  </si>
  <si>
    <t>QA Миша К</t>
  </si>
  <si>
    <t>исправление багов</t>
  </si>
  <si>
    <t>WLK-13895
ошибки</t>
  </si>
  <si>
    <t>lk-27904</t>
  </si>
  <si>
    <t>lk-27934</t>
  </si>
  <si>
    <t>lk-27948</t>
  </si>
  <si>
    <t>lk-27949</t>
  </si>
  <si>
    <t>lk-27950</t>
  </si>
  <si>
    <t>постановки</t>
  </si>
  <si>
    <t>№5</t>
  </si>
  <si>
    <t>wlk-14374</t>
  </si>
  <si>
    <t>lk-27961</t>
  </si>
  <si>
    <t>баннеры</t>
  </si>
  <si>
    <t>успех+ленд</t>
  </si>
  <si>
    <t>лейб+блок инфо</t>
  </si>
  <si>
    <t>лейбл+блок инфо</t>
  </si>
  <si>
    <t>QA Миша Б</t>
  </si>
  <si>
    <t>№6</t>
  </si>
  <si>
    <t>правки</t>
  </si>
  <si>
    <t>утвердить</t>
  </si>
  <si>
    <t>названия разделов</t>
  </si>
  <si>
    <t>В2В</t>
  </si>
  <si>
    <t>обработка конфликтов</t>
  </si>
  <si>
    <t>https://jira.megafon.ru/browse/B2CPROD-1697</t>
  </si>
  <si>
    <t>Дискавери. Дизайн 1 спринт, Аналитик 1 спринт</t>
  </si>
  <si>
    <t>Поиск в ПЗБ мест для промоутирования АП</t>
  </si>
  <si>
    <r>
      <t xml:space="preserve">Отнять бесплатные слоты, у кого еще не подключена семья (брали архивные ТП до 4.2 и Перс)
≈220 тыс.аб. REV +36 млн GM +55 млн - </t>
    </r>
    <r>
      <rPr>
        <b/>
        <sz val="14"/>
        <rFont val="Calibri"/>
        <family val="2"/>
        <scheme val="minor"/>
      </rPr>
      <t>возможнно массовые операции</t>
    </r>
  </si>
  <si>
    <r>
      <t xml:space="preserve">Дизайнер - спроектировать встройку экосистемного продукта
Аналитик - понять, что хотят встраивать 
</t>
    </r>
    <r>
      <rPr>
        <b/>
        <sz val="14"/>
        <rFont val="Calibri"/>
        <family val="2"/>
        <scheme val="minor"/>
      </rPr>
      <t>Дизайн - 1 спринт
Аналитика - 1 спринт</t>
    </r>
  </si>
  <si>
    <r>
      <rPr>
        <b/>
        <sz val="14"/>
        <rFont val="Calibri"/>
        <family val="2"/>
        <scheme val="minor"/>
      </rPr>
      <t xml:space="preserve">Дизайнер - 2 спринта 
Аналитик - 3 спринта
</t>
    </r>
    <r>
      <rPr>
        <sz val="14"/>
        <rFont val="Calibri"/>
        <family val="2"/>
        <scheme val="minor"/>
      </rPr>
      <t>В задаче отсутствует описание услуги и БФТ, оценка дана очень верхнеуровнево и может потребоваться больше времени на преданализ в 4Q26</t>
    </r>
  </si>
  <si>
    <r>
      <rPr>
        <sz val="14"/>
        <rFont val="Calibri"/>
        <family val="2"/>
        <scheme val="minor"/>
      </rPr>
      <t xml:space="preserve">Деливери. Задача на разработку. </t>
    </r>
    <r>
      <rPr>
        <b/>
        <sz val="14"/>
        <rFont val="Calibri"/>
        <family val="2"/>
        <scheme val="minor"/>
      </rPr>
      <t xml:space="preserve">
Аналитик - 0,5
Дизайн - 0,5
FE - 0,5
BE - 0,5
QA - 0,5</t>
    </r>
  </si>
  <si>
    <r>
      <t xml:space="preserve">Проектируем общую страницу со всеми продуктами, переезжаем на новое апи, механизм миграции
</t>
    </r>
    <r>
      <rPr>
        <b/>
        <sz val="14"/>
        <rFont val="Calibri"/>
        <family val="2"/>
        <scheme val="minor"/>
      </rPr>
      <t>Дизайнер - 3 спринта
Аналитик - 5 спринтов
FE - 4 спринта
BE - 3 спринта
QA - 7 спринтов</t>
    </r>
  </si>
  <si>
    <r>
      <t xml:space="preserve">Дискавери, сейчас нет понимания апи, чтобы оценить разработку
</t>
    </r>
    <r>
      <rPr>
        <b/>
        <sz val="14"/>
        <rFont val="Calibri"/>
        <family val="2"/>
        <scheme val="minor"/>
      </rPr>
      <t xml:space="preserve">Дизайн - 1 спринт 
Аналитика - 0,5 спринта </t>
    </r>
  </si>
  <si>
    <r>
      <t xml:space="preserve">Дискавери. 
</t>
    </r>
    <r>
      <rPr>
        <b/>
        <sz val="14"/>
        <rFont val="Calibri"/>
        <family val="2"/>
        <scheme val="minor"/>
      </rPr>
      <t xml:space="preserve">Дизайн - 1 спринт 
Аналитика - 2 спринта </t>
    </r>
  </si>
  <si>
    <r>
      <t xml:space="preserve">аналитика, дизайнер - оценка от команды Ева. </t>
    </r>
    <r>
      <rPr>
        <sz val="14"/>
        <color rgb="FFFF0000"/>
        <rFont val="Calibri"/>
        <family val="2"/>
        <scheme val="minor"/>
      </rPr>
      <t>Нужно передать на оценку Алине Козуб.</t>
    </r>
  </si>
  <si>
    <r>
      <t xml:space="preserve">Разработка. Чтобы FF попали в раздел, В2С нужно открыть его. ЦКО нужно привлечь, когда NX выйдет в прод.
</t>
    </r>
    <r>
      <rPr>
        <b/>
        <sz val="14"/>
        <rFont val="Calibri"/>
        <family val="2"/>
        <scheme val="minor"/>
      </rPr>
      <t>Аналитик - 0,5 спринта
FE - 0,5 спринта 
BE - 0,5 спринта
QA - 0,5 спринта</t>
    </r>
  </si>
  <si>
    <r>
      <t xml:space="preserve">Дискавери. 
</t>
    </r>
    <r>
      <rPr>
        <b/>
        <sz val="14"/>
        <rFont val="Calibri"/>
        <family val="2"/>
        <scheme val="minor"/>
      </rPr>
      <t>Аналитика - 2 спринта
Дизайн -  1,5 спринта</t>
    </r>
  </si>
  <si>
    <r>
      <rPr>
        <sz val="14"/>
        <rFont val="Calibri"/>
        <family val="2"/>
        <scheme val="minor"/>
      </rPr>
      <t>Продолжение работ, поддержка релиза</t>
    </r>
    <r>
      <rPr>
        <b/>
        <sz val="14"/>
        <rFont val="Calibri"/>
        <family val="2"/>
        <scheme val="minor"/>
      </rPr>
      <t xml:space="preserve">
Аналитик - 1 спринт
FE - 1 спринт
BE - 2,5 спринта
QA - 5 спринтов</t>
    </r>
  </si>
  <si>
    <t>\</t>
  </si>
  <si>
    <t xml:space="preserve">Создание бесплатной подписки Радар+Мегасемья для детского профиля </t>
  </si>
  <si>
    <t>https://jira.megafon.ru/browse/B2CPROD-907</t>
  </si>
  <si>
    <t>Реализация шаринга в МегаСемье 2.0 для перехода на целевое решение в ССМ</t>
  </si>
  <si>
    <t>Балансы и остатки</t>
  </si>
  <si>
    <t>Проработка реализации "Плати за близких" в ССМ</t>
  </si>
  <si>
    <t>Действие скидок на МегаСемью при добавлении платного участника</t>
  </si>
  <si>
    <t>ПЗБ: автоплатеж</t>
  </si>
  <si>
    <t>Доработка openapi для открытия МегаСемьи сегменту F&amp;F</t>
  </si>
  <si>
    <t>Выдача разрешений на Гео в МЛК</t>
  </si>
  <si>
    <t>Поддержка MVP перед запуском</t>
  </si>
  <si>
    <t> Перенос текущего решения "Семейной безопасности +" из микросервиса в ССМ</t>
  </si>
  <si>
    <t>Переперсонализация МегаСемьи_Перенос характеристик</t>
  </si>
  <si>
    <t>Проработка концепции с экосистемными продуктами по итогам проведенных исследований</t>
  </si>
  <si>
    <t>Е2Е</t>
  </si>
  <si>
    <t>wlk-14438</t>
  </si>
  <si>
    <t>МегаСемья 2.0 (ДГП)_Аналитика _Мультиаккаунт (уровни доступа)_Тех</t>
  </si>
  <si>
    <t>WLK-13687
сторис</t>
  </si>
  <si>
    <t>https://jira.megafon.ru/browse/B2CPROD-1387</t>
  </si>
  <si>
    <t>https://jira.megafon.ru/browse/B2CPROD-1485</t>
  </si>
  <si>
    <t>https://jira.megafon.ru/browse/B2CPROD-1503</t>
  </si>
  <si>
    <t>https://jira.megafon.ru/browse/B2CPROD-1525</t>
  </si>
  <si>
    <t>https://jira.megafon.ru/browse/B2CPROD-1399</t>
  </si>
  <si>
    <t>https://jira.megafon.ru/browse/B2CPROD-915</t>
  </si>
  <si>
    <t>https://jira.megafon.ru/browse/B2CPROD-1544</t>
  </si>
  <si>
    <t>https://jira.megafon.ru/browse/B2CPROD-1386</t>
  </si>
  <si>
    <t>[Discovery]_Витрина рекомендованных продуктов для ролей МегаСемья 2.0 (ДГП)_ТЕХ</t>
  </si>
  <si>
    <t>https://jira.megafon.ru/browse/B2CPROD-1364</t>
  </si>
  <si>
    <t>https://jira.megafon.ru/browse/B2CPROD-1363</t>
  </si>
  <si>
    <t>Загруз</t>
  </si>
  <si>
    <t>Change</t>
  </si>
  <si>
    <t>Тех. Долг и аварии 15%</t>
  </si>
  <si>
    <t>скидки</t>
  </si>
  <si>
    <t>wlk-14479</t>
  </si>
  <si>
    <t>wlk-14525</t>
  </si>
  <si>
    <t>wlk-14524</t>
  </si>
  <si>
    <t>ТК wlk-13850
WLK-13687
сторис</t>
  </si>
  <si>
    <t>изменение роли
дата рождения</t>
  </si>
  <si>
    <t>LK-28052</t>
  </si>
  <si>
    <t>wlk-14425</t>
  </si>
  <si>
    <t>FE Богдан</t>
  </si>
  <si>
    <t>сентябрь</t>
  </si>
  <si>
    <t>FE Иван</t>
  </si>
  <si>
    <r>
      <rPr>
        <b/>
        <sz val="11"/>
        <color rgb="FFFF0000"/>
        <rFont val="Calibri"/>
        <family val="2"/>
        <charset val="204"/>
        <scheme val="minor"/>
      </rPr>
      <t xml:space="preserve">№6 </t>
    </r>
    <r>
      <rPr>
        <b/>
        <sz val="11"/>
        <color theme="1"/>
        <rFont val="Calibri"/>
        <family val="2"/>
        <charset val="204"/>
        <scheme val="minor"/>
      </rPr>
      <t xml:space="preserve">ГЕО у детей: Создание бесплатной подписки Радар+Мегасемья для детского профиля </t>
    </r>
  </si>
  <si>
    <t>Q3</t>
  </si>
  <si>
    <t>NX НЕТ</t>
  </si>
  <si>
    <t>https://jira.megafon.ru/browse/B2CPROD-1390</t>
  </si>
  <si>
    <t>???</t>
  </si>
  <si>
    <t>нас ждут хотя бы дизайн</t>
  </si>
  <si>
    <t>мвп ДГП</t>
  </si>
  <si>
    <t>https://jira.megafon.ru/browse/B2CPROD-1365</t>
  </si>
  <si>
    <t>Срок действия скидки участникам МС</t>
  </si>
  <si>
    <t>не прошел NX</t>
  </si>
  <si>
    <t>NX НЕТ, от нас  проектирование</t>
  </si>
  <si>
    <t>релиз скидок</t>
  </si>
  <si>
    <t>успех+ленд LK 28113</t>
  </si>
  <si>
    <t>изменение роли LK-28052</t>
  </si>
  <si>
    <t>изм роли WLK-14576</t>
  </si>
  <si>
    <t>изм. роли LK-28052</t>
  </si>
  <si>
    <t>изм. роли
WLK-14576</t>
  </si>
  <si>
    <t>WLK-14526
дата рожд взр</t>
  </si>
  <si>
    <t>LK-28083</t>
  </si>
  <si>
    <t>LK 28113</t>
  </si>
  <si>
    <t>WLK-14593</t>
  </si>
  <si>
    <t>успех+ленд
WLK-14593</t>
  </si>
  <si>
    <t>доработка алертов</t>
  </si>
  <si>
    <t>Описание</t>
  </si>
  <si>
    <t>Дата релиза</t>
  </si>
  <si>
    <t>3Q26</t>
  </si>
  <si>
    <t>эскалация</t>
  </si>
  <si>
    <t>подтверждено</t>
  </si>
  <si>
    <t>не подтверждено, нет ресурса NX, не блокирует</t>
  </si>
  <si>
    <t>дискавери</t>
  </si>
  <si>
    <t>____________</t>
  </si>
  <si>
    <t xml:space="preserve">В  рамках mvp версии ДГП на экране успеха добавления в продукт было реализовано решение по настройке роли вместо продвижения автоплатежа. Нужно найти другие места для продвижения автоплатежа на время, пока роли подключаются в конце сценария. </t>
  </si>
  <si>
    <t>Реализация отображения скидок на участников для активных и потенциальных организаторов в Дели тариф</t>
  </si>
  <si>
    <t>Первая итерация работ по реализации целевого решения ДГП: шеринг тарифа. Сбор единой точки входа, переезд в ссм, доп. продажи итд.</t>
  </si>
  <si>
    <t>Реализация доп.требования по безопасной связи для ребенка в рамках РК mvp ДГП</t>
  </si>
  <si>
    <t>Отображение срока действия скидки на добавление участников в Дели тариф</t>
  </si>
  <si>
    <t>Отображение в ДГП балансов и остатков на карточках участника, чтобы организатор мог контролировать баланс и докупать пакеты</t>
  </si>
  <si>
    <t>Вторая итерация работ по реализации целевого решения ДГП: плати за близких. Переезд в ссм</t>
  </si>
  <si>
    <t>Проработка концепта и поиск решений для управления аккаунтами участников через уровни доступа</t>
  </si>
  <si>
    <t>Третья итерация работ по реализации целевого решения ДГП: Семейная безопасность. Переезд в ссм</t>
  </si>
  <si>
    <t>Работы для завершения программирования и тестирования MVP версии ДГП к РК</t>
  </si>
  <si>
    <t xml:space="preserve">Проработка концепта и поиск решений по апсейлу участников ДГП: дополнительные предложения для организатора </t>
  </si>
  <si>
    <t>Проработка концепта и поиск решений по интеграции партнерских сервисов и предложений в ДГП</t>
  </si>
  <si>
    <t>Проработка концепта МегаСилы "Любимые номера", чтобы участники могли совершать вызовы на других операторов безлимитно. Услуга подключается организатором и шерится на участников ДГП</t>
  </si>
  <si>
    <t xml:space="preserve"> В настоящее время в функции существует блокер, который не позволяет открыть возможность подключения МегаСемьи абонентам F&amp;F</t>
  </si>
  <si>
    <t>Выдача разрешений на фоновый сбор геоданных с устройства пользователя через МЛК увеличит качество отображаемых данных по близким в Радаре</t>
  </si>
  <si>
    <t>Техническое дискавери. При смене тарифа с персональными характеристиками МегаСемьи не происходит переперсонализация, в случае если значения характеристик тарифов отличаются.Невозможно перевести абонента на новые условия семьи через механизм симплификации</t>
  </si>
  <si>
    <t>wlk-14686</t>
  </si>
  <si>
    <t>баннеры lk-28197</t>
  </si>
  <si>
    <t>В2В lk-28201</t>
  </si>
  <si>
    <t>wlk-14693</t>
  </si>
  <si>
    <t>доработка
алертов</t>
  </si>
  <si>
    <t>faq</t>
  </si>
  <si>
    <t>мастер-слейв</t>
  </si>
  <si>
    <t>Дели тариф</t>
  </si>
  <si>
    <t xml:space="preserve">Контроль аккаунтов </t>
  </si>
  <si>
    <t xml:space="preserve">Плати за близких </t>
  </si>
  <si>
    <t>Семейная безопасность</t>
  </si>
  <si>
    <t xml:space="preserve">Статус </t>
  </si>
  <si>
    <t>Сценарии организатора</t>
  </si>
  <si>
    <t>Сценарии участника</t>
  </si>
  <si>
    <t>Роли</t>
  </si>
  <si>
    <t>Изменение и отзыв роли</t>
  </si>
  <si>
    <t>черновик</t>
  </si>
  <si>
    <t>mvp</t>
  </si>
  <si>
    <t>Информация о номере</t>
  </si>
  <si>
    <t>Назначение роли абоненту не МегаФон</t>
  </si>
  <si>
    <t>Плати за близких</t>
  </si>
  <si>
    <t>Исключение по ролям: корпоративный номер</t>
  </si>
  <si>
    <t>Добавление участника в ДГП, если он добавлен другим организатором</t>
  </si>
  <si>
    <t>Новая точка входа в сценарий добавления в продукт: раздел МегаСемья</t>
  </si>
  <si>
    <t>черновик/mvp</t>
  </si>
  <si>
    <t>Назначение роли МегаФон: точки начала сценария</t>
  </si>
  <si>
    <t>Управление продуктом участника: карточка участника, сервисные и cvm коммуникации. Отключение и подключение услуг: МегаСемья/Информация о номере</t>
  </si>
  <si>
    <t>Изменение роли самостоятельно</t>
  </si>
  <si>
    <t>Управление продуктом: добавление/удаление</t>
  </si>
  <si>
    <t>Точка входа в МегаСемью и переключение на организатора</t>
  </si>
  <si>
    <t xml:space="preserve">нет </t>
  </si>
  <si>
    <t>есть наработки, можно их переиспользовать для продолжения</t>
  </si>
  <si>
    <t xml:space="preserve">запрограммировано, допускаются незначительные косметические правки, мало приоритетно </t>
  </si>
  <si>
    <t>требуется отрисовка по вводным, черновика нет</t>
  </si>
  <si>
    <t>Пояснения статусов</t>
  </si>
  <si>
    <t>Приглашение на роль и в продукт Дели тариф</t>
  </si>
  <si>
    <t>Приглашение на роль остальные продукты</t>
  </si>
  <si>
    <t>Экраны</t>
  </si>
  <si>
    <t>ДГП сценарии и статус по шерингу</t>
  </si>
  <si>
    <t>wlk-14757</t>
  </si>
  <si>
    <t xml:space="preserve">lk-28197 </t>
  </si>
  <si>
    <t>поддержка релиза</t>
  </si>
  <si>
    <t>ретесты</t>
  </si>
  <si>
    <t>wlk-14762</t>
  </si>
  <si>
    <t>wlk-14774</t>
  </si>
  <si>
    <t>lk-28293</t>
  </si>
  <si>
    <t>плитки</t>
  </si>
  <si>
    <t>Ваня Ш</t>
  </si>
  <si>
    <t>названия
разделов</t>
  </si>
  <si>
    <t xml:space="preserve">отпуск </t>
  </si>
  <si>
    <t>веб-разметка</t>
  </si>
  <si>
    <r>
      <t xml:space="preserve">NX только начали проектировать, </t>
    </r>
    <r>
      <rPr>
        <sz val="10"/>
        <color rgb="FFFF0000"/>
        <rFont val="Calibri"/>
        <family val="2"/>
        <charset val="204"/>
        <scheme val="minor"/>
      </rPr>
      <t>уточнить когда нас подключат?</t>
    </r>
    <r>
      <rPr>
        <sz val="10"/>
        <color theme="1"/>
        <rFont val="Calibri"/>
        <family val="2"/>
        <charset val="204"/>
        <scheme val="minor"/>
      </rPr>
      <t xml:space="preserve"> Андрей?</t>
    </r>
  </si>
  <si>
    <t xml:space="preserve">NX закончили проектирование, сделали api, доработали сервис согласий, план согласий - готова вся документация.  
Мы дочитываем документацию: +пара дней. 
Начинаем делать ВЕ с начала августа - подключаем Андрея на отпуск Гоши (либо ПЗБ)
</t>
  </si>
  <si>
    <t>Поддержка MVP запуск</t>
  </si>
  <si>
    <t>Дизайнер Настя</t>
  </si>
  <si>
    <t>Q2 готово</t>
  </si>
  <si>
    <t>slave-аккаунт</t>
  </si>
  <si>
    <t>роль в коде</t>
  </si>
  <si>
    <t>дата рож взр</t>
  </si>
  <si>
    <t>ДГП целевая шаринг МегаСемья 2.0 - реализация шаринга в МегаСемье 2.0 для перехода на целевое решение</t>
  </si>
  <si>
    <t>ДГП Проработка реализации "Плати за близких" в ССМ</t>
  </si>
  <si>
    <t>№1 Разработка MVP ДГП МегаСемья 2.0 MVP (МегаСемья 2.0 без шаринга, Роли и продукты профилей, общий раздел в МЛК по групповым продуктам)</t>
  </si>
  <si>
    <t>Кирилл</t>
  </si>
  <si>
    <t>ЦКО</t>
  </si>
  <si>
    <t>133 дней</t>
  </si>
  <si>
    <t>Вт 19.05.26</t>
  </si>
  <si>
    <t>Пн 23.11.26</t>
  </si>
  <si>
    <t>   Преданализ ЦКО</t>
  </si>
  <si>
    <t>10 дней</t>
  </si>
  <si>
    <t>Пн 01.06.26</t>
  </si>
  <si>
    <t>   Анализ</t>
  </si>
  <si>
    <t>56 дней</t>
  </si>
  <si>
    <t>Ср 24.06.26</t>
  </si>
  <si>
    <t>Ср 09.09.26</t>
  </si>
  <si>
    <t>   Разработка</t>
  </si>
  <si>
    <t>20 дней</t>
  </si>
  <si>
    <t>Чт 03.09.26</t>
  </si>
  <si>
    <t>Ср 30.09.26</t>
  </si>
  <si>
    <t>   Тестирование внутреннее</t>
  </si>
  <si>
    <t>25 дней</t>
  </si>
  <si>
    <t>Пн 19.10.26</t>
  </si>
  <si>
    <t>FE Кирилл</t>
  </si>
  <si>
    <t>BE Вова</t>
  </si>
  <si>
    <t>октябрь</t>
  </si>
  <si>
    <t xml:space="preserve"> тест бэк</t>
  </si>
  <si>
    <t>тест бэк</t>
  </si>
  <si>
    <t>тест фронт</t>
  </si>
  <si>
    <t>ноябрь</t>
  </si>
  <si>
    <t>конец всех доработок</t>
  </si>
  <si>
    <t>критично, не прошло</t>
  </si>
  <si>
    <t>прошло</t>
  </si>
  <si>
    <t xml:space="preserve">NX ДА: сдвиг сроков - ? дата ЦКО отталкивается от готовности в феврале </t>
  </si>
  <si>
    <t>NX ДА: сдвиг сроков - ? дата ЦКО отталкивается от готовности</t>
  </si>
  <si>
    <t>Мкс берет в анализ конец сентября - ЦКО готовность октябрь</t>
  </si>
  <si>
    <t>NX в аналитике 3Q</t>
  </si>
  <si>
    <t xml:space="preserve">в работе </t>
  </si>
  <si>
    <t>NX в преданализе 3Q</t>
  </si>
  <si>
    <t>декабрь</t>
  </si>
  <si>
    <t>КТ</t>
  </si>
  <si>
    <t>ФТ</t>
  </si>
  <si>
    <t>тест клон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</si>
</sst>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800]dddd\,\ mmmm\ dd\,\ yyyy"/>
  </numFmts>
  <fonts count="126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i/>
      <sz val="10"/>
      <color rgb="FFA6A6A6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theme="0" tint="-0.249977111117893"/>
      <name val="Calibri"/>
      <family val="2"/>
      <charset val="204"/>
    </font>
    <font>
      <u/>
      <sz val="10"/>
      <color theme="0" tint="-0.249977111117893"/>
      <name val="Calibri"/>
      <family val="2"/>
      <charset val="204"/>
      <scheme val="minor"/>
    </font>
    <font>
      <sz val="10"/>
      <color theme="0" tint="-0.249977111117893"/>
      <name val="Calibri"/>
      <family val="2"/>
      <charset val="204"/>
      <scheme val="minor"/>
    </font>
    <font>
      <u/>
      <sz val="10"/>
      <color theme="10"/>
      <name val="Calibri"/>
      <family val="2"/>
      <charset val="204"/>
      <scheme val="minor"/>
    </font>
    <font>
      <sz val="10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rgb="FFFF0000"/>
      <name val="Calibri"/>
      <family val="2"/>
      <charset val="204"/>
    </font>
    <font>
      <u/>
      <sz val="1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u/>
      <sz val="9"/>
      <color theme="10"/>
      <name val="Calibri"/>
      <family val="2"/>
      <charset val="204"/>
      <scheme val="minor"/>
    </font>
    <font>
      <sz val="11"/>
      <color theme="4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sz val="11"/>
      <color rgb="FF7030A0"/>
      <name val="Calibri"/>
      <family val="2"/>
      <charset val="204"/>
      <scheme val="minor"/>
    </font>
    <font>
      <b/>
      <sz val="9"/>
      <color indexed="81"/>
      <name val="Tahoma"/>
      <charset val="1"/>
    </font>
    <font>
      <b/>
      <sz val="11"/>
      <color rgb="FFFF000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u/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u/>
      <sz val="12"/>
      <color theme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name val="Calibri"/>
      <family val="2"/>
      <scheme val="minor"/>
    </font>
    <font>
      <u/>
      <sz val="12"/>
      <color theme="0" tint="-0.499984740745262"/>
      <name val="Calibri"/>
      <family val="2"/>
      <scheme val="minor"/>
    </font>
    <font>
      <b/>
      <sz val="14"/>
      <color theme="1"/>
      <name val="Calibri"/>
      <family val="2"/>
      <charset val="204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6"/>
      <color theme="1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b/>
      <sz val="9"/>
      <color theme="9" tint="-0.249977111117893"/>
      <name val="Calibri"/>
      <family val="2"/>
      <charset val="204"/>
      <scheme val="minor"/>
    </font>
    <font>
      <sz val="6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9"/>
      <color theme="2" tint="-0.249977111117893"/>
      <name val="Calibri"/>
      <family val="2"/>
      <charset val="204"/>
      <scheme val="minor"/>
    </font>
    <font>
      <sz val="11"/>
      <color theme="2" tint="-0.249977111117893"/>
      <name val="Calibri"/>
      <family val="2"/>
      <charset val="204"/>
      <scheme val="minor"/>
    </font>
    <font>
      <sz val="8"/>
      <color theme="2" tint="-0.249977111117893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b/>
      <sz val="8"/>
      <color theme="9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sz val="7"/>
      <name val="Calibri"/>
      <family val="2"/>
      <charset val="204"/>
      <scheme val="minor"/>
    </font>
    <font>
      <sz val="7"/>
      <color rgb="FFFF0000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  <font>
      <sz val="10"/>
      <color theme="1"/>
      <name val="Segoe UI"/>
      <family val="2"/>
      <charset val="204"/>
    </font>
    <font>
      <sz val="10"/>
      <color rgb="FF000000"/>
      <name val="Segoe UI"/>
      <family val="2"/>
      <charset val="204"/>
    </font>
    <font>
      <b/>
      <sz val="14"/>
      <color rgb="FFFF0000"/>
      <name val="Calibri"/>
      <family val="2"/>
      <scheme val="minor"/>
    </font>
    <font>
      <u/>
      <sz val="11"/>
      <color theme="0" tint="-0.34998626667073579"/>
      <name val="Calibri"/>
      <family val="2"/>
      <scheme val="minor"/>
    </font>
    <font>
      <u/>
      <sz val="10"/>
      <color theme="8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4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u/>
      <sz val="14"/>
      <color theme="0" tint="-0.34998626667073579"/>
      <name val="Calibri"/>
      <family val="2"/>
      <scheme val="minor"/>
    </font>
    <font>
      <u/>
      <sz val="14"/>
      <color theme="8"/>
      <name val="Calibri"/>
      <family val="2"/>
      <scheme val="minor"/>
    </font>
    <font>
      <sz val="14"/>
      <color theme="0" tint="-0.3499862666707357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8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i/>
      <sz val="9"/>
      <color rgb="FFFF0000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i/>
      <sz val="9"/>
      <color rgb="FFFF0000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color rgb="FFFF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u/>
      <sz val="12"/>
      <color rgb="FFFF000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0C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9D5BD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DFCE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1D1FF"/>
        <bgColor indexed="64"/>
      </patternFill>
    </fill>
    <fill>
      <patternFill patternType="solid">
        <fgColor rgb="FFFFAFB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8DCD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1D2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theme="4" tint="0.39997558519241921"/>
      </left>
      <right/>
      <top style="medium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  <border>
      <left/>
      <right style="medium">
        <color theme="4" tint="0.39997558519241921"/>
      </right>
      <top style="medium">
        <color theme="4" tint="0.39997558519241921"/>
      </top>
      <bottom/>
      <diagonal/>
    </border>
    <border>
      <left style="medium">
        <color theme="4" tint="0.39997558519241921"/>
      </left>
      <right/>
      <top/>
      <bottom/>
      <diagonal/>
    </border>
    <border>
      <left/>
      <right style="medium">
        <color theme="4" tint="0.39997558519241921"/>
      </right>
      <top/>
      <bottom/>
      <diagonal/>
    </border>
    <border>
      <left style="medium">
        <color theme="4" tint="0.39997558519241921"/>
      </left>
      <right/>
      <top/>
      <bottom style="medium">
        <color theme="4" tint="0.39997558519241921"/>
      </bottom>
      <diagonal/>
    </border>
    <border>
      <left/>
      <right style="medium">
        <color theme="4" tint="0.39997558519241921"/>
      </right>
      <top/>
      <bottom style="medium">
        <color theme="4" tint="0.3999755851924192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indexed="64"/>
      </left>
      <right/>
      <top style="thin">
        <color rgb="FFFF0000"/>
      </top>
      <bottom style="thin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43" fontId="3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6" fillId="0" borderId="0" applyNumberFormat="0" applyFill="0" applyBorder="0" applyAlignment="0" applyProtection="0"/>
  </cellStyleXfs>
  <cellXfs count="1566">
    <xf numFmtId="0" fontId="0" fillId="0" borderId="0" xfId="0"/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center" wrapText="1"/>
    </xf>
    <xf numFmtId="0" fontId="10" fillId="0" borderId="1" xfId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center" wrapText="1"/>
    </xf>
    <xf numFmtId="0" fontId="12" fillId="5" borderId="1" xfId="1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13" fillId="5" borderId="2" xfId="0" applyFont="1" applyFill="1" applyBorder="1" applyAlignment="1">
      <alignment vertical="top" wrapText="1"/>
    </xf>
    <xf numFmtId="0" fontId="14" fillId="5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vertical="center" wrapText="1"/>
    </xf>
    <xf numFmtId="0" fontId="10" fillId="0" borderId="1" xfId="1" applyFont="1" applyBorder="1" applyAlignment="1">
      <alignment vertical="top" wrapText="1"/>
    </xf>
    <xf numFmtId="0" fontId="8" fillId="6" borderId="1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center" wrapText="1"/>
    </xf>
    <xf numFmtId="0" fontId="10" fillId="0" borderId="3" xfId="1" applyFont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0" fillId="0" borderId="4" xfId="1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2" fillId="7" borderId="3" xfId="1" applyFont="1" applyFill="1" applyBorder="1" applyAlignment="1">
      <alignment horizontal="center" vertical="center" wrapText="1"/>
    </xf>
    <xf numFmtId="0" fontId="12" fillId="7" borderId="5" xfId="1" applyFont="1" applyFill="1" applyBorder="1" applyAlignment="1">
      <alignment horizontal="center" vertical="center" wrapText="1"/>
    </xf>
    <xf numFmtId="0" fontId="12" fillId="7" borderId="1" xfId="1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top" wrapText="1"/>
    </xf>
    <xf numFmtId="0" fontId="6" fillId="7" borderId="6" xfId="0" applyFont="1" applyFill="1" applyBorder="1" applyAlignment="1">
      <alignment horizontal="left" vertical="top" wrapText="1"/>
    </xf>
    <xf numFmtId="0" fontId="0" fillId="7" borderId="0" xfId="0" applyFill="1" applyAlignment="1">
      <alignment wrapText="1"/>
    </xf>
    <xf numFmtId="0" fontId="14" fillId="7" borderId="1" xfId="0" applyFont="1" applyFill="1" applyBorder="1" applyAlignment="1">
      <alignment vertical="top" wrapText="1"/>
    </xf>
    <xf numFmtId="0" fontId="16" fillId="7" borderId="0" xfId="0" applyFont="1" applyFill="1" applyAlignment="1">
      <alignment horizontal="left" vertical="top" wrapText="1"/>
    </xf>
    <xf numFmtId="0" fontId="14" fillId="7" borderId="1" xfId="0" applyFont="1" applyFill="1" applyBorder="1" applyAlignment="1">
      <alignment horizontal="left" vertical="top" wrapText="1"/>
    </xf>
    <xf numFmtId="0" fontId="6" fillId="7" borderId="7" xfId="0" applyFont="1" applyFill="1" applyBorder="1" applyAlignment="1">
      <alignment horizontal="left" vertical="top" wrapText="1"/>
    </xf>
    <xf numFmtId="0" fontId="12" fillId="7" borderId="5" xfId="1" applyFont="1" applyFill="1" applyBorder="1" applyAlignment="1">
      <alignment vertical="center" wrapText="1"/>
    </xf>
    <xf numFmtId="0" fontId="17" fillId="8" borderId="1" xfId="1" applyFont="1" applyFill="1" applyBorder="1" applyAlignment="1">
      <alignment vertical="center" wrapText="1"/>
    </xf>
    <xf numFmtId="0" fontId="13" fillId="8" borderId="1" xfId="0" applyFont="1" applyFill="1" applyBorder="1" applyAlignment="1">
      <alignment vertical="center" wrapText="1"/>
    </xf>
    <xf numFmtId="0" fontId="13" fillId="8" borderId="2" xfId="0" applyFont="1" applyFill="1" applyBorder="1" applyAlignment="1">
      <alignment vertical="top" wrapText="1"/>
    </xf>
    <xf numFmtId="0" fontId="15" fillId="8" borderId="1" xfId="1" applyFont="1" applyFill="1" applyBorder="1" applyAlignment="1">
      <alignment vertical="top" wrapText="1"/>
    </xf>
    <xf numFmtId="0" fontId="12" fillId="8" borderId="0" xfId="1" applyFont="1" applyFill="1" applyAlignment="1">
      <alignment wrapText="1"/>
    </xf>
    <xf numFmtId="0" fontId="0" fillId="8" borderId="0" xfId="0" applyFill="1" applyAlignment="1">
      <alignment wrapText="1"/>
    </xf>
    <xf numFmtId="0" fontId="6" fillId="8" borderId="1" xfId="0" applyFont="1" applyFill="1" applyBorder="1" applyAlignment="1">
      <alignment vertical="center" wrapText="1"/>
    </xf>
    <xf numFmtId="0" fontId="14" fillId="8" borderId="0" xfId="0" applyFont="1" applyFill="1" applyAlignment="1">
      <alignment vertical="top" wrapText="1"/>
    </xf>
    <xf numFmtId="0" fontId="12" fillId="7" borderId="4" xfId="1" applyFont="1" applyFill="1" applyBorder="1" applyAlignment="1">
      <alignment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5" xfId="1" applyFont="1" applyBorder="1" applyAlignment="1">
      <alignment horizontal="center" vertical="center" wrapText="1"/>
    </xf>
    <xf numFmtId="0" fontId="6" fillId="7" borderId="2" xfId="0" applyFont="1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12" fillId="7" borderId="4" xfId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4" fillId="0" borderId="0" xfId="0" applyFont="1" applyAlignment="1">
      <alignment vertical="top" wrapText="1"/>
    </xf>
    <xf numFmtId="0" fontId="13" fillId="0" borderId="1" xfId="0" applyFont="1" applyBorder="1" applyAlignment="1">
      <alignment vertical="center" wrapText="1"/>
    </xf>
    <xf numFmtId="0" fontId="13" fillId="0" borderId="2" xfId="0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6" fillId="5" borderId="2" xfId="0" applyFont="1" applyFill="1" applyBorder="1" applyAlignment="1">
      <alignment vertical="top" wrapText="1"/>
    </xf>
    <xf numFmtId="0" fontId="0" fillId="0" borderId="0" xfId="0" applyAlignment="1">
      <alignment horizontal="right"/>
    </xf>
    <xf numFmtId="0" fontId="2" fillId="7" borderId="0" xfId="0" applyFont="1" applyFill="1" applyAlignment="1">
      <alignment wrapText="1"/>
    </xf>
    <xf numFmtId="0" fontId="2" fillId="0" borderId="0" xfId="0" applyFont="1"/>
    <xf numFmtId="0" fontId="2" fillId="7" borderId="0" xfId="0" applyFont="1" applyFill="1"/>
    <xf numFmtId="0" fontId="2" fillId="7" borderId="0" xfId="0" applyFont="1" applyFill="1" applyAlignment="1">
      <alignment horizontal="right"/>
    </xf>
    <xf numFmtId="0" fontId="2" fillId="8" borderId="0" xfId="0" applyFont="1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14" fillId="5" borderId="0" xfId="0" applyFont="1" applyFill="1" applyAlignment="1">
      <alignment vertical="top" wrapText="1"/>
    </xf>
    <xf numFmtId="0" fontId="0" fillId="7" borderId="0" xfId="0" applyFill="1"/>
    <xf numFmtId="0" fontId="0" fillId="9" borderId="0" xfId="0" applyFill="1"/>
    <xf numFmtId="0" fontId="0" fillId="9" borderId="0" xfId="0" applyFill="1" applyAlignment="1">
      <alignment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0" borderId="0" xfId="0" applyFill="1"/>
    <xf numFmtId="0" fontId="0" fillId="11" borderId="0" xfId="0" applyFill="1"/>
    <xf numFmtId="0" fontId="0" fillId="11" borderId="0" xfId="0" applyFill="1" applyAlignment="1">
      <alignment wrapText="1"/>
    </xf>
    <xf numFmtId="0" fontId="0" fillId="12" borderId="0" xfId="0" applyFill="1"/>
    <xf numFmtId="0" fontId="2" fillId="12" borderId="0" xfId="0" applyFont="1" applyFill="1" applyAlignment="1">
      <alignment wrapText="1"/>
    </xf>
    <xf numFmtId="0" fontId="2" fillId="11" borderId="0" xfId="0" applyFont="1" applyFill="1" applyAlignment="1">
      <alignment wrapText="1"/>
    </xf>
    <xf numFmtId="0" fontId="2" fillId="10" borderId="0" xfId="0" applyFont="1" applyFill="1" applyAlignment="1">
      <alignment wrapText="1"/>
    </xf>
    <xf numFmtId="0" fontId="2" fillId="9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0" borderId="0" xfId="0" applyFont="1" applyFill="1" applyAlignment="1">
      <alignment vertical="top" wrapText="1"/>
    </xf>
    <xf numFmtId="0" fontId="0" fillId="0" borderId="0" xfId="0" applyAlignment="1">
      <alignment horizontal="right" vertical="top"/>
    </xf>
    <xf numFmtId="0" fontId="0" fillId="13" borderId="0" xfId="0" applyFill="1"/>
    <xf numFmtId="0" fontId="14" fillId="0" borderId="0" xfId="0" applyFont="1" applyAlignment="1">
      <alignment horizontal="right" wrapText="1"/>
    </xf>
    <xf numFmtId="49" fontId="2" fillId="8" borderId="0" xfId="0" applyNumberFormat="1" applyFont="1" applyFill="1"/>
    <xf numFmtId="49" fontId="2" fillId="13" borderId="0" xfId="0" applyNumberFormat="1" applyFont="1" applyFill="1"/>
    <xf numFmtId="0" fontId="2" fillId="13" borderId="0" xfId="0" applyFont="1" applyFill="1"/>
    <xf numFmtId="1" fontId="23" fillId="7" borderId="0" xfId="0" applyNumberFormat="1" applyFont="1" applyFill="1" applyAlignment="1">
      <alignment horizontal="center"/>
    </xf>
    <xf numFmtId="0" fontId="23" fillId="8" borderId="0" xfId="0" applyNumberFormat="1" applyFont="1" applyFill="1" applyAlignment="1">
      <alignment horizontal="center"/>
    </xf>
    <xf numFmtId="0" fontId="24" fillId="8" borderId="0" xfId="0" applyNumberFormat="1" applyFont="1" applyFill="1" applyAlignment="1">
      <alignment horizontal="center"/>
    </xf>
    <xf numFmtId="0" fontId="23" fillId="13" borderId="0" xfId="0" applyNumberFormat="1" applyFont="1" applyFill="1" applyAlignment="1">
      <alignment horizontal="center"/>
    </xf>
    <xf numFmtId="0" fontId="24" fillId="13" borderId="0" xfId="0" applyNumberFormat="1" applyFont="1" applyFill="1" applyAlignment="1">
      <alignment horizontal="center"/>
    </xf>
    <xf numFmtId="49" fontId="0" fillId="7" borderId="0" xfId="0" applyNumberFormat="1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0" fillId="13" borderId="0" xfId="0" applyNumberFormat="1" applyFill="1" applyAlignment="1">
      <alignment horizontal="center" vertical="center"/>
    </xf>
    <xf numFmtId="0" fontId="22" fillId="0" borderId="0" xfId="0" applyFont="1" applyAlignment="1">
      <alignment vertical="top" wrapText="1"/>
    </xf>
    <xf numFmtId="0" fontId="25" fillId="0" borderId="0" xfId="0" applyFont="1" applyAlignment="1">
      <alignment horizontal="right" vertical="top" wrapText="1"/>
    </xf>
    <xf numFmtId="0" fontId="0" fillId="0" borderId="0" xfId="0" applyFill="1" applyBorder="1"/>
    <xf numFmtId="0" fontId="26" fillId="7" borderId="0" xfId="0" applyFont="1" applyFill="1"/>
    <xf numFmtId="0" fontId="3" fillId="7" borderId="0" xfId="1" applyFill="1" applyAlignment="1">
      <alignment horizontal="right" vertical="top"/>
    </xf>
    <xf numFmtId="0" fontId="0" fillId="7" borderId="0" xfId="0" applyFill="1" applyBorder="1"/>
    <xf numFmtId="0" fontId="22" fillId="7" borderId="0" xfId="0" applyFont="1" applyFill="1" applyAlignment="1">
      <alignment horizontal="right" vertical="top" wrapText="1"/>
    </xf>
    <xf numFmtId="0" fontId="0" fillId="0" borderId="0" xfId="0" applyAlignment="1"/>
    <xf numFmtId="0" fontId="2" fillId="0" borderId="0" xfId="0" applyFont="1" applyFill="1" applyAlignment="1">
      <alignment wrapText="1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3" fillId="0" borderId="0" xfId="1" applyFill="1" applyAlignment="1">
      <alignment horizontal="right"/>
    </xf>
    <xf numFmtId="0" fontId="2" fillId="8" borderId="0" xfId="0" applyFont="1" applyFill="1"/>
    <xf numFmtId="0" fontId="28" fillId="7" borderId="0" xfId="0" applyFont="1" applyFill="1" applyAlignment="1">
      <alignment horizontal="right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3" fillId="0" borderId="0" xfId="0" applyFont="1" applyAlignment="1">
      <alignment vertical="top" wrapText="1"/>
    </xf>
    <xf numFmtId="0" fontId="19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9" fillId="8" borderId="0" xfId="1" applyFont="1" applyFill="1" applyAlignment="1">
      <alignment horizontal="right"/>
    </xf>
    <xf numFmtId="0" fontId="23" fillId="0" borderId="0" xfId="0" applyFont="1" applyFill="1" applyAlignment="1">
      <alignment horizontal="right"/>
    </xf>
    <xf numFmtId="0" fontId="23" fillId="7" borderId="0" xfId="0" applyFont="1" applyFill="1" applyAlignment="1">
      <alignment horizontal="right"/>
    </xf>
    <xf numFmtId="0" fontId="1" fillId="0" borderId="0" xfId="0" applyFont="1" applyFill="1"/>
    <xf numFmtId="0" fontId="23" fillId="8" borderId="0" xfId="0" applyFont="1" applyFill="1" applyAlignment="1">
      <alignment horizontal="right"/>
    </xf>
    <xf numFmtId="0" fontId="28" fillId="0" borderId="0" xfId="0" applyFont="1" applyAlignment="1">
      <alignment vertical="top" wrapText="1"/>
    </xf>
    <xf numFmtId="0" fontId="0" fillId="0" borderId="0" xfId="0" applyFill="1" applyAlignment="1"/>
    <xf numFmtId="0" fontId="0" fillId="7" borderId="0" xfId="0" applyFill="1" applyAlignment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30" fillId="0" borderId="0" xfId="0" applyFont="1" applyFill="1" applyBorder="1" applyAlignment="1"/>
    <xf numFmtId="0" fontId="2" fillId="7" borderId="0" xfId="0" applyFont="1" applyFill="1" applyAlignment="1">
      <alignment horizontal="left" vertical="center" wrapText="1"/>
    </xf>
    <xf numFmtId="0" fontId="33" fillId="11" borderId="0" xfId="0" applyFont="1" applyFill="1" applyAlignment="1">
      <alignment wrapText="1"/>
    </xf>
    <xf numFmtId="0" fontId="34" fillId="11" borderId="0" xfId="0" applyFont="1" applyFill="1"/>
    <xf numFmtId="0" fontId="33" fillId="11" borderId="0" xfId="0" applyFont="1" applyFill="1" applyAlignment="1">
      <alignment horizontal="right"/>
    </xf>
    <xf numFmtId="0" fontId="34" fillId="11" borderId="0" xfId="0" applyFont="1" applyFill="1" applyAlignment="1">
      <alignment horizontal="right" vertical="top"/>
    </xf>
    <xf numFmtId="0" fontId="0" fillId="7" borderId="1" xfId="0" applyFill="1" applyBorder="1" applyAlignment="1">
      <alignment horizontal="center" wrapText="1"/>
    </xf>
    <xf numFmtId="0" fontId="2" fillId="7" borderId="1" xfId="0" applyFont="1" applyFill="1" applyBorder="1" applyAlignment="1">
      <alignment horizontal="right" vertical="top"/>
    </xf>
    <xf numFmtId="0" fontId="0" fillId="7" borderId="1" xfId="0" applyFill="1" applyBorder="1" applyAlignment="1">
      <alignment horizontal="right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36" fillId="8" borderId="1" xfId="0" applyFont="1" applyFill="1" applyBorder="1" applyAlignment="1">
      <alignment horizontal="center"/>
    </xf>
    <xf numFmtId="0" fontId="36" fillId="7" borderId="1" xfId="0" applyFont="1" applyFill="1" applyBorder="1" applyAlignment="1">
      <alignment horizontal="center"/>
    </xf>
    <xf numFmtId="0" fontId="23" fillId="0" borderId="0" xfId="0" applyFont="1" applyBorder="1" applyAlignment="1">
      <alignment wrapText="1"/>
    </xf>
    <xf numFmtId="0" fontId="0" fillId="0" borderId="0" xfId="0" applyBorder="1"/>
    <xf numFmtId="0" fontId="32" fillId="0" borderId="0" xfId="0" applyFont="1" applyFill="1" applyBorder="1" applyAlignment="1">
      <alignment vertical="top" wrapText="1"/>
    </xf>
    <xf numFmtId="0" fontId="0" fillId="0" borderId="0" xfId="0" applyBorder="1" applyAlignment="1"/>
    <xf numFmtId="0" fontId="25" fillId="0" borderId="0" xfId="0" applyFont="1" applyBorder="1" applyAlignment="1"/>
    <xf numFmtId="0" fontId="23" fillId="0" borderId="0" xfId="0" applyFont="1" applyFill="1" applyBorder="1" applyAlignment="1">
      <alignment vertical="top" wrapText="1"/>
    </xf>
    <xf numFmtId="0" fontId="25" fillId="0" borderId="0" xfId="0" applyFont="1" applyBorder="1"/>
    <xf numFmtId="0" fontId="32" fillId="0" borderId="0" xfId="0" applyFont="1" applyBorder="1" applyAlignment="1">
      <alignment vertical="top" wrapText="1"/>
    </xf>
    <xf numFmtId="0" fontId="1" fillId="0" borderId="0" xfId="0" applyFont="1" applyBorder="1" applyAlignment="1"/>
    <xf numFmtId="0" fontId="0" fillId="8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2" fillId="8" borderId="1" xfId="0" applyFont="1" applyFill="1" applyBorder="1" applyAlignment="1"/>
    <xf numFmtId="0" fontId="23" fillId="0" borderId="0" xfId="0" applyFont="1" applyBorder="1" applyAlignment="1">
      <alignment vertical="top" wrapText="1"/>
    </xf>
    <xf numFmtId="0" fontId="0" fillId="0" borderId="0" xfId="0" applyBorder="1" applyAlignment="1">
      <alignment wrapText="1"/>
    </xf>
    <xf numFmtId="0" fontId="0" fillId="0" borderId="0" xfId="0" applyFill="1" applyBorder="1" applyAlignment="1">
      <alignment horizontal="right"/>
    </xf>
    <xf numFmtId="0" fontId="34" fillId="11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7" fillId="8" borderId="0" xfId="0" applyFont="1" applyFill="1" applyAlignment="1">
      <alignment horizontal="right" vertical="top" wrapText="1"/>
    </xf>
    <xf numFmtId="0" fontId="3" fillId="0" borderId="0" xfId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2" fillId="7" borderId="0" xfId="0" applyFont="1" applyFill="1" applyAlignment="1">
      <alignment vertical="top" wrapText="1"/>
    </xf>
    <xf numFmtId="0" fontId="3" fillId="0" borderId="0" xfId="1" applyAlignment="1">
      <alignment vertical="top" wrapText="1"/>
    </xf>
    <xf numFmtId="0" fontId="2" fillId="7" borderId="0" xfId="0" applyFont="1" applyFill="1" applyAlignment="1">
      <alignment horizontal="right" vertical="top" wrapText="1"/>
    </xf>
    <xf numFmtId="0" fontId="2" fillId="12" borderId="0" xfId="0" applyFont="1" applyFill="1" applyAlignment="1">
      <alignment vertical="top" wrapText="1"/>
    </xf>
    <xf numFmtId="0" fontId="0" fillId="12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14" fillId="0" borderId="0" xfId="0" applyFont="1" applyAlignment="1">
      <alignment horizontal="right" vertical="top" wrapText="1"/>
    </xf>
    <xf numFmtId="0" fontId="0" fillId="15" borderId="0" xfId="0" applyFill="1"/>
    <xf numFmtId="0" fontId="0" fillId="16" borderId="0" xfId="0" applyFill="1"/>
    <xf numFmtId="0" fontId="0" fillId="4" borderId="0" xfId="0" applyFill="1"/>
    <xf numFmtId="0" fontId="0" fillId="8" borderId="0" xfId="0" applyFill="1"/>
    <xf numFmtId="0" fontId="25" fillId="9" borderId="0" xfId="0" applyFont="1" applyFill="1"/>
    <xf numFmtId="0" fontId="34" fillId="11" borderId="0" xfId="0" applyFont="1" applyFill="1" applyAlignment="1">
      <alignment horizontal="right" vertical="top" wrapText="1"/>
    </xf>
    <xf numFmtId="0" fontId="23" fillId="0" borderId="0" xfId="0" applyFont="1" applyAlignment="1">
      <alignment horizontal="right" wrapText="1"/>
    </xf>
    <xf numFmtId="0" fontId="29" fillId="8" borderId="0" xfId="1" applyFont="1" applyFill="1" applyAlignment="1">
      <alignment horizontal="right" wrapText="1"/>
    </xf>
    <xf numFmtId="0" fontId="23" fillId="0" borderId="0" xfId="0" applyFont="1" applyFill="1" applyAlignment="1">
      <alignment horizontal="right" wrapText="1"/>
    </xf>
    <xf numFmtId="0" fontId="0" fillId="0" borderId="0" xfId="0" applyAlignment="1">
      <alignment horizontal="right" wrapText="1"/>
    </xf>
    <xf numFmtId="0" fontId="23" fillId="7" borderId="0" xfId="0" applyFont="1" applyFill="1" applyAlignment="1">
      <alignment horizontal="right" wrapText="1"/>
    </xf>
    <xf numFmtId="0" fontId="19" fillId="0" borderId="0" xfId="0" applyFont="1" applyAlignment="1">
      <alignment horizontal="right" wrapText="1"/>
    </xf>
    <xf numFmtId="0" fontId="33" fillId="11" borderId="0" xfId="0" applyFont="1" applyFill="1" applyAlignment="1">
      <alignment horizontal="left"/>
    </xf>
    <xf numFmtId="0" fontId="23" fillId="8" borderId="0" xfId="0" applyNumberFormat="1" applyFont="1" applyFill="1" applyBorder="1" applyAlignment="1">
      <alignment horizontal="center" wrapText="1"/>
    </xf>
    <xf numFmtId="49" fontId="0" fillId="8" borderId="0" xfId="0" applyNumberForma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wrapText="1"/>
    </xf>
    <xf numFmtId="0" fontId="0" fillId="11" borderId="0" xfId="0" applyFill="1" applyBorder="1" applyAlignment="1">
      <alignment wrapText="1"/>
    </xf>
    <xf numFmtId="0" fontId="0" fillId="15" borderId="0" xfId="0" applyFill="1" applyBorder="1" applyAlignment="1">
      <alignment wrapText="1"/>
    </xf>
    <xf numFmtId="0" fontId="0" fillId="7" borderId="0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16" borderId="0" xfId="0" applyFill="1" applyBorder="1" applyAlignment="1">
      <alignment wrapText="1"/>
    </xf>
    <xf numFmtId="0" fontId="0" fillId="8" borderId="0" xfId="0" applyFill="1" applyBorder="1" applyAlignment="1">
      <alignment wrapText="1"/>
    </xf>
    <xf numFmtId="0" fontId="23" fillId="8" borderId="13" xfId="0" applyNumberFormat="1" applyFont="1" applyFill="1" applyBorder="1" applyAlignment="1">
      <alignment horizontal="center" wrapText="1"/>
    </xf>
    <xf numFmtId="0" fontId="24" fillId="8" borderId="14" xfId="0" applyNumberFormat="1" applyFont="1" applyFill="1" applyBorder="1" applyAlignment="1">
      <alignment horizontal="center" wrapText="1"/>
    </xf>
    <xf numFmtId="49" fontId="0" fillId="8" borderId="13" xfId="0" applyNumberFormat="1" applyFill="1" applyBorder="1" applyAlignment="1">
      <alignment horizontal="center" vertical="center" wrapText="1"/>
    </xf>
    <xf numFmtId="49" fontId="0" fillId="8" borderId="14" xfId="0" applyNumberForma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wrapText="1"/>
    </xf>
    <xf numFmtId="0" fontId="2" fillId="8" borderId="14" xfId="0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15" borderId="13" xfId="0" applyFill="1" applyBorder="1" applyAlignment="1">
      <alignment wrapText="1"/>
    </xf>
    <xf numFmtId="0" fontId="0" fillId="0" borderId="14" xfId="0" applyFill="1" applyBorder="1" applyAlignment="1">
      <alignment wrapText="1"/>
    </xf>
    <xf numFmtId="0" fontId="0" fillId="7" borderId="13" xfId="0" applyFill="1" applyBorder="1" applyAlignment="1">
      <alignment wrapText="1"/>
    </xf>
    <xf numFmtId="0" fontId="0" fillId="7" borderId="14" xfId="0" applyFill="1" applyBorder="1" applyAlignment="1">
      <alignment wrapText="1"/>
    </xf>
    <xf numFmtId="0" fontId="0" fillId="11" borderId="13" xfId="0" applyFill="1" applyBorder="1" applyAlignment="1">
      <alignment wrapText="1"/>
    </xf>
    <xf numFmtId="0" fontId="0" fillId="16" borderId="13" xfId="0" applyFill="1" applyBorder="1" applyAlignment="1">
      <alignment wrapText="1"/>
    </xf>
    <xf numFmtId="0" fontId="0" fillId="16" borderId="14" xfId="0" applyFill="1" applyBorder="1" applyAlignment="1">
      <alignment wrapText="1"/>
    </xf>
    <xf numFmtId="0" fontId="0" fillId="11" borderId="14" xfId="0" applyFill="1" applyBorder="1" applyAlignment="1">
      <alignment wrapText="1"/>
    </xf>
    <xf numFmtId="0" fontId="0" fillId="8" borderId="14" xfId="0" applyFill="1" applyBorder="1" applyAlignment="1">
      <alignment wrapText="1"/>
    </xf>
    <xf numFmtId="0" fontId="0" fillId="9" borderId="14" xfId="0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0" fillId="15" borderId="14" xfId="0" applyFill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6" xfId="0" applyBorder="1" applyAlignment="1">
      <alignment wrapText="1"/>
    </xf>
    <xf numFmtId="1" fontId="23" fillId="7" borderId="13" xfId="0" applyNumberFormat="1" applyFont="1" applyFill="1" applyBorder="1" applyAlignment="1">
      <alignment horizontal="center" wrapText="1"/>
    </xf>
    <xf numFmtId="1" fontId="23" fillId="7" borderId="0" xfId="0" applyNumberFormat="1" applyFont="1" applyFill="1" applyBorder="1" applyAlignment="1">
      <alignment horizontal="center" wrapText="1"/>
    </xf>
    <xf numFmtId="1" fontId="23" fillId="7" borderId="14" xfId="0" applyNumberFormat="1" applyFont="1" applyFill="1" applyBorder="1" applyAlignment="1">
      <alignment horizontal="center" wrapText="1"/>
    </xf>
    <xf numFmtId="49" fontId="0" fillId="7" borderId="13" xfId="0" applyNumberFormat="1" applyFill="1" applyBorder="1" applyAlignment="1">
      <alignment horizontal="center" vertical="center" wrapText="1"/>
    </xf>
    <xf numFmtId="49" fontId="0" fillId="7" borderId="0" xfId="0" applyNumberFormat="1" applyFill="1" applyBorder="1" applyAlignment="1">
      <alignment horizontal="center" vertical="center" wrapText="1"/>
    </xf>
    <xf numFmtId="49" fontId="0" fillId="7" borderId="14" xfId="0" applyNumberFormat="1" applyFill="1" applyBorder="1" applyAlignment="1">
      <alignment horizontal="center" vertical="center" wrapText="1"/>
    </xf>
    <xf numFmtId="0" fontId="0" fillId="9" borderId="0" xfId="0" applyFill="1" applyBorder="1" applyAlignment="1">
      <alignment wrapText="1"/>
    </xf>
    <xf numFmtId="0" fontId="0" fillId="5" borderId="0" xfId="0" applyFill="1" applyBorder="1" applyAlignment="1">
      <alignment wrapText="1"/>
    </xf>
    <xf numFmtId="0" fontId="0" fillId="5" borderId="13" xfId="0" applyFill="1" applyBorder="1" applyAlignment="1">
      <alignment wrapText="1"/>
    </xf>
    <xf numFmtId="0" fontId="0" fillId="4" borderId="13" xfId="0" applyFill="1" applyBorder="1" applyAlignment="1">
      <alignment wrapText="1"/>
    </xf>
    <xf numFmtId="0" fontId="2" fillId="13" borderId="11" xfId="0" applyFont="1" applyFill="1" applyBorder="1" applyAlignment="1">
      <alignment wrapText="1"/>
    </xf>
    <xf numFmtId="0" fontId="0" fillId="13" borderId="11" xfId="0" applyFill="1" applyBorder="1" applyAlignment="1">
      <alignment wrapText="1"/>
    </xf>
    <xf numFmtId="0" fontId="0" fillId="13" borderId="12" xfId="0" applyFill="1" applyBorder="1" applyAlignment="1">
      <alignment wrapText="1"/>
    </xf>
    <xf numFmtId="0" fontId="24" fillId="13" borderId="0" xfId="0" applyNumberFormat="1" applyFont="1" applyFill="1" applyBorder="1" applyAlignment="1">
      <alignment horizontal="center" wrapText="1"/>
    </xf>
    <xf numFmtId="0" fontId="23" fillId="13" borderId="0" xfId="0" applyNumberFormat="1" applyFont="1" applyFill="1" applyBorder="1" applyAlignment="1">
      <alignment horizontal="center" wrapText="1"/>
    </xf>
    <xf numFmtId="0" fontId="23" fillId="13" borderId="14" xfId="0" applyNumberFormat="1" applyFont="1" applyFill="1" applyBorder="1" applyAlignment="1">
      <alignment horizontal="center" wrapText="1"/>
    </xf>
    <xf numFmtId="49" fontId="0" fillId="13" borderId="0" xfId="0" applyNumberFormat="1" applyFill="1" applyBorder="1" applyAlignment="1">
      <alignment horizontal="center" vertical="center" wrapText="1"/>
    </xf>
    <xf numFmtId="49" fontId="0" fillId="13" borderId="14" xfId="0" applyNumberFormat="1" applyFill="1" applyBorder="1" applyAlignment="1">
      <alignment horizontal="center" vertical="center" wrapText="1"/>
    </xf>
    <xf numFmtId="0" fontId="0" fillId="5" borderId="14" xfId="0" applyFill="1" applyBorder="1" applyAlignment="1">
      <alignment wrapText="1"/>
    </xf>
    <xf numFmtId="0" fontId="0" fillId="4" borderId="0" xfId="0" applyFill="1" applyBorder="1" applyAlignment="1">
      <alignment wrapText="1"/>
    </xf>
    <xf numFmtId="0" fontId="0" fillId="4" borderId="14" xfId="0" applyFill="1" applyBorder="1" applyAlignment="1">
      <alignment wrapText="1"/>
    </xf>
    <xf numFmtId="0" fontId="2" fillId="7" borderId="10" xfId="0" applyFont="1" applyFill="1" applyBorder="1" applyAlignment="1">
      <alignment horizontal="center" wrapText="1"/>
    </xf>
    <xf numFmtId="0" fontId="2" fillId="7" borderId="11" xfId="0" applyFont="1" applyFill="1" applyBorder="1" applyAlignment="1">
      <alignment horizontal="center" wrapText="1"/>
    </xf>
    <xf numFmtId="0" fontId="2" fillId="7" borderId="12" xfId="0" applyFont="1" applyFill="1" applyBorder="1" applyAlignment="1">
      <alignment horizontal="center" wrapText="1"/>
    </xf>
    <xf numFmtId="49" fontId="2" fillId="8" borderId="10" xfId="0" applyNumberFormat="1" applyFont="1" applyFill="1" applyBorder="1" applyAlignment="1">
      <alignment horizontal="center" wrapText="1"/>
    </xf>
    <xf numFmtId="49" fontId="2" fillId="8" borderId="11" xfId="0" applyNumberFormat="1" applyFont="1" applyFill="1" applyBorder="1" applyAlignment="1">
      <alignment horizontal="center" wrapText="1"/>
    </xf>
    <xf numFmtId="49" fontId="2" fillId="8" borderId="12" xfId="0" applyNumberFormat="1" applyFont="1" applyFill="1" applyBorder="1" applyAlignment="1">
      <alignment horizontal="center" wrapText="1"/>
    </xf>
    <xf numFmtId="0" fontId="1" fillId="0" borderId="13" xfId="0" applyFont="1" applyBorder="1" applyAlignment="1"/>
    <xf numFmtId="0" fontId="0" fillId="0" borderId="13" xfId="0" applyBorder="1"/>
    <xf numFmtId="0" fontId="0" fillId="0" borderId="14" xfId="0" applyBorder="1"/>
    <xf numFmtId="49" fontId="2" fillId="13" borderId="11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right" vertical="top"/>
    </xf>
    <xf numFmtId="0" fontId="2" fillId="7" borderId="1" xfId="0" applyFont="1" applyFill="1" applyBorder="1" applyAlignment="1"/>
    <xf numFmtId="0" fontId="2" fillId="7" borderId="2" xfId="0" applyFont="1" applyFill="1" applyBorder="1" applyAlignment="1"/>
    <xf numFmtId="0" fontId="2" fillId="7" borderId="6" xfId="0" applyFont="1" applyFill="1" applyBorder="1" applyAlignment="1"/>
    <xf numFmtId="0" fontId="2" fillId="7" borderId="7" xfId="0" applyFont="1" applyFill="1" applyBorder="1" applyAlignment="1"/>
    <xf numFmtId="0" fontId="23" fillId="0" borderId="20" xfId="0" applyFont="1" applyBorder="1" applyAlignment="1">
      <alignment wrapText="1"/>
    </xf>
    <xf numFmtId="0" fontId="25" fillId="0" borderId="20" xfId="0" applyFont="1" applyBorder="1" applyAlignment="1"/>
    <xf numFmtId="0" fontId="23" fillId="0" borderId="23" xfId="0" applyFont="1" applyBorder="1" applyAlignment="1">
      <alignment wrapText="1"/>
    </xf>
    <xf numFmtId="0" fontId="23" fillId="0" borderId="26" xfId="0" applyFont="1" applyBorder="1" applyAlignment="1">
      <alignment wrapText="1"/>
    </xf>
    <xf numFmtId="0" fontId="23" fillId="0" borderId="22" xfId="0" applyFont="1" applyFill="1" applyBorder="1" applyAlignment="1">
      <alignment vertical="top" wrapText="1"/>
    </xf>
    <xf numFmtId="0" fontId="23" fillId="0" borderId="28" xfId="0" applyFont="1" applyFill="1" applyBorder="1" applyAlignment="1">
      <alignment vertical="top" wrapText="1"/>
    </xf>
    <xf numFmtId="0" fontId="23" fillId="0" borderId="25" xfId="0" applyFont="1" applyFill="1" applyBorder="1" applyAlignment="1">
      <alignment vertical="top" wrapText="1"/>
    </xf>
    <xf numFmtId="0" fontId="25" fillId="0" borderId="23" xfId="0" applyFont="1" applyBorder="1"/>
    <xf numFmtId="0" fontId="25" fillId="0" borderId="26" xfId="0" applyFont="1" applyBorder="1"/>
    <xf numFmtId="0" fontId="0" fillId="0" borderId="20" xfId="0" applyFont="1" applyBorder="1"/>
    <xf numFmtId="0" fontId="0" fillId="0" borderId="20" xfId="0" applyFont="1" applyBorder="1" applyAlignment="1"/>
    <xf numFmtId="0" fontId="0" fillId="0" borderId="21" xfId="0" applyFont="1" applyBorder="1"/>
    <xf numFmtId="0" fontId="0" fillId="0" borderId="23" xfId="0" applyFont="1" applyBorder="1"/>
    <xf numFmtId="0" fontId="0" fillId="0" borderId="24" xfId="0" applyFont="1" applyBorder="1"/>
    <xf numFmtId="0" fontId="0" fillId="0" borderId="0" xfId="0" applyFont="1" applyFill="1" applyBorder="1" applyAlignment="1"/>
    <xf numFmtId="0" fontId="0" fillId="0" borderId="0" xfId="0" applyFont="1" applyBorder="1" applyAlignment="1"/>
    <xf numFmtId="0" fontId="0" fillId="0" borderId="0" xfId="0" applyFont="1" applyBorder="1"/>
    <xf numFmtId="0" fontId="0" fillId="0" borderId="0" xfId="0" applyFont="1" applyFill="1" applyBorder="1"/>
    <xf numFmtId="0" fontId="0" fillId="0" borderId="29" xfId="0" applyFont="1" applyBorder="1"/>
    <xf numFmtId="0" fontId="0" fillId="0" borderId="23" xfId="0" applyFont="1" applyBorder="1" applyAlignment="1"/>
    <xf numFmtId="0" fontId="0" fillId="0" borderId="26" xfId="0" applyFont="1" applyBorder="1" applyAlignment="1"/>
    <xf numFmtId="0" fontId="0" fillId="0" borderId="26" xfId="0" applyFont="1" applyBorder="1"/>
    <xf numFmtId="0" fontId="0" fillId="0" borderId="26" xfId="0" applyFont="1" applyFill="1" applyBorder="1" applyAlignment="1"/>
    <xf numFmtId="0" fontId="0" fillId="0" borderId="27" xfId="0" applyFont="1" applyBorder="1"/>
    <xf numFmtId="0" fontId="0" fillId="0" borderId="24" xfId="0" applyFont="1" applyBorder="1" applyAlignment="1"/>
    <xf numFmtId="0" fontId="23" fillId="0" borderId="20" xfId="0" applyFont="1" applyFill="1" applyBorder="1" applyAlignment="1">
      <alignment wrapText="1"/>
    </xf>
    <xf numFmtId="0" fontId="23" fillId="0" borderId="20" xfId="0" applyFont="1" applyFill="1" applyBorder="1" applyAlignment="1">
      <alignment horizontal="center" vertical="center"/>
    </xf>
    <xf numFmtId="0" fontId="0" fillId="0" borderId="20" xfId="0" applyFont="1" applyFill="1" applyBorder="1"/>
    <xf numFmtId="0" fontId="3" fillId="14" borderId="0" xfId="1" applyFill="1" applyAlignment="1">
      <alignment horizontal="right"/>
    </xf>
    <xf numFmtId="0" fontId="23" fillId="14" borderId="0" xfId="0" applyFont="1" applyFill="1" applyAlignment="1">
      <alignment vertical="top" wrapText="1"/>
    </xf>
    <xf numFmtId="0" fontId="0" fillId="14" borderId="0" xfId="0" applyFill="1" applyAlignment="1"/>
    <xf numFmtId="0" fontId="0" fillId="14" borderId="0" xfId="0" applyFill="1"/>
    <xf numFmtId="0" fontId="2" fillId="0" borderId="0" xfId="0" applyFont="1" applyFill="1" applyAlignment="1">
      <alignment vertical="top"/>
    </xf>
    <xf numFmtId="0" fontId="23" fillId="17" borderId="28" xfId="0" applyFont="1" applyFill="1" applyBorder="1" applyAlignment="1">
      <alignment vertical="top" wrapText="1"/>
    </xf>
    <xf numFmtId="0" fontId="23" fillId="5" borderId="0" xfId="0" applyFont="1" applyFill="1" applyAlignment="1">
      <alignment vertical="top" wrapText="1"/>
    </xf>
    <xf numFmtId="0" fontId="3" fillId="5" borderId="0" xfId="1" applyFill="1" applyAlignment="1">
      <alignment horizontal="right"/>
    </xf>
    <xf numFmtId="0" fontId="0" fillId="5" borderId="0" xfId="0" applyFill="1" applyAlignment="1"/>
    <xf numFmtId="0" fontId="2" fillId="15" borderId="8" xfId="0" applyFont="1" applyFill="1" applyBorder="1" applyAlignment="1">
      <alignment horizontal="right" vertical="top" wrapText="1"/>
    </xf>
    <xf numFmtId="0" fontId="0" fillId="15" borderId="8" xfId="0" applyFill="1" applyBorder="1" applyAlignment="1">
      <alignment horizontal="right"/>
    </xf>
    <xf numFmtId="0" fontId="0" fillId="15" borderId="8" xfId="0" applyFill="1" applyBorder="1" applyAlignment="1"/>
    <xf numFmtId="0" fontId="0" fillId="15" borderId="8" xfId="0" applyFill="1" applyBorder="1"/>
    <xf numFmtId="0" fontId="38" fillId="15" borderId="8" xfId="0" applyFont="1" applyFill="1" applyBorder="1" applyAlignment="1"/>
    <xf numFmtId="0" fontId="2" fillId="15" borderId="8" xfId="0" applyFont="1" applyFill="1" applyBorder="1" applyAlignment="1"/>
    <xf numFmtId="0" fontId="28" fillId="15" borderId="8" xfId="0" applyFont="1" applyFill="1" applyBorder="1" applyAlignment="1"/>
    <xf numFmtId="0" fontId="39" fillId="15" borderId="8" xfId="0" applyFont="1" applyFill="1" applyBorder="1" applyAlignment="1"/>
    <xf numFmtId="0" fontId="2" fillId="7" borderId="19" xfId="0" applyFont="1" applyFill="1" applyBorder="1" applyAlignment="1">
      <alignment wrapText="1"/>
    </xf>
    <xf numFmtId="0" fontId="23" fillId="7" borderId="20" xfId="0" applyFont="1" applyFill="1" applyBorder="1" applyAlignment="1">
      <alignment wrapText="1"/>
    </xf>
    <xf numFmtId="0" fontId="23" fillId="7" borderId="20" xfId="0" applyFont="1" applyFill="1" applyBorder="1" applyAlignment="1">
      <alignment horizontal="center"/>
    </xf>
    <xf numFmtId="0" fontId="0" fillId="7" borderId="20" xfId="0" applyFont="1" applyFill="1" applyBorder="1"/>
    <xf numFmtId="0" fontId="0" fillId="7" borderId="21" xfId="0" applyFont="1" applyFill="1" applyBorder="1"/>
    <xf numFmtId="4" fontId="23" fillId="0" borderId="20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/>
    </xf>
    <xf numFmtId="0" fontId="23" fillId="0" borderId="23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/>
    </xf>
    <xf numFmtId="0" fontId="23" fillId="17" borderId="0" xfId="0" applyFont="1" applyFill="1" applyBorder="1" applyAlignment="1">
      <alignment wrapText="1"/>
    </xf>
    <xf numFmtId="0" fontId="23" fillId="17" borderId="0" xfId="0" applyFont="1" applyFill="1" applyBorder="1" applyAlignment="1">
      <alignment horizontal="center" vertical="center"/>
    </xf>
    <xf numFmtId="0" fontId="0" fillId="17" borderId="0" xfId="0" applyFont="1" applyFill="1" applyBorder="1" applyAlignment="1"/>
    <xf numFmtId="0" fontId="0" fillId="17" borderId="0" xfId="0" applyFont="1" applyFill="1" applyBorder="1"/>
    <xf numFmtId="0" fontId="0" fillId="17" borderId="29" xfId="0" applyFont="1" applyFill="1" applyBorder="1"/>
    <xf numFmtId="0" fontId="2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left" wrapText="1"/>
    </xf>
    <xf numFmtId="0" fontId="2" fillId="13" borderId="0" xfId="0" applyFont="1" applyFill="1" applyAlignment="1">
      <alignment horizontal="center" vertical="center"/>
    </xf>
    <xf numFmtId="0" fontId="40" fillId="13" borderId="0" xfId="0" applyFont="1" applyFill="1" applyAlignment="1">
      <alignment horizontal="left" wrapText="1"/>
    </xf>
    <xf numFmtId="0" fontId="0" fillId="13" borderId="0" xfId="0" applyFont="1" applyFill="1" applyAlignment="1"/>
    <xf numFmtId="0" fontId="0" fillId="13" borderId="0" xfId="0" applyFont="1" applyFill="1"/>
    <xf numFmtId="0" fontId="3" fillId="0" borderId="0" xfId="1" applyBorder="1" applyAlignment="1">
      <alignment horizontal="right" vertical="center"/>
    </xf>
    <xf numFmtId="0" fontId="3" fillId="0" borderId="0" xfId="1" applyFill="1" applyBorder="1" applyAlignment="1">
      <alignment horizontal="right" vertical="top"/>
    </xf>
    <xf numFmtId="0" fontId="0" fillId="0" borderId="0" xfId="0" applyAlignment="1">
      <alignment horizontal="right" vertical="center"/>
    </xf>
    <xf numFmtId="0" fontId="23" fillId="0" borderId="0" xfId="0" applyFont="1" applyFill="1" applyBorder="1" applyAlignment="1">
      <alignment horizontal="right" vertical="top"/>
    </xf>
    <xf numFmtId="0" fontId="2" fillId="0" borderId="0" xfId="0" applyFont="1" applyFill="1" applyBorder="1" applyAlignment="1">
      <alignment vertical="top" wrapText="1"/>
    </xf>
    <xf numFmtId="0" fontId="23" fillId="14" borderId="19" xfId="0" applyFont="1" applyFill="1" applyBorder="1" applyAlignment="1">
      <alignment vertical="top" wrapText="1"/>
    </xf>
    <xf numFmtId="0" fontId="23" fillId="17" borderId="20" xfId="0" applyFont="1" applyFill="1" applyBorder="1" applyAlignment="1">
      <alignment wrapText="1"/>
    </xf>
    <xf numFmtId="0" fontId="23" fillId="17" borderId="19" xfId="0" applyFont="1" applyFill="1" applyBorder="1" applyAlignment="1">
      <alignment vertical="top" wrapText="1"/>
    </xf>
    <xf numFmtId="0" fontId="23" fillId="5" borderId="22" xfId="0" applyFont="1" applyFill="1" applyBorder="1" applyAlignment="1">
      <alignment wrapText="1"/>
    </xf>
    <xf numFmtId="0" fontId="32" fillId="5" borderId="28" xfId="0" applyFont="1" applyFill="1" applyBorder="1" applyAlignment="1">
      <alignment vertical="top" wrapText="1"/>
    </xf>
    <xf numFmtId="0" fontId="32" fillId="5" borderId="19" xfId="0" applyFont="1" applyFill="1" applyBorder="1" applyAlignment="1">
      <alignment vertical="top" wrapText="1"/>
    </xf>
    <xf numFmtId="0" fontId="41" fillId="0" borderId="0" xfId="3"/>
    <xf numFmtId="0" fontId="41" fillId="0" borderId="0" xfId="3" applyAlignment="1">
      <alignment vertical="center"/>
    </xf>
    <xf numFmtId="0" fontId="41" fillId="0" borderId="0" xfId="3" applyAlignment="1">
      <alignment vertical="center" wrapText="1"/>
    </xf>
    <xf numFmtId="0" fontId="42" fillId="0" borderId="0" xfId="3" applyFont="1" applyAlignment="1">
      <alignment vertical="center" wrapText="1"/>
    </xf>
    <xf numFmtId="0" fontId="43" fillId="0" borderId="0" xfId="3" applyFont="1" applyAlignment="1">
      <alignment vertical="center" wrapText="1"/>
    </xf>
    <xf numFmtId="0" fontId="41" fillId="0" borderId="0" xfId="3" applyAlignment="1">
      <alignment horizontal="center" vertical="center"/>
    </xf>
    <xf numFmtId="0" fontId="41" fillId="0" borderId="30" xfId="3" applyBorder="1" applyAlignment="1">
      <alignment vertical="center"/>
    </xf>
    <xf numFmtId="0" fontId="42" fillId="0" borderId="30" xfId="3" applyFont="1" applyBorder="1" applyAlignment="1">
      <alignment vertical="center" wrapText="1"/>
    </xf>
    <xf numFmtId="0" fontId="43" fillId="0" borderId="30" xfId="3" applyFont="1" applyBorder="1" applyAlignment="1">
      <alignment vertical="center" wrapText="1"/>
    </xf>
    <xf numFmtId="0" fontId="40" fillId="18" borderId="30" xfId="3" applyFont="1" applyFill="1" applyBorder="1" applyAlignment="1">
      <alignment vertical="center"/>
    </xf>
    <xf numFmtId="0" fontId="44" fillId="0" borderId="0" xfId="3" applyFont="1" applyAlignment="1">
      <alignment vertical="center"/>
    </xf>
    <xf numFmtId="9" fontId="0" fillId="0" borderId="0" xfId="4" applyFont="1" applyAlignment="1">
      <alignment vertical="center"/>
    </xf>
    <xf numFmtId="0" fontId="45" fillId="0" borderId="0" xfId="3" applyFont="1" applyAlignment="1">
      <alignment horizontal="right" vertical="center" wrapText="1"/>
    </xf>
    <xf numFmtId="0" fontId="42" fillId="0" borderId="0" xfId="3" applyFont="1" applyAlignment="1">
      <alignment horizontal="right" vertical="center" wrapText="1"/>
    </xf>
    <xf numFmtId="0" fontId="47" fillId="0" borderId="0" xfId="5" applyFont="1" applyFill="1" applyAlignment="1">
      <alignment vertical="center"/>
    </xf>
    <xf numFmtId="0" fontId="46" fillId="0" borderId="0" xfId="5" applyFill="1" applyAlignment="1">
      <alignment vertical="center" wrapText="1"/>
    </xf>
    <xf numFmtId="0" fontId="48" fillId="19" borderId="0" xfId="3" applyFont="1" applyFill="1"/>
    <xf numFmtId="0" fontId="48" fillId="19" borderId="0" xfId="3" applyFont="1" applyFill="1" applyAlignment="1">
      <alignment vertical="center"/>
    </xf>
    <xf numFmtId="0" fontId="48" fillId="19" borderId="0" xfId="3" applyFont="1" applyFill="1" applyAlignment="1">
      <alignment vertical="center" wrapText="1"/>
    </xf>
    <xf numFmtId="0" fontId="49" fillId="19" borderId="0" xfId="3" applyFont="1" applyFill="1" applyAlignment="1">
      <alignment vertical="center" wrapText="1"/>
    </xf>
    <xf numFmtId="0" fontId="48" fillId="19" borderId="0" xfId="5" applyFont="1" applyFill="1" applyAlignment="1">
      <alignment vertical="center" wrapText="1"/>
    </xf>
    <xf numFmtId="0" fontId="50" fillId="19" borderId="0" xfId="5" applyFont="1" applyFill="1" applyAlignment="1">
      <alignment vertical="center"/>
    </xf>
    <xf numFmtId="0" fontId="50" fillId="19" borderId="0" xfId="5" applyFont="1" applyFill="1" applyAlignment="1">
      <alignment vertical="center" wrapText="1"/>
    </xf>
    <xf numFmtId="0" fontId="48" fillId="19" borderId="0" xfId="3" applyFont="1" applyFill="1" applyAlignment="1">
      <alignment horizontal="center" vertical="center"/>
    </xf>
    <xf numFmtId="0" fontId="51" fillId="0" borderId="0" xfId="3" applyFont="1" applyAlignment="1">
      <alignment vertical="center" wrapText="1"/>
    </xf>
    <xf numFmtId="0" fontId="52" fillId="0" borderId="0" xfId="5" applyFont="1" applyFill="1" applyAlignment="1">
      <alignment vertical="center"/>
    </xf>
    <xf numFmtId="0" fontId="53" fillId="0" borderId="0" xfId="5" applyFont="1" applyFill="1" applyAlignment="1">
      <alignment vertical="center" wrapText="1"/>
    </xf>
    <xf numFmtId="0" fontId="54" fillId="0" borderId="0" xfId="5" applyFont="1" applyFill="1" applyAlignment="1">
      <alignment vertical="center" wrapText="1"/>
    </xf>
    <xf numFmtId="0" fontId="2" fillId="5" borderId="31" xfId="3" applyFont="1" applyFill="1" applyBorder="1" applyAlignment="1">
      <alignment horizontal="center" vertical="center" wrapText="1"/>
    </xf>
    <xf numFmtId="0" fontId="2" fillId="5" borderId="31" xfId="3" applyFont="1" applyFill="1" applyBorder="1" applyAlignment="1">
      <alignment vertical="center"/>
    </xf>
    <xf numFmtId="0" fontId="2" fillId="5" borderId="31" xfId="3" applyFont="1" applyFill="1" applyBorder="1" applyAlignment="1">
      <alignment vertical="center" wrapText="1"/>
    </xf>
    <xf numFmtId="0" fontId="51" fillId="5" borderId="31" xfId="3" applyFont="1" applyFill="1" applyBorder="1" applyAlignment="1">
      <alignment vertical="center"/>
    </xf>
    <xf numFmtId="0" fontId="55" fillId="5" borderId="31" xfId="3" applyFont="1" applyFill="1" applyBorder="1" applyAlignment="1">
      <alignment vertical="center" wrapText="1"/>
    </xf>
    <xf numFmtId="0" fontId="56" fillId="5" borderId="31" xfId="3" applyFont="1" applyFill="1" applyBorder="1" applyAlignment="1">
      <alignment vertical="center" wrapText="1"/>
    </xf>
    <xf numFmtId="0" fontId="57" fillId="5" borderId="31" xfId="3" applyFont="1" applyFill="1" applyBorder="1" applyAlignment="1">
      <alignment vertical="center"/>
    </xf>
    <xf numFmtId="0" fontId="57" fillId="5" borderId="31" xfId="3" applyFont="1" applyFill="1" applyBorder="1" applyAlignment="1">
      <alignment horizontal="center" vertical="center"/>
    </xf>
    <xf numFmtId="0" fontId="41" fillId="20" borderId="0" xfId="3" applyFill="1"/>
    <xf numFmtId="0" fontId="41" fillId="20" borderId="0" xfId="3" applyFill="1" applyAlignment="1">
      <alignment vertical="center"/>
    </xf>
    <xf numFmtId="0" fontId="41" fillId="20" borderId="0" xfId="3" applyFill="1" applyAlignment="1">
      <alignment vertical="center" wrapText="1"/>
    </xf>
    <xf numFmtId="0" fontId="58" fillId="20" borderId="0" xfId="3" applyFont="1" applyFill="1" applyAlignment="1">
      <alignment vertical="center" wrapText="1"/>
    </xf>
    <xf numFmtId="0" fontId="59" fillId="20" borderId="0" xfId="3" applyFont="1" applyFill="1" applyAlignment="1">
      <alignment vertical="center" wrapText="1"/>
    </xf>
    <xf numFmtId="0" fontId="47" fillId="20" borderId="0" xfId="5" applyFont="1" applyFill="1" applyAlignment="1">
      <alignment vertical="center"/>
    </xf>
    <xf numFmtId="0" fontId="46" fillId="20" borderId="0" xfId="5" applyFill="1" applyAlignment="1">
      <alignment vertical="center" wrapText="1"/>
    </xf>
    <xf numFmtId="0" fontId="46" fillId="0" borderId="0" xfId="5" applyAlignment="1">
      <alignment wrapText="1"/>
    </xf>
    <xf numFmtId="0" fontId="44" fillId="20" borderId="0" xfId="3" applyFont="1" applyFill="1" applyAlignment="1">
      <alignment vertical="center"/>
    </xf>
    <xf numFmtId="0" fontId="41" fillId="20" borderId="0" xfId="3" applyFill="1" applyAlignment="1">
      <alignment horizontal="center" vertical="center"/>
    </xf>
    <xf numFmtId="0" fontId="58" fillId="0" borderId="0" xfId="3" applyFont="1" applyAlignment="1">
      <alignment vertical="center" wrapText="1"/>
    </xf>
    <xf numFmtId="0" fontId="59" fillId="0" borderId="0" xfId="3" applyFont="1" applyAlignment="1">
      <alignment vertical="center" wrapText="1"/>
    </xf>
    <xf numFmtId="0" fontId="46" fillId="0" borderId="0" xfId="5" applyFill="1" applyAlignment="1">
      <alignment vertical="center"/>
    </xf>
    <xf numFmtId="0" fontId="44" fillId="0" borderId="0" xfId="3" applyFont="1" applyAlignment="1">
      <alignment horizontal="center" vertical="center"/>
    </xf>
    <xf numFmtId="0" fontId="46" fillId="0" borderId="0" xfId="5" applyFill="1" applyAlignment="1"/>
    <xf numFmtId="0" fontId="31" fillId="0" borderId="0" xfId="3" applyFont="1" applyAlignment="1">
      <alignment vertical="center" wrapText="1"/>
    </xf>
    <xf numFmtId="0" fontId="46" fillId="0" borderId="0" xfId="5" applyAlignment="1">
      <alignment vertical="center" wrapText="1"/>
    </xf>
    <xf numFmtId="0" fontId="61" fillId="5" borderId="31" xfId="3" applyFont="1" applyFill="1" applyBorder="1" applyAlignment="1">
      <alignment vertical="center"/>
    </xf>
    <xf numFmtId="0" fontId="46" fillId="0" borderId="0" xfId="5" applyFill="1" applyAlignment="1">
      <alignment wrapText="1"/>
    </xf>
    <xf numFmtId="0" fontId="31" fillId="0" borderId="0" xfId="3" applyFont="1" applyAlignment="1">
      <alignment horizontal="center" vertical="center"/>
    </xf>
    <xf numFmtId="0" fontId="46" fillId="21" borderId="0" xfId="5" applyFill="1" applyAlignment="1">
      <alignment wrapText="1"/>
    </xf>
    <xf numFmtId="0" fontId="54" fillId="21" borderId="0" xfId="5" applyFont="1" applyFill="1" applyAlignment="1">
      <alignment vertical="center" wrapText="1"/>
    </xf>
    <xf numFmtId="0" fontId="59" fillId="20" borderId="0" xfId="5" applyFont="1" applyFill="1" applyAlignment="1">
      <alignment vertical="center" wrapText="1"/>
    </xf>
    <xf numFmtId="0" fontId="54" fillId="20" borderId="0" xfId="5" applyFont="1" applyFill="1" applyAlignment="1">
      <alignment vertical="center" wrapText="1"/>
    </xf>
    <xf numFmtId="0" fontId="31" fillId="20" borderId="0" xfId="3" applyFont="1" applyFill="1" applyAlignment="1">
      <alignment horizontal="center" vertical="center"/>
    </xf>
    <xf numFmtId="0" fontId="59" fillId="0" borderId="0" xfId="5" applyFont="1" applyFill="1" applyAlignment="1">
      <alignment vertical="center" wrapText="1"/>
    </xf>
    <xf numFmtId="0" fontId="41" fillId="22" borderId="0" xfId="3" applyFill="1"/>
    <xf numFmtId="0" fontId="41" fillId="22" borderId="0" xfId="3" applyFill="1" applyAlignment="1">
      <alignment vertical="center"/>
    </xf>
    <xf numFmtId="0" fontId="41" fillId="22" borderId="0" xfId="3" applyFill="1" applyAlignment="1">
      <alignment vertical="center" wrapText="1"/>
    </xf>
    <xf numFmtId="0" fontId="59" fillId="22" borderId="0" xfId="5" applyFont="1" applyFill="1" applyAlignment="1">
      <alignment vertical="center" wrapText="1"/>
    </xf>
    <xf numFmtId="0" fontId="47" fillId="22" borderId="0" xfId="5" applyFont="1" applyFill="1" applyAlignment="1">
      <alignment vertical="center"/>
    </xf>
    <xf numFmtId="0" fontId="54" fillId="22" borderId="0" xfId="5" applyFont="1" applyFill="1" applyAlignment="1">
      <alignment vertical="center" wrapText="1"/>
    </xf>
    <xf numFmtId="0" fontId="31" fillId="22" borderId="0" xfId="3" applyFont="1" applyFill="1" applyAlignment="1">
      <alignment horizontal="center" vertical="center"/>
    </xf>
    <xf numFmtId="0" fontId="41" fillId="22" borderId="0" xfId="3" applyFill="1" applyAlignment="1">
      <alignment horizontal="center" vertical="center"/>
    </xf>
    <xf numFmtId="0" fontId="48" fillId="0" borderId="0" xfId="3" applyFont="1"/>
    <xf numFmtId="0" fontId="48" fillId="0" borderId="0" xfId="3" applyFont="1" applyAlignment="1">
      <alignment vertical="center"/>
    </xf>
    <xf numFmtId="0" fontId="48" fillId="0" borderId="0" xfId="3" applyFont="1" applyAlignment="1">
      <alignment vertical="center" wrapText="1"/>
    </xf>
    <xf numFmtId="0" fontId="50" fillId="0" borderId="0" xfId="5" applyFont="1" applyFill="1" applyAlignment="1">
      <alignment vertical="center"/>
    </xf>
    <xf numFmtId="0" fontId="62" fillId="0" borderId="0" xfId="5" applyFont="1" applyFill="1" applyAlignment="1">
      <alignment vertical="center" wrapText="1"/>
    </xf>
    <xf numFmtId="0" fontId="48" fillId="0" borderId="0" xfId="3" applyFont="1" applyAlignment="1">
      <alignment horizontal="center" vertical="center"/>
    </xf>
    <xf numFmtId="0" fontId="63" fillId="0" borderId="30" xfId="3" applyFont="1" applyBorder="1" applyAlignment="1">
      <alignment horizontal="center" vertical="center" wrapText="1"/>
    </xf>
    <xf numFmtId="0" fontId="57" fillId="0" borderId="30" xfId="3" applyFont="1" applyBorder="1" applyAlignment="1">
      <alignment horizontal="center" vertical="center"/>
    </xf>
    <xf numFmtId="0" fontId="57" fillId="0" borderId="30" xfId="3" applyFont="1" applyBorder="1" applyAlignment="1">
      <alignment horizontal="center" vertical="center" wrapText="1"/>
    </xf>
    <xf numFmtId="0" fontId="63" fillId="0" borderId="30" xfId="3" applyFont="1" applyBorder="1" applyAlignment="1">
      <alignment vertical="center" wrapText="1"/>
    </xf>
    <xf numFmtId="0" fontId="64" fillId="0" borderId="30" xfId="3" applyFont="1" applyBorder="1" applyAlignment="1">
      <alignment vertical="center" wrapText="1"/>
    </xf>
    <xf numFmtId="0" fontId="65" fillId="0" borderId="30" xfId="3" applyFont="1" applyBorder="1" applyAlignment="1">
      <alignment vertical="center" wrapText="1"/>
    </xf>
    <xf numFmtId="0" fontId="41" fillId="0" borderId="0" xfId="3" applyAlignment="1">
      <alignment horizontal="center" vertical="center" wrapText="1"/>
    </xf>
    <xf numFmtId="0" fontId="40" fillId="14" borderId="0" xfId="3" applyFont="1" applyFill="1" applyAlignment="1">
      <alignment vertical="center"/>
    </xf>
    <xf numFmtId="0" fontId="41" fillId="14" borderId="0" xfId="3" applyFill="1" applyAlignment="1">
      <alignment horizontal="center" vertical="center"/>
    </xf>
    <xf numFmtId="0" fontId="41" fillId="14" borderId="0" xfId="3" applyFill="1" applyAlignment="1">
      <alignment horizontal="center" vertical="center" wrapText="1"/>
    </xf>
    <xf numFmtId="0" fontId="41" fillId="14" borderId="0" xfId="3" applyFill="1" applyAlignment="1">
      <alignment vertical="center" wrapText="1"/>
    </xf>
    <xf numFmtId="0" fontId="41" fillId="14" borderId="0" xfId="3" applyFill="1" applyAlignment="1">
      <alignment vertical="center"/>
    </xf>
    <xf numFmtId="0" fontId="43" fillId="14" borderId="0" xfId="3" applyFont="1" applyFill="1" applyAlignment="1">
      <alignment vertical="center"/>
    </xf>
    <xf numFmtId="0" fontId="43" fillId="14" borderId="0" xfId="3" applyFont="1" applyFill="1" applyAlignment="1">
      <alignment vertical="center" wrapText="1"/>
    </xf>
    <xf numFmtId="0" fontId="4" fillId="14" borderId="0" xfId="3" applyFont="1" applyFill="1" applyAlignment="1">
      <alignment vertical="center"/>
    </xf>
    <xf numFmtId="0" fontId="0" fillId="23" borderId="0" xfId="0" applyFill="1" applyAlignment="1">
      <alignment wrapText="1"/>
    </xf>
    <xf numFmtId="0" fontId="44" fillId="0" borderId="0" xfId="3" applyFont="1" applyAlignment="1">
      <alignment horizontal="center" vertical="center" wrapText="1"/>
    </xf>
    <xf numFmtId="0" fontId="41" fillId="0" borderId="0" xfId="3" applyAlignment="1">
      <alignment wrapText="1"/>
    </xf>
    <xf numFmtId="0" fontId="42" fillId="14" borderId="0" xfId="3" applyFont="1" applyFill="1" applyAlignment="1">
      <alignment vertical="center"/>
    </xf>
    <xf numFmtId="0" fontId="64" fillId="0" borderId="30" xfId="3" applyFont="1" applyBorder="1" applyAlignment="1">
      <alignment vertical="center"/>
    </xf>
    <xf numFmtId="0" fontId="42" fillId="0" borderId="0" xfId="3" applyFont="1" applyAlignment="1">
      <alignment vertical="center"/>
    </xf>
    <xf numFmtId="0" fontId="3" fillId="0" borderId="0" xfId="1" applyAlignment="1">
      <alignment vertical="center"/>
    </xf>
    <xf numFmtId="0" fontId="3" fillId="23" borderId="0" xfId="1" applyFill="1" applyAlignment="1">
      <alignment vertical="center"/>
    </xf>
    <xf numFmtId="0" fontId="3" fillId="0" borderId="0" xfId="1" applyAlignment="1"/>
    <xf numFmtId="0" fontId="3" fillId="0" borderId="0" xfId="1" applyAlignment="1">
      <alignment horizontal="right" vertical="center"/>
    </xf>
    <xf numFmtId="0" fontId="41" fillId="23" borderId="0" xfId="3" applyFill="1" applyAlignment="1">
      <alignment vertical="center"/>
    </xf>
    <xf numFmtId="0" fontId="46" fillId="0" borderId="0" xfId="5" applyFill="1" applyAlignment="1">
      <alignment horizontal="center" wrapText="1"/>
    </xf>
    <xf numFmtId="0" fontId="2" fillId="0" borderId="0" xfId="0" applyFont="1" applyAlignment="1">
      <alignment vertical="center"/>
    </xf>
    <xf numFmtId="0" fontId="31" fillId="14" borderId="0" xfId="3" applyFont="1" applyFill="1" applyAlignment="1">
      <alignment horizontal="center" vertical="center"/>
    </xf>
    <xf numFmtId="0" fontId="46" fillId="14" borderId="0" xfId="5" applyFill="1" applyAlignment="1">
      <alignment wrapText="1"/>
    </xf>
    <xf numFmtId="0" fontId="46" fillId="14" borderId="0" xfId="5" applyFill="1" applyAlignment="1"/>
    <xf numFmtId="0" fontId="47" fillId="14" borderId="0" xfId="5" applyFont="1" applyFill="1" applyAlignment="1">
      <alignment vertical="center"/>
    </xf>
    <xf numFmtId="0" fontId="59" fillId="14" borderId="0" xfId="3" applyFont="1" applyFill="1" applyAlignment="1">
      <alignment vertical="center" wrapText="1"/>
    </xf>
    <xf numFmtId="0" fontId="41" fillId="14" borderId="0" xfId="3" applyFill="1" applyAlignment="1">
      <alignment horizontal="left" vertical="top"/>
    </xf>
    <xf numFmtId="0" fontId="41" fillId="14" borderId="0" xfId="3" applyFill="1"/>
    <xf numFmtId="0" fontId="0" fillId="19" borderId="0" xfId="0" applyFill="1"/>
    <xf numFmtId="0" fontId="23" fillId="19" borderId="0" xfId="0" applyFont="1" applyFill="1"/>
    <xf numFmtId="0" fontId="26" fillId="19" borderId="0" xfId="0" applyFont="1" applyFill="1"/>
    <xf numFmtId="0" fontId="0" fillId="19" borderId="0" xfId="0" applyFill="1" applyBorder="1"/>
    <xf numFmtId="0" fontId="23" fillId="15" borderId="0" xfId="0" applyFont="1" applyFill="1"/>
    <xf numFmtId="0" fontId="26" fillId="0" borderId="0" xfId="0" applyFont="1" applyFill="1"/>
    <xf numFmtId="0" fontId="0" fillId="0" borderId="34" xfId="0" applyFill="1" applyBorder="1"/>
    <xf numFmtId="0" fontId="0" fillId="19" borderId="34" xfId="0" applyFill="1" applyBorder="1"/>
    <xf numFmtId="0" fontId="0" fillId="0" borderId="34" xfId="0" applyBorder="1"/>
    <xf numFmtId="0" fontId="23" fillId="0" borderId="0" xfId="0" applyFont="1" applyFill="1"/>
    <xf numFmtId="0" fontId="23" fillId="11" borderId="0" xfId="0" applyFont="1" applyFill="1"/>
    <xf numFmtId="0" fontId="0" fillId="2" borderId="0" xfId="0" applyFill="1"/>
    <xf numFmtId="0" fontId="0" fillId="17" borderId="0" xfId="0" applyFill="1"/>
    <xf numFmtId="0" fontId="0" fillId="0" borderId="0" xfId="0" applyFont="1" applyFill="1"/>
    <xf numFmtId="0" fontId="67" fillId="0" borderId="0" xfId="0" applyFont="1"/>
    <xf numFmtId="0" fontId="25" fillId="0" borderId="0" xfId="0" applyFont="1"/>
    <xf numFmtId="0" fontId="28" fillId="0" borderId="0" xfId="0" applyFont="1"/>
    <xf numFmtId="0" fontId="0" fillId="0" borderId="0" xfId="0" applyFont="1"/>
    <xf numFmtId="0" fontId="0" fillId="26" borderId="0" xfId="0" applyFill="1"/>
    <xf numFmtId="0" fontId="0" fillId="0" borderId="32" xfId="0" applyBorder="1"/>
    <xf numFmtId="0" fontId="26" fillId="19" borderId="32" xfId="0" applyFont="1" applyFill="1" applyBorder="1"/>
    <xf numFmtId="0" fontId="0" fillId="19" borderId="32" xfId="0" applyFill="1" applyBorder="1"/>
    <xf numFmtId="0" fontId="0" fillId="0" borderId="32" xfId="0" applyFill="1" applyBorder="1"/>
    <xf numFmtId="0" fontId="1" fillId="0" borderId="0" xfId="0" applyFont="1" applyFill="1" applyBorder="1"/>
    <xf numFmtId="0" fontId="68" fillId="0" borderId="0" xfId="3" applyFont="1" applyAlignment="1">
      <alignment vertical="center" wrapText="1"/>
    </xf>
    <xf numFmtId="0" fontId="67" fillId="0" borderId="0" xfId="0" applyFont="1" applyFill="1"/>
    <xf numFmtId="0" fontId="0" fillId="23" borderId="0" xfId="0" applyFill="1"/>
    <xf numFmtId="0" fontId="72" fillId="0" borderId="0" xfId="3" applyFont="1" applyAlignment="1">
      <alignment vertical="center" wrapText="1"/>
    </xf>
    <xf numFmtId="0" fontId="0" fillId="27" borderId="0" xfId="0" applyFill="1"/>
    <xf numFmtId="0" fontId="0" fillId="7" borderId="35" xfId="0" applyFill="1" applyBorder="1" applyAlignment="1">
      <alignment horizontal="left" vertical="top" wrapText="1"/>
    </xf>
    <xf numFmtId="0" fontId="0" fillId="7" borderId="35" xfId="0" applyFill="1" applyBorder="1" applyAlignment="1">
      <alignment horizontal="center" wrapText="1"/>
    </xf>
    <xf numFmtId="0" fontId="2" fillId="7" borderId="35" xfId="0" applyFont="1" applyFill="1" applyBorder="1" applyAlignment="1">
      <alignment horizontal="right" vertical="top"/>
    </xf>
    <xf numFmtId="0" fontId="0" fillId="7" borderId="35" xfId="0" applyFont="1" applyFill="1" applyBorder="1" applyAlignment="1"/>
    <xf numFmtId="0" fontId="0" fillId="8" borderId="35" xfId="0" applyFont="1" applyFill="1" applyBorder="1" applyAlignment="1">
      <alignment horizontal="center"/>
    </xf>
    <xf numFmtId="0" fontId="0" fillId="8" borderId="35" xfId="0" applyFont="1" applyFill="1" applyBorder="1" applyAlignment="1"/>
    <xf numFmtId="0" fontId="0" fillId="7" borderId="35" xfId="0" applyFill="1" applyBorder="1" applyAlignment="1">
      <alignment horizontal="right"/>
    </xf>
    <xf numFmtId="0" fontId="0" fillId="7" borderId="35" xfId="0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0" fontId="36" fillId="7" borderId="35" xfId="0" applyFont="1" applyFill="1" applyBorder="1" applyAlignment="1">
      <alignment horizontal="center"/>
    </xf>
    <xf numFmtId="0" fontId="36" fillId="8" borderId="35" xfId="0" applyFont="1" applyFill="1" applyBorder="1" applyAlignment="1">
      <alignment horizontal="center"/>
    </xf>
    <xf numFmtId="0" fontId="0" fillId="8" borderId="35" xfId="0" applyFill="1" applyBorder="1" applyAlignment="1">
      <alignment horizontal="left"/>
    </xf>
    <xf numFmtId="0" fontId="0" fillId="7" borderId="35" xfId="0" applyFill="1" applyBorder="1" applyAlignment="1">
      <alignment horizontal="left"/>
    </xf>
    <xf numFmtId="0" fontId="36" fillId="8" borderId="35" xfId="0" applyFont="1" applyFill="1" applyBorder="1"/>
    <xf numFmtId="0" fontId="2" fillId="8" borderId="35" xfId="0" applyFont="1" applyFill="1" applyBorder="1" applyAlignment="1">
      <alignment horizontal="left" vertical="top" wrapText="1"/>
    </xf>
    <xf numFmtId="0" fontId="2" fillId="8" borderId="35" xfId="0" applyFont="1" applyFill="1" applyBorder="1" applyAlignment="1">
      <alignment horizontal="left" vertical="center" wrapText="1"/>
    </xf>
    <xf numFmtId="0" fontId="2" fillId="8" borderId="35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vertical="center"/>
    </xf>
    <xf numFmtId="0" fontId="0" fillId="0" borderId="35" xfId="0" applyFont="1" applyFill="1" applyBorder="1" applyAlignment="1">
      <alignment horizontal="left" vertical="top" wrapText="1"/>
    </xf>
    <xf numFmtId="0" fontId="66" fillId="0" borderId="35" xfId="3" applyFont="1" applyBorder="1" applyAlignment="1">
      <alignment horizontal="left" vertical="top" wrapText="1"/>
    </xf>
    <xf numFmtId="0" fontId="3" fillId="0" borderId="35" xfId="1" applyBorder="1" applyAlignment="1">
      <alignment horizontal="right" vertical="top"/>
    </xf>
    <xf numFmtId="0" fontId="46" fillId="0" borderId="35" xfId="5" applyFill="1" applyBorder="1" applyAlignment="1">
      <alignment horizontal="left" vertical="top"/>
    </xf>
    <xf numFmtId="0" fontId="38" fillId="0" borderId="35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27" borderId="35" xfId="0" applyFont="1" applyFill="1" applyBorder="1" applyAlignment="1">
      <alignment horizontal="center" vertical="center"/>
    </xf>
    <xf numFmtId="0" fontId="3" fillId="0" borderId="35" xfId="1" applyBorder="1" applyAlignment="1">
      <alignment horizontal="right" vertical="center"/>
    </xf>
    <xf numFmtId="0" fontId="3" fillId="0" borderId="35" xfId="1" applyFill="1" applyBorder="1" applyAlignment="1">
      <alignment horizontal="right" vertical="center"/>
    </xf>
    <xf numFmtId="0" fontId="38" fillId="0" borderId="35" xfId="3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5" xfId="0" applyBorder="1" applyAlignment="1">
      <alignment horizontal="right"/>
    </xf>
    <xf numFmtId="0" fontId="69" fillId="0" borderId="35" xfId="0" applyFont="1" applyFill="1" applyBorder="1" applyAlignment="1">
      <alignment horizontal="right" vertical="top" wrapText="1"/>
    </xf>
    <xf numFmtId="0" fontId="3" fillId="0" borderId="35" xfId="1" applyBorder="1" applyAlignment="1">
      <alignment horizontal="right"/>
    </xf>
    <xf numFmtId="0" fontId="0" fillId="27" borderId="35" xfId="0" applyFont="1" applyFill="1" applyBorder="1" applyAlignment="1">
      <alignment horizontal="left" vertical="top" wrapText="1"/>
    </xf>
    <xf numFmtId="0" fontId="66" fillId="27" borderId="35" xfId="3" applyFont="1" applyFill="1" applyBorder="1" applyAlignment="1">
      <alignment horizontal="left" vertical="top" wrapText="1"/>
    </xf>
    <xf numFmtId="0" fontId="46" fillId="27" borderId="35" xfId="5" applyFill="1" applyBorder="1" applyAlignment="1">
      <alignment horizontal="left" vertical="top"/>
    </xf>
    <xf numFmtId="0" fontId="3" fillId="27" borderId="35" xfId="1" applyFill="1" applyBorder="1" applyAlignment="1">
      <alignment horizontal="right" vertical="top"/>
    </xf>
    <xf numFmtId="0" fontId="38" fillId="27" borderId="35" xfId="0" applyFont="1" applyFill="1" applyBorder="1" applyAlignment="1">
      <alignment horizontal="center" vertical="center"/>
    </xf>
    <xf numFmtId="0" fontId="0" fillId="27" borderId="35" xfId="0" applyFont="1" applyFill="1" applyBorder="1" applyAlignment="1">
      <alignment horizontal="center" vertical="center"/>
    </xf>
    <xf numFmtId="0" fontId="0" fillId="27" borderId="35" xfId="0" applyFill="1" applyBorder="1" applyAlignment="1">
      <alignment horizontal="center" vertical="center"/>
    </xf>
    <xf numFmtId="0" fontId="40" fillId="27" borderId="35" xfId="3" applyFont="1" applyFill="1" applyBorder="1" applyAlignment="1">
      <alignment horizontal="left" vertical="top" wrapText="1"/>
    </xf>
    <xf numFmtId="0" fontId="71" fillId="27" borderId="35" xfId="0" applyFont="1" applyFill="1" applyBorder="1" applyAlignment="1">
      <alignment horizontal="left" vertical="top" wrapText="1"/>
    </xf>
    <xf numFmtId="0" fontId="2" fillId="27" borderId="35" xfId="0" applyFont="1" applyFill="1" applyBorder="1" applyAlignment="1">
      <alignment horizontal="left" vertical="top" wrapText="1"/>
    </xf>
    <xf numFmtId="0" fontId="0" fillId="27" borderId="35" xfId="0" applyFill="1" applyBorder="1" applyAlignment="1">
      <alignment wrapText="1"/>
    </xf>
    <xf numFmtId="0" fontId="23" fillId="27" borderId="35" xfId="0" applyFont="1" applyFill="1" applyBorder="1" applyAlignment="1">
      <alignment vertical="top" wrapText="1"/>
    </xf>
    <xf numFmtId="0" fontId="3" fillId="27" borderId="35" xfId="1" applyFill="1" applyBorder="1" applyAlignment="1">
      <alignment horizontal="right" vertical="center"/>
    </xf>
    <xf numFmtId="0" fontId="40" fillId="27" borderId="35" xfId="0" applyFont="1" applyFill="1" applyBorder="1" applyAlignment="1">
      <alignment horizontal="left" vertical="top" wrapText="1"/>
    </xf>
    <xf numFmtId="0" fontId="40" fillId="27" borderId="35" xfId="0" applyFont="1" applyFill="1" applyBorder="1" applyAlignment="1">
      <alignment horizontal="left" vertical="center" wrapText="1"/>
    </xf>
    <xf numFmtId="0" fontId="40" fillId="27" borderId="35" xfId="0" applyFont="1" applyFill="1" applyBorder="1" applyAlignment="1">
      <alignment horizontal="right"/>
    </xf>
    <xf numFmtId="0" fontId="67" fillId="27" borderId="35" xfId="0" applyFont="1" applyFill="1" applyBorder="1" applyAlignment="1"/>
    <xf numFmtId="0" fontId="67" fillId="27" borderId="35" xfId="0" applyFont="1" applyFill="1" applyBorder="1"/>
    <xf numFmtId="0" fontId="67" fillId="27" borderId="35" xfId="0" applyFont="1" applyFill="1" applyBorder="1" applyAlignment="1">
      <alignment horizontal="left" vertical="top" wrapText="1"/>
    </xf>
    <xf numFmtId="0" fontId="0" fillId="27" borderId="35" xfId="0" applyFill="1" applyBorder="1" applyAlignment="1">
      <alignment horizontal="left" vertical="top" wrapText="1"/>
    </xf>
    <xf numFmtId="0" fontId="47" fillId="27" borderId="35" xfId="5" applyFont="1" applyFill="1" applyBorder="1" applyAlignment="1">
      <alignment vertical="center"/>
    </xf>
    <xf numFmtId="0" fontId="0" fillId="27" borderId="35" xfId="0" applyFill="1" applyBorder="1"/>
    <xf numFmtId="0" fontId="41" fillId="27" borderId="35" xfId="3" applyFill="1" applyBorder="1" applyAlignment="1">
      <alignment vertical="center" wrapText="1"/>
    </xf>
    <xf numFmtId="0" fontId="0" fillId="27" borderId="35" xfId="0" applyFill="1" applyBorder="1" applyAlignment="1"/>
    <xf numFmtId="0" fontId="3" fillId="27" borderId="35" xfId="1" applyFill="1" applyBorder="1" applyAlignment="1">
      <alignment horizontal="right"/>
    </xf>
    <xf numFmtId="0" fontId="2" fillId="15" borderId="35" xfId="0" applyFont="1" applyFill="1" applyBorder="1" applyAlignment="1">
      <alignment horizontal="left" vertical="top" wrapText="1"/>
    </xf>
    <xf numFmtId="0" fontId="2" fillId="15" borderId="35" xfId="0" applyFont="1" applyFill="1" applyBorder="1" applyAlignment="1">
      <alignment horizontal="right" vertical="top" wrapText="1"/>
    </xf>
    <xf numFmtId="0" fontId="0" fillId="15" borderId="35" xfId="0" applyFill="1" applyBorder="1"/>
    <xf numFmtId="0" fontId="0" fillId="15" borderId="35" xfId="0" applyFill="1" applyBorder="1" applyAlignment="1"/>
    <xf numFmtId="0" fontId="0" fillId="15" borderId="35" xfId="0" applyFill="1" applyBorder="1" applyAlignment="1">
      <alignment horizontal="right"/>
    </xf>
    <xf numFmtId="0" fontId="2" fillId="15" borderId="35" xfId="0" applyFont="1" applyFill="1" applyBorder="1" applyAlignment="1">
      <alignment horizontal="left" vertical="top"/>
    </xf>
    <xf numFmtId="0" fontId="39" fillId="15" borderId="35" xfId="0" applyFont="1" applyFill="1" applyBorder="1" applyAlignment="1"/>
    <xf numFmtId="0" fontId="33" fillId="11" borderId="35" xfId="0" applyFont="1" applyFill="1" applyBorder="1" applyAlignment="1">
      <alignment horizontal="left" vertical="top" wrapText="1"/>
    </xf>
    <xf numFmtId="0" fontId="33" fillId="11" borderId="35" xfId="0" applyFont="1" applyFill="1" applyBorder="1" applyAlignment="1">
      <alignment wrapText="1"/>
    </xf>
    <xf numFmtId="0" fontId="34" fillId="11" borderId="35" xfId="0" applyFont="1" applyFill="1" applyBorder="1"/>
    <xf numFmtId="0" fontId="0" fillId="11" borderId="35" xfId="0" applyFill="1" applyBorder="1"/>
    <xf numFmtId="0" fontId="38" fillId="0" borderId="35" xfId="0" applyFont="1" applyFill="1" applyBorder="1" applyAlignment="1">
      <alignment horizontal="center" vertical="center"/>
    </xf>
    <xf numFmtId="0" fontId="40" fillId="0" borderId="35" xfId="3" applyFont="1" applyBorder="1" applyAlignment="1">
      <alignment horizontal="left" vertical="top" wrapText="1"/>
    </xf>
    <xf numFmtId="0" fontId="71" fillId="0" borderId="35" xfId="0" applyFont="1" applyFill="1" applyBorder="1" applyAlignment="1">
      <alignment horizontal="left" vertical="top" wrapText="1"/>
    </xf>
    <xf numFmtId="0" fontId="3" fillId="0" borderId="35" xfId="1" applyFill="1" applyBorder="1" applyAlignment="1">
      <alignment horizontal="right" vertical="top"/>
    </xf>
    <xf numFmtId="0" fontId="2" fillId="0" borderId="35" xfId="0" applyFont="1" applyFill="1" applyBorder="1" applyAlignment="1">
      <alignment horizontal="left" vertical="top" wrapText="1"/>
    </xf>
    <xf numFmtId="0" fontId="71" fillId="0" borderId="35" xfId="0" applyFont="1" applyBorder="1" applyAlignment="1">
      <alignment horizontal="left" vertical="top" wrapText="1"/>
    </xf>
    <xf numFmtId="0" fontId="0" fillId="0" borderId="35" xfId="0" applyBorder="1" applyAlignment="1">
      <alignment wrapText="1"/>
    </xf>
    <xf numFmtId="0" fontId="23" fillId="0" borderId="35" xfId="0" applyFont="1" applyFill="1" applyBorder="1" applyAlignment="1">
      <alignment vertical="top" wrapText="1"/>
    </xf>
    <xf numFmtId="0" fontId="0" fillId="0" borderId="35" xfId="0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40" fillId="7" borderId="35" xfId="0" applyFont="1" applyFill="1" applyBorder="1" applyAlignment="1">
      <alignment horizontal="left" vertical="top" wrapText="1"/>
    </xf>
    <xf numFmtId="0" fontId="40" fillId="7" borderId="35" xfId="0" applyFont="1" applyFill="1" applyBorder="1" applyAlignment="1">
      <alignment horizontal="left" vertical="center" wrapText="1"/>
    </xf>
    <xf numFmtId="0" fontId="40" fillId="7" borderId="35" xfId="0" applyFont="1" applyFill="1" applyBorder="1" applyAlignment="1">
      <alignment horizontal="right"/>
    </xf>
    <xf numFmtId="0" fontId="67" fillId="7" borderId="35" xfId="0" applyFont="1" applyFill="1" applyBorder="1" applyAlignment="1"/>
    <xf numFmtId="0" fontId="67" fillId="7" borderId="35" xfId="0" applyFont="1" applyFill="1" applyBorder="1"/>
    <xf numFmtId="0" fontId="67" fillId="0" borderId="35" xfId="0" applyFont="1" applyFill="1" applyBorder="1" applyAlignment="1">
      <alignment horizontal="left" vertical="top" wrapText="1"/>
    </xf>
    <xf numFmtId="0" fontId="40" fillId="0" borderId="35" xfId="0" applyFont="1" applyFill="1" applyBorder="1" applyAlignment="1">
      <alignment horizontal="left" vertical="top" wrapText="1"/>
    </xf>
    <xf numFmtId="0" fontId="40" fillId="0" borderId="35" xfId="0" applyFont="1" applyFill="1" applyBorder="1" applyAlignment="1">
      <alignment horizontal="left" vertical="center" wrapText="1"/>
    </xf>
    <xf numFmtId="0" fontId="40" fillId="0" borderId="35" xfId="0" applyFont="1" applyFill="1" applyBorder="1" applyAlignment="1">
      <alignment horizontal="right"/>
    </xf>
    <xf numFmtId="0" fontId="67" fillId="0" borderId="35" xfId="0" applyFont="1" applyFill="1" applyBorder="1" applyAlignment="1"/>
    <xf numFmtId="0" fontId="67" fillId="0" borderId="35" xfId="0" applyFont="1" applyFill="1" applyBorder="1"/>
    <xf numFmtId="0" fontId="0" fillId="0" borderId="35" xfId="0" applyFont="1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47" fillId="0" borderId="35" xfId="5" applyFont="1" applyFill="1" applyBorder="1" applyAlignment="1">
      <alignment vertical="center"/>
    </xf>
    <xf numFmtId="0" fontId="0" fillId="0" borderId="35" xfId="0" applyBorder="1"/>
    <xf numFmtId="0" fontId="41" fillId="0" borderId="35" xfId="3" applyBorder="1" applyAlignment="1">
      <alignment vertical="center" wrapText="1"/>
    </xf>
    <xf numFmtId="0" fontId="0" fillId="0" borderId="35" xfId="0" applyFill="1" applyBorder="1"/>
    <xf numFmtId="0" fontId="0" fillId="0" borderId="35" xfId="0" applyFill="1" applyBorder="1" applyAlignment="1"/>
    <xf numFmtId="0" fontId="0" fillId="0" borderId="35" xfId="0" applyFill="1" applyBorder="1" applyAlignment="1">
      <alignment horizontal="left" vertical="top" wrapText="1"/>
    </xf>
    <xf numFmtId="0" fontId="3" fillId="0" borderId="35" xfId="1" applyFill="1" applyBorder="1" applyAlignment="1">
      <alignment horizontal="right"/>
    </xf>
    <xf numFmtId="0" fontId="40" fillId="11" borderId="35" xfId="0" applyFont="1" applyFill="1" applyBorder="1" applyAlignment="1">
      <alignment horizontal="center" vertical="center"/>
    </xf>
    <xf numFmtId="0" fontId="33" fillId="27" borderId="0" xfId="0" applyFont="1" applyFill="1" applyAlignment="1">
      <alignment horizontal="left" vertical="top" wrapText="1"/>
    </xf>
    <xf numFmtId="0" fontId="33" fillId="27" borderId="0" xfId="0" applyFont="1" applyFill="1" applyAlignment="1">
      <alignment wrapText="1"/>
    </xf>
    <xf numFmtId="0" fontId="34" fillId="27" borderId="0" xfId="0" applyFont="1" applyFill="1"/>
    <xf numFmtId="0" fontId="40" fillId="27" borderId="35" xfId="0" applyFont="1" applyFill="1" applyBorder="1" applyAlignment="1">
      <alignment horizontal="center" vertical="center"/>
    </xf>
    <xf numFmtId="0" fontId="2" fillId="11" borderId="35" xfId="0" applyFont="1" applyFill="1" applyBorder="1" applyAlignment="1">
      <alignment horizontal="left" vertical="top" wrapText="1"/>
    </xf>
    <xf numFmtId="0" fontId="2" fillId="11" borderId="35" xfId="0" applyFont="1" applyFill="1" applyBorder="1" applyAlignment="1">
      <alignment horizontal="right" vertical="top" wrapText="1"/>
    </xf>
    <xf numFmtId="0" fontId="0" fillId="11" borderId="35" xfId="0" applyFill="1" applyBorder="1" applyAlignment="1"/>
    <xf numFmtId="0" fontId="0" fillId="11" borderId="35" xfId="0" applyFill="1" applyBorder="1" applyAlignment="1">
      <alignment horizontal="right"/>
    </xf>
    <xf numFmtId="0" fontId="2" fillId="11" borderId="35" xfId="0" applyFont="1" applyFill="1" applyBorder="1" applyAlignment="1">
      <alignment horizontal="left" vertical="top"/>
    </xf>
    <xf numFmtId="0" fontId="39" fillId="11" borderId="35" xfId="0" applyFont="1" applyFill="1" applyBorder="1" applyAlignment="1"/>
    <xf numFmtId="0" fontId="0" fillId="28" borderId="0" xfId="0" applyFill="1"/>
    <xf numFmtId="0" fontId="26" fillId="28" borderId="0" xfId="0" applyFont="1" applyFill="1"/>
    <xf numFmtId="0" fontId="26" fillId="19" borderId="0" xfId="0" applyFont="1" applyFill="1" applyAlignment="1">
      <alignment horizontal="center" vertical="center"/>
    </xf>
    <xf numFmtId="0" fontId="0" fillId="29" borderId="0" xfId="0" applyFill="1"/>
    <xf numFmtId="0" fontId="23" fillId="19" borderId="34" xfId="0" applyFont="1" applyFill="1" applyBorder="1"/>
    <xf numFmtId="0" fontId="23" fillId="19" borderId="0" xfId="0" applyFont="1" applyFill="1" applyBorder="1"/>
    <xf numFmtId="0" fontId="0" fillId="28" borderId="32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6" fillId="11" borderId="0" xfId="0" applyFont="1" applyFill="1"/>
    <xf numFmtId="0" fontId="26" fillId="25" borderId="0" xfId="0" applyFont="1" applyFill="1"/>
    <xf numFmtId="0" fontId="26" fillId="0" borderId="0" xfId="0" applyFont="1"/>
    <xf numFmtId="0" fontId="26" fillId="0" borderId="0" xfId="0" applyFont="1" applyFill="1" applyBorder="1"/>
    <xf numFmtId="0" fontId="26" fillId="17" borderId="0" xfId="0" applyFont="1" applyFill="1"/>
    <xf numFmtId="0" fontId="26" fillId="11" borderId="36" xfId="0" applyFont="1" applyFill="1" applyBorder="1"/>
    <xf numFmtId="0" fontId="26" fillId="25" borderId="32" xfId="0" applyFont="1" applyFill="1" applyBorder="1"/>
    <xf numFmtId="0" fontId="26" fillId="23" borderId="0" xfId="0" applyFont="1" applyFill="1"/>
    <xf numFmtId="0" fontId="26" fillId="0" borderId="32" xfId="0" applyFont="1" applyBorder="1"/>
    <xf numFmtId="0" fontId="74" fillId="0" borderId="0" xfId="0" applyFont="1" applyFill="1" applyBorder="1"/>
    <xf numFmtId="0" fontId="73" fillId="0" borderId="0" xfId="0" applyFont="1" applyFill="1" applyBorder="1" applyAlignment="1">
      <alignment vertical="center"/>
    </xf>
    <xf numFmtId="0" fontId="73" fillId="2" borderId="1" xfId="0" applyFont="1" applyFill="1" applyBorder="1" applyAlignment="1">
      <alignment horizontal="center" vertical="center" wrapText="1"/>
    </xf>
    <xf numFmtId="12" fontId="26" fillId="2" borderId="2" xfId="0" applyNumberFormat="1" applyFont="1" applyFill="1" applyBorder="1" applyAlignment="1">
      <alignment vertical="center"/>
    </xf>
    <xf numFmtId="0" fontId="73" fillId="2" borderId="6" xfId="0" applyFont="1" applyFill="1" applyBorder="1" applyAlignment="1">
      <alignment vertical="center"/>
    </xf>
    <xf numFmtId="0" fontId="26" fillId="2" borderId="6" xfId="0" applyFont="1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19" borderId="0" xfId="0" applyFill="1" applyAlignment="1">
      <alignment vertical="center"/>
    </xf>
    <xf numFmtId="0" fontId="0" fillId="2" borderId="7" xfId="0" applyFill="1" applyBorder="1" applyAlignment="1">
      <alignment vertical="center"/>
    </xf>
    <xf numFmtId="49" fontId="26" fillId="2" borderId="2" xfId="0" applyNumberFormat="1" applyFont="1" applyFill="1" applyBorder="1" applyAlignment="1">
      <alignment vertical="center"/>
    </xf>
    <xf numFmtId="0" fontId="26" fillId="0" borderId="0" xfId="0" applyFont="1" applyFill="1" applyAlignment="1">
      <alignment vertical="center"/>
    </xf>
    <xf numFmtId="12" fontId="22" fillId="2" borderId="17" xfId="0" applyNumberFormat="1" applyFont="1" applyFill="1" applyBorder="1" applyAlignment="1">
      <alignment vertical="center"/>
    </xf>
    <xf numFmtId="0" fontId="73" fillId="2" borderId="31" xfId="0" applyFont="1" applyFill="1" applyBorder="1" applyAlignment="1">
      <alignment vertical="center"/>
    </xf>
    <xf numFmtId="0" fontId="0" fillId="2" borderId="31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49" fontId="73" fillId="2" borderId="1" xfId="0" applyNumberFormat="1" applyFont="1" applyFill="1" applyBorder="1" applyAlignment="1">
      <alignment vertical="center"/>
    </xf>
    <xf numFmtId="0" fontId="0" fillId="0" borderId="32" xfId="0" applyBorder="1" applyAlignment="1">
      <alignment horizontal="right" vertical="center"/>
    </xf>
    <xf numFmtId="0" fontId="0" fillId="19" borderId="0" xfId="0" applyFill="1" applyAlignment="1">
      <alignment horizontal="right" vertical="center"/>
    </xf>
    <xf numFmtId="0" fontId="26" fillId="2" borderId="2" xfId="0" applyFont="1" applyFill="1" applyBorder="1" applyAlignment="1">
      <alignment horizontal="right" vertical="center"/>
    </xf>
    <xf numFmtId="0" fontId="73" fillId="2" borderId="6" xfId="0" applyFont="1" applyFill="1" applyBorder="1" applyAlignment="1">
      <alignment horizontal="right" vertical="center"/>
    </xf>
    <xf numFmtId="0" fontId="73" fillId="2" borderId="7" xfId="0" applyFont="1" applyFill="1" applyBorder="1" applyAlignment="1">
      <alignment horizontal="right" vertical="center"/>
    </xf>
    <xf numFmtId="0" fontId="0" fillId="19" borderId="0" xfId="0" applyFill="1" applyBorder="1" applyAlignment="1">
      <alignment horizontal="right" vertical="center"/>
    </xf>
    <xf numFmtId="0" fontId="26" fillId="19" borderId="0" xfId="0" applyFont="1" applyFill="1" applyAlignment="1">
      <alignment horizontal="right" vertical="center"/>
    </xf>
    <xf numFmtId="49" fontId="73" fillId="0" borderId="0" xfId="0" applyNumberFormat="1" applyFont="1" applyFill="1" applyBorder="1" applyAlignment="1">
      <alignment horizontal="right" vertical="center"/>
    </xf>
    <xf numFmtId="0" fontId="73" fillId="2" borderId="2" xfId="0" applyFont="1" applyFill="1" applyBorder="1" applyAlignment="1">
      <alignment horizontal="center" vertical="center" wrapText="1"/>
    </xf>
    <xf numFmtId="0" fontId="73" fillId="2" borderId="2" xfId="0" applyFont="1" applyFill="1" applyBorder="1" applyAlignment="1">
      <alignment vertical="center"/>
    </xf>
    <xf numFmtId="0" fontId="73" fillId="2" borderId="2" xfId="0" applyFont="1" applyFill="1" applyBorder="1" applyAlignment="1">
      <alignment horizontal="center" vertical="center"/>
    </xf>
    <xf numFmtId="0" fontId="73" fillId="2" borderId="2" xfId="0" applyFont="1" applyFill="1" applyBorder="1" applyAlignment="1">
      <alignment horizontal="right" vertical="center"/>
    </xf>
    <xf numFmtId="0" fontId="73" fillId="2" borderId="2" xfId="0" applyFont="1" applyFill="1" applyBorder="1" applyAlignment="1">
      <alignment horizontal="left" vertical="center"/>
    </xf>
    <xf numFmtId="0" fontId="73" fillId="2" borderId="1" xfId="0" applyFont="1" applyFill="1" applyBorder="1" applyAlignment="1">
      <alignment horizontal="left" vertical="center"/>
    </xf>
    <xf numFmtId="0" fontId="76" fillId="0" borderId="0" xfId="0" applyFont="1"/>
    <xf numFmtId="0" fontId="76" fillId="0" borderId="31" xfId="0" applyFont="1" applyBorder="1"/>
    <xf numFmtId="0" fontId="26" fillId="23" borderId="0" xfId="0" applyFont="1" applyFill="1" applyAlignment="1">
      <alignment vertical="center"/>
    </xf>
    <xf numFmtId="0" fontId="26" fillId="19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19" borderId="32" xfId="0" applyFill="1" applyBorder="1" applyAlignment="1">
      <alignment vertical="center"/>
    </xf>
    <xf numFmtId="0" fontId="0" fillId="23" borderId="0" xfId="0" applyFill="1" applyAlignment="1">
      <alignment vertical="center"/>
    </xf>
    <xf numFmtId="0" fontId="23" fillId="19" borderId="0" xfId="0" applyFont="1" applyFill="1" applyAlignment="1">
      <alignment vertical="center"/>
    </xf>
    <xf numFmtId="0" fontId="26" fillId="2" borderId="6" xfId="0" applyFont="1" applyFill="1" applyBorder="1" applyAlignment="1">
      <alignment horizontal="center" vertical="center"/>
    </xf>
    <xf numFmtId="0" fontId="75" fillId="7" borderId="7" xfId="0" applyFont="1" applyFill="1" applyBorder="1" applyAlignment="1">
      <alignment horizontal="center" vertical="center"/>
    </xf>
    <xf numFmtId="0" fontId="80" fillId="0" borderId="1" xfId="0" applyFont="1" applyBorder="1" applyAlignment="1">
      <alignment vertical="center" wrapText="1"/>
    </xf>
    <xf numFmtId="0" fontId="79" fillId="0" borderId="1" xfId="0" applyFont="1" applyBorder="1" applyAlignment="1">
      <alignment vertical="center" wrapText="1"/>
    </xf>
    <xf numFmtId="0" fontId="78" fillId="0" borderId="1" xfId="0" applyFont="1" applyBorder="1" applyAlignment="1">
      <alignment vertical="center" wrapText="1"/>
    </xf>
    <xf numFmtId="0" fontId="0" fillId="0" borderId="0" xfId="0" applyFont="1" applyBorder="1" applyAlignment="1">
      <alignment wrapText="1"/>
    </xf>
    <xf numFmtId="0" fontId="78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0" xfId="0" applyNumberFormat="1"/>
    <xf numFmtId="0" fontId="0" fillId="0" borderId="0" xfId="0" applyAlignment="1">
      <alignment vertical="top"/>
    </xf>
    <xf numFmtId="0" fontId="26" fillId="2" borderId="37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right" vertical="center"/>
    </xf>
    <xf numFmtId="0" fontId="0" fillId="2" borderId="37" xfId="0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/>
    </xf>
    <xf numFmtId="0" fontId="73" fillId="2" borderId="39" xfId="0" applyFont="1" applyFill="1" applyBorder="1" applyAlignment="1">
      <alignment horizontal="right" vertical="center"/>
    </xf>
    <xf numFmtId="0" fontId="73" fillId="2" borderId="37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0" fontId="0" fillId="0" borderId="0" xfId="0" applyFill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1" xfId="0" applyFont="1" applyBorder="1" applyAlignment="1">
      <alignment wrapText="1"/>
    </xf>
    <xf numFmtId="0" fontId="2" fillId="29" borderId="1" xfId="0" applyFont="1" applyFill="1" applyBorder="1" applyAlignment="1">
      <alignment wrapText="1"/>
    </xf>
    <xf numFmtId="0" fontId="2" fillId="10" borderId="1" xfId="0" applyFont="1" applyFill="1" applyBorder="1" applyAlignment="1">
      <alignment vertical="center" wrapText="1"/>
    </xf>
    <xf numFmtId="0" fontId="0" fillId="0" borderId="1" xfId="0" applyBorder="1" applyAlignment="1"/>
    <xf numFmtId="0" fontId="2" fillId="2" borderId="1" xfId="0" applyFont="1" applyFill="1" applyBorder="1" applyAlignment="1">
      <alignment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80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vertical="center" wrapText="1"/>
    </xf>
    <xf numFmtId="0" fontId="38" fillId="29" borderId="1" xfId="0" applyFont="1" applyFill="1" applyBorder="1" applyAlignment="1">
      <alignment horizontal="center" vertical="top" wrapText="1"/>
    </xf>
    <xf numFmtId="0" fontId="38" fillId="29" borderId="1" xfId="0" applyFont="1" applyFill="1" applyBorder="1" applyAlignment="1">
      <alignment horizontal="center" vertical="center" wrapText="1"/>
    </xf>
    <xf numFmtId="0" fontId="80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81" fillId="0" borderId="1" xfId="0" applyFont="1" applyBorder="1" applyAlignment="1">
      <alignment vertical="center" wrapText="1"/>
    </xf>
    <xf numFmtId="0" fontId="81" fillId="0" borderId="5" xfId="0" applyFont="1" applyBorder="1" applyAlignment="1">
      <alignment horizontal="left" vertical="top" wrapText="1"/>
    </xf>
    <xf numFmtId="0" fontId="82" fillId="0" borderId="1" xfId="0" applyFont="1" applyBorder="1" applyAlignment="1">
      <alignment vertical="center" wrapText="1"/>
    </xf>
    <xf numFmtId="0" fontId="81" fillId="0" borderId="4" xfId="0" applyFont="1" applyBorder="1" applyAlignment="1">
      <alignment horizontal="left" vertical="top" wrapText="1"/>
    </xf>
    <xf numFmtId="0" fontId="81" fillId="0" borderId="1" xfId="0" applyFont="1" applyBorder="1" applyAlignment="1">
      <alignment vertical="top" wrapText="1"/>
    </xf>
    <xf numFmtId="0" fontId="82" fillId="0" borderId="1" xfId="0" applyFont="1" applyBorder="1" applyAlignment="1">
      <alignment vertical="top" wrapText="1"/>
    </xf>
    <xf numFmtId="0" fontId="82" fillId="0" borderId="0" xfId="0" applyFont="1" applyAlignment="1">
      <alignment wrapText="1"/>
    </xf>
    <xf numFmtId="0" fontId="83" fillId="0" borderId="1" xfId="0" applyFont="1" applyBorder="1" applyAlignment="1">
      <alignment vertical="top"/>
    </xf>
    <xf numFmtId="0" fontId="82" fillId="0" borderId="1" xfId="0" applyFont="1" applyBorder="1" applyAlignment="1">
      <alignment horizontal="center" vertical="center"/>
    </xf>
    <xf numFmtId="0" fontId="82" fillId="0" borderId="0" xfId="0" applyFont="1" applyAlignment="1"/>
    <xf numFmtId="2" fontId="0" fillId="0" borderId="0" xfId="0" applyNumberFormat="1"/>
    <xf numFmtId="0" fontId="0" fillId="2" borderId="1" xfId="0" applyFill="1" applyBorder="1" applyAlignment="1"/>
    <xf numFmtId="49" fontId="22" fillId="0" borderId="0" xfId="0" applyNumberFormat="1" applyFont="1" applyFill="1" applyAlignment="1">
      <alignment horizontal="center" vertical="center"/>
    </xf>
    <xf numFmtId="0" fontId="73" fillId="2" borderId="6" xfId="0" applyFont="1" applyFill="1" applyBorder="1" applyAlignment="1">
      <alignment horizontal="center" vertical="center"/>
    </xf>
    <xf numFmtId="0" fontId="84" fillId="0" borderId="40" xfId="0" applyFont="1" applyBorder="1"/>
    <xf numFmtId="0" fontId="84" fillId="0" borderId="33" xfId="0" applyFont="1" applyFill="1" applyBorder="1"/>
    <xf numFmtId="0" fontId="84" fillId="20" borderId="33" xfId="0" applyFont="1" applyFill="1" applyBorder="1"/>
    <xf numFmtId="0" fontId="14" fillId="19" borderId="0" xfId="0" applyFont="1" applyFill="1"/>
    <xf numFmtId="0" fontId="26" fillId="9" borderId="6" xfId="0" applyFont="1" applyFill="1" applyBorder="1"/>
    <xf numFmtId="0" fontId="26" fillId="9" borderId="7" xfId="0" applyFont="1" applyFill="1" applyBorder="1"/>
    <xf numFmtId="0" fontId="73" fillId="2" borderId="39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/>
    </xf>
    <xf numFmtId="0" fontId="77" fillId="2" borderId="1" xfId="0" applyFont="1" applyFill="1" applyBorder="1" applyAlignment="1">
      <alignment horizontal="center" vertical="center"/>
    </xf>
    <xf numFmtId="0" fontId="73" fillId="2" borderId="1" xfId="0" applyFont="1" applyFill="1" applyBorder="1" applyAlignment="1">
      <alignment horizontal="left" wrapText="1"/>
    </xf>
    <xf numFmtId="0" fontId="73" fillId="2" borderId="1" xfId="0" applyFont="1" applyFill="1" applyBorder="1" applyAlignment="1">
      <alignment horizontal="center" vertical="center"/>
    </xf>
    <xf numFmtId="49" fontId="73" fillId="2" borderId="2" xfId="0" applyNumberFormat="1" applyFont="1" applyFill="1" applyBorder="1" applyAlignment="1">
      <alignment horizontal="left" vertical="center"/>
    </xf>
    <xf numFmtId="0" fontId="0" fillId="0" borderId="36" xfId="0" applyFill="1" applyBorder="1"/>
    <xf numFmtId="0" fontId="0" fillId="2" borderId="7" xfId="0" applyFill="1" applyBorder="1"/>
    <xf numFmtId="0" fontId="75" fillId="7" borderId="2" xfId="0" applyFont="1" applyFill="1" applyBorder="1" applyAlignment="1">
      <alignment horizontal="left" vertical="center"/>
    </xf>
    <xf numFmtId="0" fontId="75" fillId="7" borderId="39" xfId="0" applyFont="1" applyFill="1" applyBorder="1" applyAlignment="1">
      <alignment horizontal="left" vertical="center"/>
    </xf>
    <xf numFmtId="0" fontId="75" fillId="7" borderId="41" xfId="0" applyFont="1" applyFill="1" applyBorder="1" applyAlignment="1">
      <alignment horizontal="center" vertical="center"/>
    </xf>
    <xf numFmtId="0" fontId="75" fillId="7" borderId="6" xfId="0" applyFont="1" applyFill="1" applyBorder="1" applyAlignment="1">
      <alignment horizontal="center" vertical="center"/>
    </xf>
    <xf numFmtId="0" fontId="26" fillId="30" borderId="0" xfId="0" applyFont="1" applyFill="1"/>
    <xf numFmtId="0" fontId="0" fillId="30" borderId="0" xfId="0" applyFill="1"/>
    <xf numFmtId="0" fontId="73" fillId="2" borderId="17" xfId="0" applyFont="1" applyFill="1" applyBorder="1" applyAlignment="1">
      <alignment horizontal="right" vertical="center"/>
    </xf>
    <xf numFmtId="0" fontId="77" fillId="2" borderId="17" xfId="0" applyFont="1" applyFill="1" applyBorder="1"/>
    <xf numFmtId="0" fontId="0" fillId="2" borderId="18" xfId="0" applyFill="1" applyBorder="1"/>
    <xf numFmtId="0" fontId="77" fillId="2" borderId="2" xfId="0" applyFont="1" applyFill="1" applyBorder="1"/>
    <xf numFmtId="0" fontId="0" fillId="2" borderId="6" xfId="0" applyFill="1" applyBorder="1"/>
    <xf numFmtId="0" fontId="85" fillId="0" borderId="42" xfId="0" applyFont="1" applyBorder="1" applyAlignment="1">
      <alignment vertical="center"/>
    </xf>
    <xf numFmtId="0" fontId="77" fillId="2" borderId="4" xfId="0" applyFont="1" applyFill="1" applyBorder="1" applyAlignment="1">
      <alignment horizontal="center" vertical="center"/>
    </xf>
    <xf numFmtId="0" fontId="14" fillId="0" borderId="0" xfId="0" applyFont="1" applyFill="1"/>
    <xf numFmtId="0" fontId="26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26" fillId="2" borderId="0" xfId="0" applyFont="1" applyFill="1" applyAlignment="1">
      <alignment horizontal="right" vertical="center"/>
    </xf>
    <xf numFmtId="0" fontId="26" fillId="2" borderId="36" xfId="0" applyFont="1" applyFill="1" applyBorder="1" applyAlignment="1">
      <alignment horizontal="right" vertical="center"/>
    </xf>
    <xf numFmtId="0" fontId="23" fillId="2" borderId="0" xfId="0" applyFont="1" applyFill="1" applyAlignment="1">
      <alignment horizontal="right" vertical="center"/>
    </xf>
    <xf numFmtId="0" fontId="74" fillId="27" borderId="0" xfId="0" applyFont="1" applyFill="1" applyAlignment="1">
      <alignment vertical="center" wrapText="1"/>
    </xf>
    <xf numFmtId="0" fontId="1" fillId="2" borderId="7" xfId="0" applyFont="1" applyFill="1" applyBorder="1"/>
    <xf numFmtId="0" fontId="26" fillId="2" borderId="1" xfId="0" applyFont="1" applyFill="1" applyBorder="1" applyAlignment="1">
      <alignment vertical="center"/>
    </xf>
    <xf numFmtId="0" fontId="22" fillId="9" borderId="2" xfId="0" applyFont="1" applyFill="1" applyBorder="1" applyAlignment="1">
      <alignment vertical="center"/>
    </xf>
    <xf numFmtId="0" fontId="75" fillId="2" borderId="1" xfId="0" applyFont="1" applyFill="1" applyBorder="1" applyAlignment="1">
      <alignment horizontal="left" vertical="center" wrapText="1"/>
    </xf>
    <xf numFmtId="0" fontId="77" fillId="2" borderId="2" xfId="0" applyFont="1" applyFill="1" applyBorder="1" applyAlignment="1">
      <alignment vertical="center"/>
    </xf>
    <xf numFmtId="0" fontId="26" fillId="2" borderId="6" xfId="0" applyFont="1" applyFill="1" applyBorder="1"/>
    <xf numFmtId="0" fontId="26" fillId="2" borderId="7" xfId="0" applyFont="1" applyFill="1" applyBorder="1"/>
    <xf numFmtId="0" fontId="75" fillId="2" borderId="1" xfId="0" applyFont="1" applyFill="1" applyBorder="1" applyAlignment="1">
      <alignment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23" fillId="26" borderId="0" xfId="0" applyFont="1" applyFill="1"/>
    <xf numFmtId="0" fontId="77" fillId="2" borderId="2" xfId="0" applyFont="1" applyFill="1" applyBorder="1" applyAlignment="1">
      <alignment horizontal="left" vertical="center"/>
    </xf>
    <xf numFmtId="0" fontId="0" fillId="15" borderId="35" xfId="0" applyFont="1" applyFill="1" applyBorder="1" applyAlignment="1">
      <alignment horizontal="left" vertical="top" wrapText="1"/>
    </xf>
    <xf numFmtId="0" fontId="66" fillId="15" borderId="35" xfId="3" applyFont="1" applyFill="1" applyBorder="1" applyAlignment="1">
      <alignment horizontal="left" vertical="top" wrapText="1"/>
    </xf>
    <xf numFmtId="0" fontId="3" fillId="15" borderId="35" xfId="1" applyFill="1" applyBorder="1" applyAlignment="1">
      <alignment horizontal="right" vertical="center"/>
    </xf>
    <xf numFmtId="0" fontId="3" fillId="15" borderId="35" xfId="1" applyFill="1" applyBorder="1" applyAlignment="1">
      <alignment horizontal="right" vertical="center" wrapText="1"/>
    </xf>
    <xf numFmtId="0" fontId="38" fillId="15" borderId="35" xfId="3" applyFont="1" applyFill="1" applyBorder="1" applyAlignment="1">
      <alignment horizontal="center" vertical="center" wrapText="1"/>
    </xf>
    <xf numFmtId="0" fontId="0" fillId="15" borderId="35" xfId="0" applyFill="1" applyBorder="1" applyAlignment="1">
      <alignment horizontal="center" vertical="center"/>
    </xf>
    <xf numFmtId="0" fontId="25" fillId="15" borderId="35" xfId="0" applyFont="1" applyFill="1" applyBorder="1" applyAlignment="1">
      <alignment horizontal="center" vertical="center"/>
    </xf>
    <xf numFmtId="0" fontId="0" fillId="15" borderId="35" xfId="0" applyFont="1" applyFill="1" applyBorder="1" applyAlignment="1">
      <alignment horizontal="center" vertical="center"/>
    </xf>
    <xf numFmtId="0" fontId="33" fillId="11" borderId="35" xfId="0" applyFont="1" applyFill="1" applyBorder="1" applyAlignment="1">
      <alignment horizontal="left" vertical="top"/>
    </xf>
    <xf numFmtId="0" fontId="2" fillId="8" borderId="35" xfId="0" applyFont="1" applyFill="1" applyBorder="1" applyAlignment="1">
      <alignment horizontal="left" vertical="center"/>
    </xf>
    <xf numFmtId="0" fontId="33" fillId="11" borderId="45" xfId="0" applyFont="1" applyFill="1" applyBorder="1"/>
    <xf numFmtId="0" fontId="0" fillId="11" borderId="46" xfId="0" applyFill="1" applyBorder="1"/>
    <xf numFmtId="0" fontId="38" fillId="27" borderId="35" xfId="3" applyFont="1" applyFill="1" applyBorder="1" applyAlignment="1">
      <alignment horizontal="center" vertical="center" wrapText="1"/>
    </xf>
    <xf numFmtId="0" fontId="2" fillId="7" borderId="35" xfId="0" applyFont="1" applyFill="1" applyBorder="1" applyAlignment="1">
      <alignment horizontal="center"/>
    </xf>
    <xf numFmtId="0" fontId="33" fillId="11" borderId="0" xfId="0" applyFont="1" applyFill="1" applyAlignment="1">
      <alignment vertical="center"/>
    </xf>
    <xf numFmtId="0" fontId="2" fillId="0" borderId="35" xfId="0" applyFont="1" applyBorder="1"/>
    <xf numFmtId="0" fontId="0" fillId="32" borderId="35" xfId="0" applyFill="1" applyBorder="1"/>
    <xf numFmtId="0" fontId="0" fillId="26" borderId="35" xfId="0" applyFill="1" applyBorder="1"/>
    <xf numFmtId="0" fontId="0" fillId="8" borderId="35" xfId="0" applyFill="1" applyBorder="1"/>
    <xf numFmtId="0" fontId="28" fillId="0" borderId="35" xfId="0" applyFont="1" applyBorder="1"/>
    <xf numFmtId="0" fontId="0" fillId="9" borderId="35" xfId="0" applyFill="1" applyBorder="1"/>
    <xf numFmtId="0" fontId="26" fillId="9" borderId="35" xfId="0" applyFont="1" applyFill="1" applyBorder="1"/>
    <xf numFmtId="0" fontId="0" fillId="4" borderId="35" xfId="0" applyFill="1" applyBorder="1"/>
    <xf numFmtId="0" fontId="26" fillId="4" borderId="35" xfId="0" applyFont="1" applyFill="1" applyBorder="1"/>
    <xf numFmtId="0" fontId="26" fillId="11" borderId="35" xfId="0" applyFont="1" applyFill="1" applyBorder="1"/>
    <xf numFmtId="0" fontId="23" fillId="11" borderId="35" xfId="0" applyFont="1" applyFill="1" applyBorder="1"/>
    <xf numFmtId="0" fontId="2" fillId="14" borderId="35" xfId="0" applyFont="1" applyFill="1" applyBorder="1"/>
    <xf numFmtId="0" fontId="0" fillId="14" borderId="35" xfId="0" applyFill="1" applyBorder="1"/>
    <xf numFmtId="0" fontId="2" fillId="2" borderId="35" xfId="0" applyFont="1" applyFill="1" applyBorder="1"/>
    <xf numFmtId="0" fontId="0" fillId="2" borderId="35" xfId="0" applyFill="1" applyBorder="1"/>
    <xf numFmtId="0" fontId="26" fillId="14" borderId="35" xfId="0" applyFont="1" applyFill="1" applyBorder="1"/>
    <xf numFmtId="0" fontId="0" fillId="28" borderId="35" xfId="0" applyFill="1" applyBorder="1"/>
    <xf numFmtId="0" fontId="26" fillId="28" borderId="35" xfId="0" applyFont="1" applyFill="1" applyBorder="1"/>
    <xf numFmtId="0" fontId="26" fillId="19" borderId="35" xfId="0" applyFont="1" applyFill="1" applyBorder="1" applyAlignment="1">
      <alignment horizontal="center" vertical="center"/>
    </xf>
    <xf numFmtId="0" fontId="26" fillId="19" borderId="35" xfId="0" applyFont="1" applyFill="1" applyBorder="1"/>
    <xf numFmtId="0" fontId="23" fillId="19" borderId="35" xfId="0" applyFont="1" applyFill="1" applyBorder="1"/>
    <xf numFmtId="0" fontId="0" fillId="19" borderId="35" xfId="0" applyFill="1" applyBorder="1"/>
    <xf numFmtId="0" fontId="23" fillId="31" borderId="35" xfId="0" applyFont="1" applyFill="1" applyBorder="1"/>
    <xf numFmtId="0" fontId="0" fillId="31" borderId="35" xfId="0" applyFill="1" applyBorder="1"/>
    <xf numFmtId="0" fontId="26" fillId="31" borderId="35" xfId="0" applyFont="1" applyFill="1" applyBorder="1"/>
    <xf numFmtId="0" fontId="2" fillId="5" borderId="35" xfId="0" applyFont="1" applyFill="1" applyBorder="1"/>
    <xf numFmtId="0" fontId="0" fillId="5" borderId="35" xfId="0" applyFill="1" applyBorder="1"/>
    <xf numFmtId="0" fontId="26" fillId="5" borderId="35" xfId="0" applyFont="1" applyFill="1" applyBorder="1"/>
    <xf numFmtId="0" fontId="23" fillId="5" borderId="35" xfId="0" applyFont="1" applyFill="1" applyBorder="1"/>
    <xf numFmtId="0" fontId="26" fillId="25" borderId="35" xfId="0" applyFont="1" applyFill="1" applyBorder="1"/>
    <xf numFmtId="0" fontId="26" fillId="0" borderId="35" xfId="0" applyFont="1" applyBorder="1"/>
    <xf numFmtId="0" fontId="26" fillId="23" borderId="35" xfId="0" applyFont="1" applyFill="1" applyBorder="1"/>
    <xf numFmtId="0" fontId="0" fillId="23" borderId="35" xfId="0" applyFill="1" applyBorder="1"/>
    <xf numFmtId="0" fontId="23" fillId="26" borderId="35" xfId="0" applyFont="1" applyFill="1" applyBorder="1" applyAlignment="1">
      <alignment horizontal="right" vertical="center"/>
    </xf>
    <xf numFmtId="0" fontId="26" fillId="19" borderId="35" xfId="0" applyFont="1" applyFill="1" applyBorder="1" applyAlignment="1">
      <alignment horizontal="right" vertical="center"/>
    </xf>
    <xf numFmtId="0" fontId="26" fillId="26" borderId="35" xfId="0" applyFont="1" applyFill="1" applyBorder="1" applyAlignment="1">
      <alignment horizontal="right" vertical="center"/>
    </xf>
    <xf numFmtId="0" fontId="26" fillId="26" borderId="35" xfId="0" applyFont="1" applyFill="1" applyBorder="1" applyAlignment="1">
      <alignment vertical="center" wrapText="1"/>
    </xf>
    <xf numFmtId="0" fontId="26" fillId="26" borderId="35" xfId="0" applyFont="1" applyFill="1" applyBorder="1" applyAlignment="1">
      <alignment vertical="center"/>
    </xf>
    <xf numFmtId="0" fontId="0" fillId="26" borderId="35" xfId="0" applyFill="1" applyBorder="1" applyAlignment="1">
      <alignment vertical="center"/>
    </xf>
    <xf numFmtId="0" fontId="0" fillId="19" borderId="35" xfId="0" applyFill="1" applyBorder="1" applyAlignment="1">
      <alignment vertical="center"/>
    </xf>
    <xf numFmtId="0" fontId="14" fillId="26" borderId="35" xfId="0" applyFont="1" applyFill="1" applyBorder="1" applyAlignment="1">
      <alignment horizontal="center" vertical="center"/>
    </xf>
    <xf numFmtId="0" fontId="26" fillId="19" borderId="35" xfId="0" applyFont="1" applyFill="1" applyBorder="1" applyAlignment="1">
      <alignment vertical="center"/>
    </xf>
    <xf numFmtId="0" fontId="26" fillId="23" borderId="35" xfId="0" applyFont="1" applyFill="1" applyBorder="1" applyAlignment="1">
      <alignment vertical="center"/>
    </xf>
    <xf numFmtId="0" fontId="0" fillId="23" borderId="35" xfId="0" applyFill="1" applyBorder="1" applyAlignment="1">
      <alignment vertical="center"/>
    </xf>
    <xf numFmtId="0" fontId="26" fillId="16" borderId="35" xfId="0" applyFont="1" applyFill="1" applyBorder="1" applyAlignment="1">
      <alignment vertical="center" wrapText="1"/>
    </xf>
    <xf numFmtId="0" fontId="26" fillId="15" borderId="35" xfId="0" applyFont="1" applyFill="1" applyBorder="1" applyAlignment="1">
      <alignment vertical="center"/>
    </xf>
    <xf numFmtId="0" fontId="26" fillId="0" borderId="35" xfId="0" applyFont="1" applyBorder="1" applyAlignment="1">
      <alignment vertical="center"/>
    </xf>
    <xf numFmtId="0" fontId="26" fillId="8" borderId="35" xfId="0" applyFont="1" applyFill="1" applyBorder="1" applyAlignment="1">
      <alignment horizontal="right" vertical="center"/>
    </xf>
    <xf numFmtId="0" fontId="26" fillId="8" borderId="35" xfId="0" applyFont="1" applyFill="1" applyBorder="1" applyAlignment="1">
      <alignment horizontal="left" vertical="center"/>
    </xf>
    <xf numFmtId="0" fontId="0" fillId="0" borderId="35" xfId="0" applyBorder="1" applyAlignment="1">
      <alignment vertical="center"/>
    </xf>
    <xf numFmtId="0" fontId="23" fillId="19" borderId="35" xfId="0" applyFont="1" applyFill="1" applyBorder="1" applyAlignment="1">
      <alignment vertical="center"/>
    </xf>
    <xf numFmtId="0" fontId="85" fillId="4" borderId="35" xfId="0" applyFont="1" applyFill="1" applyBorder="1" applyAlignment="1">
      <alignment vertical="center"/>
    </xf>
    <xf numFmtId="0" fontId="76" fillId="0" borderId="35" xfId="0" applyFont="1" applyBorder="1"/>
    <xf numFmtId="0" fontId="84" fillId="20" borderId="35" xfId="0" applyFont="1" applyFill="1" applyBorder="1"/>
    <xf numFmtId="0" fontId="24" fillId="0" borderId="35" xfId="0" applyFont="1" applyBorder="1"/>
    <xf numFmtId="0" fontId="18" fillId="0" borderId="35" xfId="0" applyFont="1" applyBorder="1"/>
    <xf numFmtId="0" fontId="1" fillId="0" borderId="35" xfId="0" applyFont="1" applyBorder="1"/>
    <xf numFmtId="0" fontId="24" fillId="19" borderId="35" xfId="0" applyFont="1" applyFill="1" applyBorder="1"/>
    <xf numFmtId="0" fontId="2" fillId="5" borderId="35" xfId="0" applyFont="1" applyFill="1" applyBorder="1" applyAlignment="1">
      <alignment vertical="center"/>
    </xf>
    <xf numFmtId="0" fontId="23" fillId="15" borderId="35" xfId="0" applyFont="1" applyFill="1" applyBorder="1"/>
    <xf numFmtId="0" fontId="23" fillId="26" borderId="35" xfId="0" applyFont="1" applyFill="1" applyBorder="1"/>
    <xf numFmtId="0" fontId="14" fillId="0" borderId="35" xfId="0" applyFont="1" applyBorder="1"/>
    <xf numFmtId="0" fontId="14" fillId="19" borderId="35" xfId="0" applyFont="1" applyFill="1" applyBorder="1"/>
    <xf numFmtId="0" fontId="14" fillId="26" borderId="35" xfId="0" applyFont="1" applyFill="1" applyBorder="1"/>
    <xf numFmtId="0" fontId="25" fillId="0" borderId="35" xfId="0" applyFont="1" applyBorder="1"/>
    <xf numFmtId="0" fontId="26" fillId="26" borderId="35" xfId="0" applyFont="1" applyFill="1" applyBorder="1"/>
    <xf numFmtId="0" fontId="23" fillId="8" borderId="35" xfId="0" applyFont="1" applyFill="1" applyBorder="1"/>
    <xf numFmtId="0" fontId="23" fillId="7" borderId="35" xfId="0" applyFont="1" applyFill="1" applyBorder="1"/>
    <xf numFmtId="0" fontId="23" fillId="9" borderId="35" xfId="0" applyFont="1" applyFill="1" applyBorder="1"/>
    <xf numFmtId="0" fontId="23" fillId="24" borderId="35" xfId="0" applyFont="1" applyFill="1" applyBorder="1"/>
    <xf numFmtId="0" fontId="23" fillId="4" borderId="35" xfId="0" applyFont="1" applyFill="1" applyBorder="1"/>
    <xf numFmtId="0" fontId="26" fillId="8" borderId="35" xfId="0" applyFont="1" applyFill="1" applyBorder="1"/>
    <xf numFmtId="0" fontId="28" fillId="0" borderId="35" xfId="0" applyFont="1" applyBorder="1" applyAlignment="1">
      <alignment horizontal="left" vertical="center"/>
    </xf>
    <xf numFmtId="0" fontId="33" fillId="11" borderId="35" xfId="0" applyFont="1" applyFill="1" applyBorder="1"/>
    <xf numFmtId="0" fontId="0" fillId="11" borderId="43" xfId="0" applyFill="1" applyBorder="1"/>
    <xf numFmtId="0" fontId="0" fillId="2" borderId="43" xfId="0" applyFill="1" applyBorder="1"/>
    <xf numFmtId="0" fontId="0" fillId="0" borderId="43" xfId="0" applyBorder="1"/>
    <xf numFmtId="0" fontId="0" fillId="5" borderId="43" xfId="0" applyFill="1" applyBorder="1"/>
    <xf numFmtId="0" fontId="0" fillId="0" borderId="43" xfId="0" applyBorder="1" applyAlignment="1">
      <alignment vertical="center"/>
    </xf>
    <xf numFmtId="0" fontId="0" fillId="4" borderId="43" xfId="0" applyFill="1" applyBorder="1"/>
    <xf numFmtId="0" fontId="1" fillId="0" borderId="43" xfId="0" applyFont="1" applyBorder="1"/>
    <xf numFmtId="0" fontId="14" fillId="0" borderId="43" xfId="0" applyFont="1" applyBorder="1"/>
    <xf numFmtId="0" fontId="2" fillId="14" borderId="48" xfId="0" applyFont="1" applyFill="1" applyBorder="1"/>
    <xf numFmtId="0" fontId="0" fillId="0" borderId="48" xfId="0" applyBorder="1"/>
    <xf numFmtId="0" fontId="0" fillId="5" borderId="48" xfId="0" applyFill="1" applyBorder="1"/>
    <xf numFmtId="0" fontId="0" fillId="4" borderId="48" xfId="0" applyFill="1" applyBorder="1"/>
    <xf numFmtId="0" fontId="33" fillId="9" borderId="48" xfId="0" applyFont="1" applyFill="1" applyBorder="1"/>
    <xf numFmtId="0" fontId="23" fillId="8" borderId="35" xfId="0" applyFont="1" applyFill="1" applyBorder="1" applyAlignment="1">
      <alignment horizontal="left" vertical="center"/>
    </xf>
    <xf numFmtId="0" fontId="23" fillId="9" borderId="35" xfId="0" applyFont="1" applyFill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8" fillId="25" borderId="35" xfId="0" applyFont="1" applyFill="1" applyBorder="1" applyAlignment="1">
      <alignment horizontal="left" vertical="center"/>
    </xf>
    <xf numFmtId="0" fontId="28" fillId="25" borderId="35" xfId="0" applyFont="1" applyFill="1" applyBorder="1" applyAlignment="1">
      <alignment horizontal="center" vertical="center" wrapText="1"/>
    </xf>
    <xf numFmtId="0" fontId="25" fillId="25" borderId="35" xfId="0" applyFont="1" applyFill="1" applyBorder="1" applyAlignment="1">
      <alignment horizontal="left" vertical="center"/>
    </xf>
    <xf numFmtId="0" fontId="0" fillId="25" borderId="35" xfId="0" applyFill="1" applyBorder="1" applyAlignment="1">
      <alignment horizontal="center" vertical="center" wrapText="1"/>
    </xf>
    <xf numFmtId="0" fontId="0" fillId="25" borderId="35" xfId="0" applyFill="1" applyBorder="1" applyAlignment="1">
      <alignment horizontal="left" vertical="top"/>
    </xf>
    <xf numFmtId="0" fontId="28" fillId="25" borderId="35" xfId="0" applyFont="1" applyFill="1" applyBorder="1" applyAlignment="1">
      <alignment horizontal="left" vertical="top"/>
    </xf>
    <xf numFmtId="0" fontId="25" fillId="25" borderId="35" xfId="0" applyFont="1" applyFill="1" applyBorder="1" applyAlignment="1">
      <alignment horizontal="center" vertical="center" wrapText="1"/>
    </xf>
    <xf numFmtId="0" fontId="28" fillId="25" borderId="35" xfId="0" applyFont="1" applyFill="1" applyBorder="1" applyAlignment="1">
      <alignment horizontal="left" vertical="center" wrapText="1"/>
    </xf>
    <xf numFmtId="0" fontId="2" fillId="25" borderId="35" xfId="0" applyFont="1" applyFill="1" applyBorder="1" applyAlignment="1">
      <alignment horizontal="left" vertical="top"/>
    </xf>
    <xf numFmtId="0" fontId="66" fillId="14" borderId="35" xfId="3" applyFont="1" applyFill="1" applyBorder="1" applyAlignment="1">
      <alignment horizontal="left" vertical="top"/>
    </xf>
    <xf numFmtId="0" fontId="3" fillId="14" borderId="35" xfId="1" applyFill="1" applyBorder="1" applyAlignment="1">
      <alignment horizontal="right" vertical="top"/>
    </xf>
    <xf numFmtId="0" fontId="46" fillId="14" borderId="35" xfId="5" applyFill="1" applyBorder="1" applyAlignment="1">
      <alignment horizontal="left" vertical="top"/>
    </xf>
    <xf numFmtId="0" fontId="25" fillId="14" borderId="35" xfId="0" applyFont="1" applyFill="1" applyBorder="1" applyAlignment="1">
      <alignment horizontal="center" vertical="center"/>
    </xf>
    <xf numFmtId="0" fontId="3" fillId="14" borderId="35" xfId="1" applyFill="1" applyBorder="1" applyAlignment="1">
      <alignment horizontal="right" vertical="center"/>
    </xf>
    <xf numFmtId="0" fontId="0" fillId="14" borderId="35" xfId="0" applyFill="1" applyBorder="1" applyAlignment="1">
      <alignment horizontal="center" vertical="center"/>
    </xf>
    <xf numFmtId="0" fontId="0" fillId="14" borderId="35" xfId="0" applyFill="1" applyBorder="1" applyAlignment="1">
      <alignment horizontal="right"/>
    </xf>
    <xf numFmtId="0" fontId="69" fillId="14" borderId="35" xfId="0" applyFont="1" applyFill="1" applyBorder="1" applyAlignment="1">
      <alignment horizontal="right" vertical="top" wrapText="1"/>
    </xf>
    <xf numFmtId="0" fontId="3" fillId="14" borderId="35" xfId="1" applyFill="1" applyBorder="1" applyAlignment="1">
      <alignment horizontal="right"/>
    </xf>
    <xf numFmtId="0" fontId="40" fillId="14" borderId="35" xfId="3" applyFont="1" applyFill="1" applyBorder="1" applyAlignment="1">
      <alignment horizontal="left" vertical="top" wrapText="1"/>
    </xf>
    <xf numFmtId="0" fontId="71" fillId="14" borderId="35" xfId="0" applyFont="1" applyFill="1" applyBorder="1" applyAlignment="1">
      <alignment horizontal="left" vertical="top"/>
    </xf>
    <xf numFmtId="0" fontId="28" fillId="14" borderId="35" xfId="0" applyFont="1" applyFill="1" applyBorder="1" applyAlignment="1">
      <alignment horizontal="center" vertical="center"/>
    </xf>
    <xf numFmtId="0" fontId="28" fillId="14" borderId="35" xfId="3" applyFont="1" applyFill="1" applyBorder="1" applyAlignment="1">
      <alignment horizontal="center" vertical="center" wrapText="1"/>
    </xf>
    <xf numFmtId="0" fontId="57" fillId="2" borderId="47" xfId="0" applyFont="1" applyFill="1" applyBorder="1"/>
    <xf numFmtId="0" fontId="2" fillId="7" borderId="35" xfId="0" applyFont="1" applyFill="1" applyBorder="1"/>
    <xf numFmtId="0" fontId="2" fillId="7" borderId="43" xfId="0" applyFont="1" applyFill="1" applyBorder="1"/>
    <xf numFmtId="0" fontId="2" fillId="7" borderId="44" xfId="0" applyFont="1" applyFill="1" applyBorder="1"/>
    <xf numFmtId="0" fontId="0" fillId="14" borderId="35" xfId="0" applyFill="1" applyBorder="1" applyAlignment="1">
      <alignment horizontal="left" vertical="top" wrapText="1"/>
    </xf>
    <xf numFmtId="0" fontId="87" fillId="27" borderId="35" xfId="0" applyFont="1" applyFill="1" applyBorder="1"/>
    <xf numFmtId="0" fontId="23" fillId="0" borderId="35" xfId="0" applyFont="1" applyBorder="1"/>
    <xf numFmtId="0" fontId="0" fillId="11" borderId="48" xfId="0" applyFill="1" applyBorder="1"/>
    <xf numFmtId="0" fontId="0" fillId="26" borderId="43" xfId="0" applyFill="1" applyBorder="1"/>
    <xf numFmtId="0" fontId="0" fillId="26" borderId="48" xfId="0" applyFill="1" applyBorder="1"/>
    <xf numFmtId="0" fontId="0" fillId="8" borderId="48" xfId="0" applyFill="1" applyBorder="1"/>
    <xf numFmtId="0" fontId="0" fillId="8" borderId="43" xfId="0" applyFill="1" applyBorder="1"/>
    <xf numFmtId="0" fontId="0" fillId="9" borderId="43" xfId="0" applyFill="1" applyBorder="1"/>
    <xf numFmtId="0" fontId="0" fillId="9" borderId="48" xfId="0" applyFill="1" applyBorder="1"/>
    <xf numFmtId="0" fontId="88" fillId="2" borderId="0" xfId="0" applyFont="1" applyFill="1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0" fillId="10" borderId="35" xfId="0" applyFill="1" applyBorder="1"/>
    <xf numFmtId="0" fontId="0" fillId="26" borderId="44" xfId="0" applyFill="1" applyBorder="1"/>
    <xf numFmtId="0" fontId="0" fillId="0" borderId="49" xfId="0" applyBorder="1"/>
    <xf numFmtId="0" fontId="0" fillId="8" borderId="50" xfId="0" applyFill="1" applyBorder="1"/>
    <xf numFmtId="0" fontId="0" fillId="0" borderId="50" xfId="0" applyBorder="1"/>
    <xf numFmtId="0" fontId="0" fillId="18" borderId="52" xfId="0" applyFill="1" applyBorder="1"/>
    <xf numFmtId="0" fontId="0" fillId="18" borderId="53" xfId="0" applyFill="1" applyBorder="1"/>
    <xf numFmtId="0" fontId="2" fillId="18" borderId="51" xfId="0" applyFont="1" applyFill="1" applyBorder="1"/>
    <xf numFmtId="0" fontId="2" fillId="26" borderId="51" xfId="0" applyFont="1" applyFill="1" applyBorder="1"/>
    <xf numFmtId="0" fontId="0" fillId="26" borderId="52" xfId="0" applyFill="1" applyBorder="1"/>
    <xf numFmtId="0" fontId="0" fillId="26" borderId="53" xfId="0" applyFill="1" applyBorder="1"/>
    <xf numFmtId="0" fontId="0" fillId="10" borderId="55" xfId="0" applyFill="1" applyBorder="1"/>
    <xf numFmtId="0" fontId="38" fillId="0" borderId="54" xfId="0" applyFont="1" applyBorder="1" applyAlignment="1">
      <alignment horizontal="right"/>
    </xf>
    <xf numFmtId="0" fontId="87" fillId="26" borderId="35" xfId="0" applyFont="1" applyFill="1" applyBorder="1"/>
    <xf numFmtId="0" fontId="0" fillId="9" borderId="35" xfId="0" applyFont="1" applyFill="1" applyBorder="1"/>
    <xf numFmtId="0" fontId="25" fillId="26" borderId="35" xfId="0" applyFont="1" applyFill="1" applyBorder="1"/>
    <xf numFmtId="0" fontId="0" fillId="4" borderId="35" xfId="0" applyFont="1" applyFill="1" applyBorder="1"/>
    <xf numFmtId="0" fontId="0" fillId="4" borderId="43" xfId="0" applyFont="1" applyFill="1" applyBorder="1"/>
    <xf numFmtId="0" fontId="0" fillId="4" borderId="48" xfId="0" applyFont="1" applyFill="1" applyBorder="1"/>
    <xf numFmtId="0" fontId="0" fillId="28" borderId="0" xfId="0" applyFont="1" applyFill="1"/>
    <xf numFmtId="0" fontId="23" fillId="33" borderId="0" xfId="0" applyFont="1" applyFill="1"/>
    <xf numFmtId="0" fontId="0" fillId="33" borderId="0" xfId="0" applyFill="1"/>
    <xf numFmtId="0" fontId="26" fillId="33" borderId="0" xfId="0" applyFont="1" applyFill="1"/>
    <xf numFmtId="0" fontId="26" fillId="33" borderId="0" xfId="0" applyFont="1" applyFill="1" applyAlignment="1">
      <alignment vertical="center"/>
    </xf>
    <xf numFmtId="0" fontId="0" fillId="33" borderId="0" xfId="0" applyFill="1" applyAlignment="1">
      <alignment vertical="center"/>
    </xf>
    <xf numFmtId="0" fontId="0" fillId="2" borderId="7" xfId="0" applyFill="1" applyBorder="1" applyAlignment="1">
      <alignment horizontal="right" vertical="center"/>
    </xf>
    <xf numFmtId="0" fontId="0" fillId="29" borderId="35" xfId="0" applyFill="1" applyBorder="1" applyAlignment="1">
      <alignment horizontal="left" vertical="top" wrapText="1"/>
    </xf>
    <xf numFmtId="0" fontId="66" fillId="29" borderId="35" xfId="3" applyFont="1" applyFill="1" applyBorder="1" applyAlignment="1">
      <alignment horizontal="left" vertical="top"/>
    </xf>
    <xf numFmtId="0" fontId="3" fillId="29" borderId="35" xfId="1" applyFill="1" applyBorder="1" applyAlignment="1">
      <alignment horizontal="right" vertical="top"/>
    </xf>
    <xf numFmtId="0" fontId="46" fillId="29" borderId="35" xfId="5" applyFill="1" applyBorder="1" applyAlignment="1">
      <alignment horizontal="left" vertical="top"/>
    </xf>
    <xf numFmtId="0" fontId="28" fillId="29" borderId="35" xfId="0" applyFont="1" applyFill="1" applyBorder="1" applyAlignment="1">
      <alignment horizontal="center" vertical="center"/>
    </xf>
    <xf numFmtId="0" fontId="25" fillId="29" borderId="35" xfId="0" applyFont="1" applyFill="1" applyBorder="1" applyAlignment="1">
      <alignment horizontal="center" vertical="center"/>
    </xf>
    <xf numFmtId="0" fontId="77" fillId="2" borderId="6" xfId="0" applyFont="1" applyFill="1" applyBorder="1" applyAlignment="1">
      <alignment horizontal="center" vertical="center"/>
    </xf>
    <xf numFmtId="0" fontId="75" fillId="19" borderId="0" xfId="0" applyFont="1" applyFill="1"/>
    <xf numFmtId="0" fontId="88" fillId="2" borderId="2" xfId="0" applyFont="1" applyFill="1" applyBorder="1" applyAlignment="1">
      <alignment vertical="center"/>
    </xf>
    <xf numFmtId="0" fontId="75" fillId="2" borderId="6" xfId="0" applyFont="1" applyFill="1" applyBorder="1" applyAlignment="1">
      <alignment vertical="center"/>
    </xf>
    <xf numFmtId="0" fontId="75" fillId="19" borderId="32" xfId="0" applyFont="1" applyFill="1" applyBorder="1"/>
    <xf numFmtId="0" fontId="75" fillId="2" borderId="6" xfId="0" applyFont="1" applyFill="1" applyBorder="1"/>
    <xf numFmtId="0" fontId="75" fillId="2" borderId="1" xfId="0" applyFont="1" applyFill="1" applyBorder="1" applyAlignment="1">
      <alignment vertical="center"/>
    </xf>
    <xf numFmtId="0" fontId="75" fillId="19" borderId="0" xfId="0" applyFont="1" applyFill="1" applyAlignment="1">
      <alignment vertical="center"/>
    </xf>
    <xf numFmtId="0" fontId="75" fillId="17" borderId="0" xfId="0" applyFont="1" applyFill="1" applyAlignment="1">
      <alignment vertical="center"/>
    </xf>
    <xf numFmtId="0" fontId="75" fillId="2" borderId="7" xfId="0" applyFont="1" applyFill="1" applyBorder="1"/>
    <xf numFmtId="0" fontId="75" fillId="0" borderId="0" xfId="0" applyFont="1" applyFill="1"/>
    <xf numFmtId="0" fontId="75" fillId="0" borderId="0" xfId="0" applyFont="1"/>
    <xf numFmtId="0" fontId="0" fillId="0" borderId="56" xfId="0" applyFill="1" applyBorder="1"/>
    <xf numFmtId="0" fontId="84" fillId="0" borderId="33" xfId="0" applyFont="1" applyBorder="1"/>
    <xf numFmtId="0" fontId="22" fillId="2" borderId="0" xfId="0" applyFont="1" applyFill="1" applyAlignment="1">
      <alignment horizontal="left"/>
    </xf>
    <xf numFmtId="0" fontId="22" fillId="2" borderId="0" xfId="0" applyFont="1" applyFill="1"/>
    <xf numFmtId="0" fontId="26" fillId="16" borderId="2" xfId="0" applyFont="1" applyFill="1" applyBorder="1" applyAlignment="1">
      <alignment vertical="center" wrapText="1"/>
    </xf>
    <xf numFmtId="0" fontId="26" fillId="16" borderId="6" xfId="0" applyFont="1" applyFill="1" applyBorder="1" applyAlignment="1">
      <alignment vertical="center" wrapText="1"/>
    </xf>
    <xf numFmtId="0" fontId="26" fillId="16" borderId="7" xfId="0" applyFont="1" applyFill="1" applyBorder="1" applyAlignment="1">
      <alignment vertical="center" wrapText="1"/>
    </xf>
    <xf numFmtId="0" fontId="26" fillId="16" borderId="1" xfId="0" applyFont="1" applyFill="1" applyBorder="1" applyAlignment="1">
      <alignment vertical="center"/>
    </xf>
    <xf numFmtId="0" fontId="75" fillId="9" borderId="1" xfId="0" applyFont="1" applyFill="1" applyBorder="1" applyAlignment="1">
      <alignment vertical="center" wrapText="1"/>
    </xf>
    <xf numFmtId="0" fontId="73" fillId="7" borderId="1" xfId="0" applyFont="1" applyFill="1" applyBorder="1" applyAlignment="1">
      <alignment horizontal="center" vertical="center" wrapText="1"/>
    </xf>
    <xf numFmtId="0" fontId="75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vertical="center"/>
    </xf>
    <xf numFmtId="0" fontId="88" fillId="2" borderId="1" xfId="0" applyFont="1" applyFill="1" applyBorder="1" applyAlignment="1">
      <alignment vertical="center"/>
    </xf>
    <xf numFmtId="0" fontId="88" fillId="2" borderId="7" xfId="0" applyFont="1" applyFill="1" applyBorder="1" applyAlignment="1">
      <alignment vertical="center"/>
    </xf>
    <xf numFmtId="0" fontId="26" fillId="2" borderId="2" xfId="0" applyFont="1" applyFill="1" applyBorder="1" applyAlignment="1">
      <alignment horizontal="left" vertical="center"/>
    </xf>
    <xf numFmtId="0" fontId="88" fillId="9" borderId="1" xfId="0" applyFont="1" applyFill="1" applyBorder="1" applyAlignment="1">
      <alignment vertical="center" wrapText="1"/>
    </xf>
    <xf numFmtId="0" fontId="26" fillId="16" borderId="2" xfId="0" applyFont="1" applyFill="1" applyBorder="1" applyAlignment="1">
      <alignment vertical="center"/>
    </xf>
    <xf numFmtId="0" fontId="26" fillId="16" borderId="6" xfId="0" applyFont="1" applyFill="1" applyBorder="1" applyAlignment="1">
      <alignment vertical="center"/>
    </xf>
    <xf numFmtId="0" fontId="75" fillId="2" borderId="6" xfId="0" applyFont="1" applyFill="1" applyBorder="1" applyAlignment="1">
      <alignment vertical="center" wrapText="1"/>
    </xf>
    <xf numFmtId="0" fontId="75" fillId="9" borderId="4" xfId="0" applyFont="1" applyFill="1" applyBorder="1" applyAlignment="1">
      <alignment vertical="center" wrapText="1"/>
    </xf>
    <xf numFmtId="0" fontId="88" fillId="9" borderId="2" xfId="0" applyFont="1" applyFill="1" applyBorder="1" applyAlignment="1">
      <alignment vertical="center" wrapText="1"/>
    </xf>
    <xf numFmtId="0" fontId="88" fillId="9" borderId="7" xfId="0" applyFont="1" applyFill="1" applyBorder="1" applyAlignment="1">
      <alignment vertical="center" wrapText="1"/>
    </xf>
    <xf numFmtId="0" fontId="88" fillId="2" borderId="17" xfId="0" applyFont="1" applyFill="1" applyBorder="1" applyAlignment="1">
      <alignment horizontal="left" vertical="center"/>
    </xf>
    <xf numFmtId="0" fontId="75" fillId="2" borderId="31" xfId="0" applyFont="1" applyFill="1" applyBorder="1" applyAlignment="1">
      <alignment vertical="center"/>
    </xf>
    <xf numFmtId="0" fontId="88" fillId="2" borderId="31" xfId="0" applyFont="1" applyFill="1" applyBorder="1" applyAlignment="1">
      <alignment vertical="center"/>
    </xf>
    <xf numFmtId="0" fontId="88" fillId="2" borderId="39" xfId="0" applyFont="1" applyFill="1" applyBorder="1" applyAlignment="1">
      <alignment vertical="center"/>
    </xf>
    <xf numFmtId="0" fontId="88" fillId="2" borderId="6" xfId="0" applyFont="1" applyFill="1" applyBorder="1" applyAlignment="1">
      <alignment vertical="center"/>
    </xf>
    <xf numFmtId="0" fontId="26" fillId="16" borderId="1" xfId="0" applyFont="1" applyFill="1" applyBorder="1" applyAlignment="1">
      <alignment vertical="center" wrapText="1"/>
    </xf>
    <xf numFmtId="0" fontId="26" fillId="26" borderId="2" xfId="0" applyFont="1" applyFill="1" applyBorder="1" applyAlignment="1">
      <alignment vertical="center"/>
    </xf>
    <xf numFmtId="0" fontId="26" fillId="26" borderId="6" xfId="0" applyFont="1" applyFill="1" applyBorder="1" applyAlignment="1">
      <alignment vertical="center"/>
    </xf>
    <xf numFmtId="0" fontId="26" fillId="26" borderId="7" xfId="0" applyFont="1" applyFill="1" applyBorder="1" applyAlignment="1">
      <alignment vertical="center"/>
    </xf>
    <xf numFmtId="0" fontId="26" fillId="26" borderId="1" xfId="0" applyFont="1" applyFill="1" applyBorder="1" applyAlignment="1">
      <alignment vertical="center"/>
    </xf>
    <xf numFmtId="49" fontId="73" fillId="2" borderId="0" xfId="0" applyNumberFormat="1" applyFont="1" applyFill="1" applyBorder="1" applyAlignment="1">
      <alignment horizontal="left" vertical="center"/>
    </xf>
    <xf numFmtId="0" fontId="73" fillId="2" borderId="0" xfId="0" applyFont="1" applyFill="1" applyBorder="1" applyAlignment="1">
      <alignment horizontal="right" vertical="center"/>
    </xf>
    <xf numFmtId="49" fontId="73" fillId="4" borderId="0" xfId="0" applyNumberFormat="1" applyFont="1" applyFill="1" applyBorder="1" applyAlignment="1">
      <alignment horizontal="left" wrapText="1"/>
    </xf>
    <xf numFmtId="0" fontId="73" fillId="4" borderId="0" xfId="0" applyFont="1" applyFill="1" applyBorder="1" applyAlignment="1">
      <alignment horizontal="left" wrapText="1"/>
    </xf>
    <xf numFmtId="0" fontId="75" fillId="2" borderId="2" xfId="0" applyFont="1" applyFill="1" applyBorder="1" applyAlignment="1">
      <alignment vertical="center"/>
    </xf>
    <xf numFmtId="0" fontId="75" fillId="2" borderId="4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0" fillId="15" borderId="6" xfId="0" applyFill="1" applyBorder="1"/>
    <xf numFmtId="0" fontId="0" fillId="15" borderId="7" xfId="0" applyFill="1" applyBorder="1"/>
    <xf numFmtId="0" fontId="1" fillId="15" borderId="1" xfId="0" applyFont="1" applyFill="1" applyBorder="1" applyAlignment="1">
      <alignment horizontal="center" vertical="center"/>
    </xf>
    <xf numFmtId="0" fontId="26" fillId="15" borderId="7" xfId="0" applyFont="1" applyFill="1" applyBorder="1" applyAlignment="1">
      <alignment vertical="center"/>
    </xf>
    <xf numFmtId="0" fontId="26" fillId="19" borderId="0" xfId="0" applyFont="1" applyFill="1" applyBorder="1"/>
    <xf numFmtId="0" fontId="84" fillId="0" borderId="0" xfId="0" applyFont="1"/>
    <xf numFmtId="0" fontId="75" fillId="2" borderId="7" xfId="0" applyFont="1" applyFill="1" applyBorder="1" applyAlignment="1">
      <alignment horizontal="center" vertical="center" wrapText="1"/>
    </xf>
    <xf numFmtId="0" fontId="43" fillId="14" borderId="0" xfId="3" applyFont="1" applyFill="1" applyAlignment="1">
      <alignment horizontal="left" vertical="center" wrapText="1"/>
    </xf>
    <xf numFmtId="0" fontId="43" fillId="14" borderId="0" xfId="3" applyFont="1" applyFill="1" applyAlignment="1">
      <alignment horizontal="center" vertical="center"/>
    </xf>
    <xf numFmtId="0" fontId="40" fillId="14" borderId="0" xfId="3" applyFont="1" applyFill="1" applyAlignment="1">
      <alignment horizontal="center" vertical="center"/>
    </xf>
    <xf numFmtId="0" fontId="43" fillId="0" borderId="0" xfId="3" applyFont="1" applyAlignment="1">
      <alignment horizontal="left" vertical="center" wrapText="1"/>
    </xf>
    <xf numFmtId="0" fontId="41" fillId="0" borderId="0" xfId="3" applyAlignment="1">
      <alignment horizontal="center" vertical="top"/>
    </xf>
    <xf numFmtId="0" fontId="58" fillId="0" borderId="0" xfId="3" applyFont="1" applyAlignment="1">
      <alignment horizontal="center" vertical="center"/>
    </xf>
    <xf numFmtId="0" fontId="92" fillId="0" borderId="0" xfId="3" applyFont="1" applyAlignment="1">
      <alignment horizontal="center" vertical="center"/>
    </xf>
    <xf numFmtId="0" fontId="65" fillId="0" borderId="30" xfId="3" applyFont="1" applyBorder="1" applyAlignment="1">
      <alignment horizontal="left" vertical="center" wrapText="1"/>
    </xf>
    <xf numFmtId="0" fontId="93" fillId="0" borderId="30" xfId="3" applyFont="1" applyBorder="1" applyAlignment="1">
      <alignment horizontal="center" vertical="center"/>
    </xf>
    <xf numFmtId="0" fontId="56" fillId="5" borderId="31" xfId="3" applyFont="1" applyFill="1" applyBorder="1" applyAlignment="1">
      <alignment horizontal="left" vertical="center" wrapText="1"/>
    </xf>
    <xf numFmtId="0" fontId="55" fillId="4" borderId="31" xfId="3" applyFont="1" applyFill="1" applyBorder="1" applyAlignment="1">
      <alignment vertical="center" wrapText="1"/>
    </xf>
    <xf numFmtId="0" fontId="51" fillId="4" borderId="31" xfId="3" applyFont="1" applyFill="1" applyBorder="1" applyAlignment="1">
      <alignment horizontal="center" vertical="center"/>
    </xf>
    <xf numFmtId="0" fontId="2" fillId="4" borderId="31" xfId="3" applyFont="1" applyFill="1" applyBorder="1" applyAlignment="1">
      <alignment horizontal="center" vertical="center"/>
    </xf>
    <xf numFmtId="0" fontId="2" fillId="4" borderId="31" xfId="3" applyFont="1" applyFill="1" applyBorder="1" applyAlignment="1">
      <alignment horizontal="center" vertical="center" wrapText="1"/>
    </xf>
    <xf numFmtId="0" fontId="59" fillId="0" borderId="0" xfId="3" applyFont="1" applyAlignment="1">
      <alignment vertical="center"/>
    </xf>
    <xf numFmtId="0" fontId="25" fillId="0" borderId="0" xfId="3" applyFont="1" applyAlignment="1">
      <alignment vertical="center"/>
    </xf>
    <xf numFmtId="0" fontId="46" fillId="0" borderId="0" xfId="5" applyFill="1" applyAlignment="1">
      <alignment horizontal="left" vertical="center" wrapText="1"/>
    </xf>
    <xf numFmtId="0" fontId="48" fillId="0" borderId="0" xfId="3" applyFont="1" applyAlignment="1">
      <alignment horizontal="center" vertical="center" wrapText="1"/>
    </xf>
    <xf numFmtId="0" fontId="71" fillId="0" borderId="0" xfId="3" applyFont="1" applyAlignment="1">
      <alignment horizontal="center" vertical="center"/>
    </xf>
    <xf numFmtId="0" fontId="94" fillId="0" borderId="0" xfId="5" applyFont="1" applyFill="1" applyAlignment="1">
      <alignment horizontal="left" vertical="top" wrapText="1"/>
    </xf>
    <xf numFmtId="0" fontId="66" fillId="0" borderId="0" xfId="3" applyFont="1" applyAlignment="1">
      <alignment vertical="center"/>
    </xf>
    <xf numFmtId="0" fontId="95" fillId="0" borderId="0" xfId="5" applyFont="1" applyFill="1" applyAlignment="1">
      <alignment horizontal="left" vertical="center" wrapText="1"/>
    </xf>
    <xf numFmtId="0" fontId="71" fillId="0" borderId="0" xfId="3" applyFont="1" applyAlignment="1">
      <alignment vertical="center"/>
    </xf>
    <xf numFmtId="0" fontId="71" fillId="0" borderId="0" xfId="3" applyFont="1"/>
    <xf numFmtId="0" fontId="96" fillId="0" borderId="0" xfId="5" applyFont="1" applyFill="1" applyAlignment="1">
      <alignment horizontal="left" wrapText="1"/>
    </xf>
    <xf numFmtId="0" fontId="94" fillId="0" borderId="0" xfId="5" applyFont="1" applyFill="1" applyAlignment="1">
      <alignment vertical="center" wrapText="1"/>
    </xf>
    <xf numFmtId="0" fontId="41" fillId="35" borderId="0" xfId="3" applyFill="1" applyAlignment="1">
      <alignment horizontal="center" vertical="center"/>
    </xf>
    <xf numFmtId="0" fontId="59" fillId="35" borderId="0" xfId="3" applyFont="1" applyFill="1" applyAlignment="1">
      <alignment vertical="center"/>
    </xf>
    <xf numFmtId="0" fontId="66" fillId="35" borderId="0" xfId="3" applyFont="1" applyFill="1" applyAlignment="1">
      <alignment vertical="center"/>
    </xf>
    <xf numFmtId="0" fontId="94" fillId="35" borderId="0" xfId="5" applyFont="1" applyFill="1" applyAlignment="1">
      <alignment vertical="center" wrapText="1"/>
    </xf>
    <xf numFmtId="0" fontId="41" fillId="35" borderId="0" xfId="3" applyFill="1" applyAlignment="1">
      <alignment vertical="center"/>
    </xf>
    <xf numFmtId="0" fontId="41" fillId="35" borderId="0" xfId="3" applyFill="1" applyAlignment="1">
      <alignment vertical="center" wrapText="1"/>
    </xf>
    <xf numFmtId="0" fontId="41" fillId="35" borderId="0" xfId="3" applyFill="1"/>
    <xf numFmtId="0" fontId="2" fillId="5" borderId="31" xfId="3" applyFont="1" applyFill="1" applyBorder="1" applyAlignment="1">
      <alignment horizontal="center" vertical="center"/>
    </xf>
    <xf numFmtId="0" fontId="46" fillId="0" borderId="37" xfId="5" applyFill="1" applyBorder="1" applyAlignment="1">
      <alignment vertical="center" wrapText="1"/>
    </xf>
    <xf numFmtId="0" fontId="25" fillId="35" borderId="0" xfId="3" applyFont="1" applyFill="1" applyAlignment="1">
      <alignment vertical="center"/>
    </xf>
    <xf numFmtId="0" fontId="46" fillId="35" borderId="37" xfId="5" applyFill="1" applyBorder="1" applyAlignment="1">
      <alignment vertical="center" wrapText="1"/>
    </xf>
    <xf numFmtId="0" fontId="41" fillId="35" borderId="0" xfId="3" applyFill="1" applyAlignment="1">
      <alignment horizontal="center" vertical="center" wrapText="1"/>
    </xf>
    <xf numFmtId="0" fontId="58" fillId="35" borderId="0" xfId="3" applyFont="1" applyFill="1" applyAlignment="1">
      <alignment horizontal="center" vertical="center"/>
    </xf>
    <xf numFmtId="0" fontId="94" fillId="0" borderId="37" xfId="5" applyFont="1" applyFill="1" applyBorder="1" applyAlignment="1">
      <alignment vertical="center" wrapText="1"/>
    </xf>
    <xf numFmtId="0" fontId="41" fillId="0" borderId="0" xfId="3" applyAlignment="1">
      <alignment vertical="top"/>
    </xf>
    <xf numFmtId="0" fontId="25" fillId="0" borderId="0" xfId="3" applyFont="1" applyAlignment="1">
      <alignment vertical="top"/>
    </xf>
    <xf numFmtId="0" fontId="46" fillId="0" borderId="37" xfId="5" applyFill="1" applyBorder="1" applyAlignment="1">
      <alignment vertical="top" wrapText="1"/>
    </xf>
    <xf numFmtId="0" fontId="41" fillId="0" borderId="0" xfId="3" applyAlignment="1">
      <alignment horizontal="center" vertical="top" wrapText="1"/>
    </xf>
    <xf numFmtId="0" fontId="58" fillId="0" borderId="0" xfId="3" applyFont="1" applyAlignment="1">
      <alignment horizontal="center" vertical="top"/>
    </xf>
    <xf numFmtId="0" fontId="46" fillId="0" borderId="0" xfId="5" applyFill="1" applyAlignment="1">
      <alignment vertical="top"/>
    </xf>
    <xf numFmtId="0" fontId="88" fillId="2" borderId="39" xfId="0" applyFont="1" applyFill="1" applyBorder="1" applyAlignment="1">
      <alignment horizontal="center" vertical="center"/>
    </xf>
    <xf numFmtId="0" fontId="88" fillId="2" borderId="41" xfId="0" applyFont="1" applyFill="1" applyBorder="1" applyAlignment="1">
      <alignment horizontal="center" vertical="center"/>
    </xf>
    <xf numFmtId="0" fontId="88" fillId="2" borderId="3" xfId="0" applyFont="1" applyFill="1" applyBorder="1" applyAlignment="1">
      <alignment vertical="center" wrapText="1"/>
    </xf>
    <xf numFmtId="0" fontId="75" fillId="2" borderId="2" xfId="0" applyFont="1" applyFill="1" applyBorder="1" applyAlignment="1">
      <alignment horizontal="center" vertical="center" wrapText="1"/>
    </xf>
    <xf numFmtId="0" fontId="84" fillId="0" borderId="0" xfId="0" applyFont="1" applyBorder="1"/>
    <xf numFmtId="0" fontId="0" fillId="37" borderId="0" xfId="0" applyFill="1"/>
    <xf numFmtId="0" fontId="23" fillId="0" borderId="0" xfId="0" applyFont="1"/>
    <xf numFmtId="0" fontId="23" fillId="2" borderId="0" xfId="0" applyFont="1" applyFill="1" applyAlignment="1">
      <alignment vertical="center"/>
    </xf>
    <xf numFmtId="0" fontId="23" fillId="2" borderId="0" xfId="0" applyFont="1" applyFill="1"/>
    <xf numFmtId="0" fontId="23" fillId="16" borderId="0" xfId="0" applyFont="1" applyFill="1" applyAlignment="1">
      <alignment horizontal="left" vertical="center"/>
    </xf>
    <xf numFmtId="0" fontId="23" fillId="16" borderId="0" xfId="0" applyFont="1" applyFill="1"/>
    <xf numFmtId="0" fontId="26" fillId="8" borderId="1" xfId="0" applyFont="1" applyFill="1" applyBorder="1" applyAlignment="1">
      <alignment vertical="center"/>
    </xf>
    <xf numFmtId="0" fontId="26" fillId="2" borderId="2" xfId="0" applyFont="1" applyFill="1" applyBorder="1" applyAlignment="1">
      <alignment vertical="center"/>
    </xf>
    <xf numFmtId="0" fontId="26" fillId="2" borderId="0" xfId="0" applyFont="1" applyFill="1"/>
    <xf numFmtId="0" fontId="88" fillId="2" borderId="1" xfId="0" applyFont="1" applyFill="1" applyBorder="1" applyAlignment="1">
      <alignment vertical="center" wrapText="1"/>
    </xf>
    <xf numFmtId="0" fontId="15" fillId="2" borderId="0" xfId="0" applyFont="1" applyFill="1"/>
    <xf numFmtId="0" fontId="25" fillId="2" borderId="0" xfId="0" applyFont="1" applyFill="1"/>
    <xf numFmtId="0" fontId="88" fillId="2" borderId="7" xfId="0" applyFont="1" applyFill="1" applyBorder="1" applyAlignment="1">
      <alignment vertical="center" wrapText="1"/>
    </xf>
    <xf numFmtId="0" fontId="23" fillId="2" borderId="2" xfId="0" applyFont="1" applyFill="1" applyBorder="1" applyAlignment="1">
      <alignment vertical="center"/>
    </xf>
    <xf numFmtId="0" fontId="23" fillId="2" borderId="6" xfId="0" applyFont="1" applyFill="1" applyBorder="1" applyAlignment="1">
      <alignment vertical="center"/>
    </xf>
    <xf numFmtId="0" fontId="23" fillId="2" borderId="7" xfId="0" applyFont="1" applyFill="1" applyBorder="1" applyAlignment="1">
      <alignment vertical="center"/>
    </xf>
    <xf numFmtId="0" fontId="89" fillId="2" borderId="1" xfId="0" applyFont="1" applyFill="1" applyBorder="1" applyAlignment="1">
      <alignment vertical="center" wrapText="1"/>
    </xf>
    <xf numFmtId="0" fontId="26" fillId="2" borderId="2" xfId="0" applyFont="1" applyFill="1" applyBorder="1"/>
    <xf numFmtId="0" fontId="0" fillId="9" borderId="6" xfId="0" applyFill="1" applyBorder="1"/>
    <xf numFmtId="0" fontId="26" fillId="9" borderId="2" xfId="0" applyFont="1" applyFill="1" applyBorder="1"/>
    <xf numFmtId="0" fontId="0" fillId="9" borderId="7" xfId="0" applyFill="1" applyBorder="1"/>
    <xf numFmtId="0" fontId="26" fillId="8" borderId="39" xfId="0" applyFont="1" applyFill="1" applyBorder="1"/>
    <xf numFmtId="0" fontId="0" fillId="8" borderId="41" xfId="0" applyFill="1" applyBorder="1"/>
    <xf numFmtId="0" fontId="25" fillId="4" borderId="0" xfId="0" applyFont="1" applyFill="1"/>
    <xf numFmtId="0" fontId="26" fillId="38" borderId="2" xfId="0" applyFont="1" applyFill="1" applyBorder="1"/>
    <xf numFmtId="0" fontId="0" fillId="38" borderId="6" xfId="0" applyFill="1" applyBorder="1"/>
    <xf numFmtId="0" fontId="0" fillId="38" borderId="7" xfId="0" applyFill="1" applyBorder="1"/>
    <xf numFmtId="0" fontId="14" fillId="18" borderId="0" xfId="0" applyFont="1" applyFill="1"/>
    <xf numFmtId="0" fontId="0" fillId="39" borderId="0" xfId="0" applyFill="1"/>
    <xf numFmtId="0" fontId="2" fillId="39" borderId="37" xfId="0" applyFont="1" applyFill="1" applyBorder="1"/>
    <xf numFmtId="0" fontId="0" fillId="39" borderId="37" xfId="0" applyFill="1" applyBorder="1"/>
    <xf numFmtId="0" fontId="0" fillId="39" borderId="39" xfId="0" applyFill="1" applyBorder="1"/>
    <xf numFmtId="0" fontId="26" fillId="39" borderId="37" xfId="0" applyFont="1" applyFill="1" applyBorder="1"/>
    <xf numFmtId="0" fontId="23" fillId="39" borderId="37" xfId="0" applyFont="1" applyFill="1" applyBorder="1"/>
    <xf numFmtId="0" fontId="1" fillId="39" borderId="37" xfId="0" applyFont="1" applyFill="1" applyBorder="1" applyAlignment="1">
      <alignment horizontal="center"/>
    </xf>
    <xf numFmtId="0" fontId="25" fillId="0" borderId="0" xfId="0" applyFont="1" applyFill="1"/>
    <xf numFmtId="0" fontId="0" fillId="36" borderId="0" xfId="0" applyFill="1"/>
    <xf numFmtId="0" fontId="23" fillId="0" borderId="32" xfId="0" applyFont="1" applyBorder="1"/>
    <xf numFmtId="0" fontId="23" fillId="0" borderId="0" xfId="0" applyFont="1" applyAlignment="1">
      <alignment vertical="center"/>
    </xf>
    <xf numFmtId="0" fontId="23" fillId="0" borderId="32" xfId="0" applyFont="1" applyBorder="1" applyAlignment="1">
      <alignment vertical="center"/>
    </xf>
    <xf numFmtId="0" fontId="23" fillId="0" borderId="0" xfId="0" applyFont="1" applyFill="1" applyAlignment="1">
      <alignment vertical="center"/>
    </xf>
    <xf numFmtId="0" fontId="23" fillId="0" borderId="34" xfId="0" applyFont="1" applyBorder="1"/>
    <xf numFmtId="0" fontId="23" fillId="0" borderId="0" xfId="0" applyFont="1" applyBorder="1"/>
    <xf numFmtId="0" fontId="18" fillId="0" borderId="0" xfId="0" applyFont="1" applyAlignment="1">
      <alignment horizontal="center" vertical="center"/>
    </xf>
    <xf numFmtId="0" fontId="14" fillId="19" borderId="0" xfId="0" applyFont="1" applyFill="1" applyAlignment="1">
      <alignment vertical="center"/>
    </xf>
    <xf numFmtId="0" fontId="42" fillId="14" borderId="0" xfId="3" applyFont="1" applyFill="1" applyAlignment="1">
      <alignment vertical="center" wrapText="1"/>
    </xf>
    <xf numFmtId="0" fontId="42" fillId="14" borderId="0" xfId="3" applyFont="1" applyFill="1" applyAlignment="1">
      <alignment horizontal="center" vertical="top" wrapText="1"/>
    </xf>
    <xf numFmtId="0" fontId="42" fillId="14" borderId="0" xfId="3" applyFont="1" applyFill="1" applyAlignment="1">
      <alignment horizontal="center" vertical="center" wrapText="1"/>
    </xf>
    <xf numFmtId="0" fontId="42" fillId="14" borderId="1" xfId="3" applyFont="1" applyFill="1" applyBorder="1" applyAlignment="1">
      <alignment horizontal="center" vertical="center" wrapText="1"/>
    </xf>
    <xf numFmtId="0" fontId="42" fillId="0" borderId="0" xfId="3" applyFont="1" applyAlignment="1">
      <alignment horizontal="center" vertical="top" wrapText="1"/>
    </xf>
    <xf numFmtId="0" fontId="42" fillId="0" borderId="0" xfId="3" applyFont="1" applyAlignment="1">
      <alignment horizontal="center" vertical="center" wrapText="1"/>
    </xf>
    <xf numFmtId="0" fontId="97" fillId="4" borderId="1" xfId="3" applyFont="1" applyFill="1" applyBorder="1" applyAlignment="1">
      <alignment horizontal="center" vertical="center" wrapText="1"/>
    </xf>
    <xf numFmtId="0" fontId="64" fillId="0" borderId="30" xfId="3" applyFont="1" applyBorder="1" applyAlignment="1">
      <alignment horizontal="center" vertical="top" wrapText="1"/>
    </xf>
    <xf numFmtId="0" fontId="64" fillId="0" borderId="30" xfId="3" applyFont="1" applyBorder="1" applyAlignment="1">
      <alignment horizontal="center" vertical="center" wrapText="1"/>
    </xf>
    <xf numFmtId="0" fontId="55" fillId="0" borderId="30" xfId="3" applyFont="1" applyBorder="1" applyAlignment="1">
      <alignment horizontal="center" vertical="center" wrapText="1"/>
    </xf>
    <xf numFmtId="0" fontId="55" fillId="34" borderId="1" xfId="3" applyFont="1" applyFill="1" applyBorder="1" applyAlignment="1">
      <alignment horizontal="center" vertical="center" wrapText="1"/>
    </xf>
    <xf numFmtId="0" fontId="55" fillId="4" borderId="31" xfId="3" applyFont="1" applyFill="1" applyBorder="1" applyAlignment="1">
      <alignment horizontal="center" vertical="top" wrapText="1"/>
    </xf>
    <xf numFmtId="0" fontId="55" fillId="4" borderId="31" xfId="3" applyFont="1" applyFill="1" applyBorder="1" applyAlignment="1">
      <alignment horizontal="center" vertical="center" wrapText="1"/>
    </xf>
    <xf numFmtId="0" fontId="55" fillId="4" borderId="1" xfId="3" applyFont="1" applyFill="1" applyBorder="1" applyAlignment="1">
      <alignment horizontal="center" vertical="center" wrapText="1"/>
    </xf>
    <xf numFmtId="0" fontId="98" fillId="0" borderId="0" xfId="5" applyFont="1" applyFill="1" applyAlignment="1">
      <alignment horizontal="left" vertical="center" wrapText="1"/>
    </xf>
    <xf numFmtId="0" fontId="42" fillId="0" borderId="0" xfId="5" applyFont="1" applyFill="1" applyAlignment="1">
      <alignment vertical="center" wrapText="1"/>
    </xf>
    <xf numFmtId="0" fontId="99" fillId="0" borderId="0" xfId="5" applyFont="1" applyFill="1" applyAlignment="1">
      <alignment horizontal="left" vertical="top" wrapText="1"/>
    </xf>
    <xf numFmtId="0" fontId="99" fillId="0" borderId="0" xfId="5" applyFont="1" applyFill="1" applyAlignment="1">
      <alignment horizontal="left" vertical="center" wrapText="1"/>
    </xf>
    <xf numFmtId="0" fontId="100" fillId="0" borderId="0" xfId="3" applyFont="1" applyAlignment="1">
      <alignment horizontal="center" vertical="center" wrapText="1"/>
    </xf>
    <xf numFmtId="0" fontId="99" fillId="34" borderId="1" xfId="3" applyFont="1" applyFill="1" applyBorder="1" applyAlignment="1">
      <alignment vertical="top" wrapText="1"/>
    </xf>
    <xf numFmtId="0" fontId="98" fillId="0" borderId="0" xfId="5" applyFont="1" applyFill="1" applyAlignment="1">
      <alignment wrapText="1"/>
    </xf>
    <xf numFmtId="0" fontId="99" fillId="34" borderId="1" xfId="3" applyFont="1" applyFill="1" applyBorder="1" applyAlignment="1">
      <alignment horizontal="left" vertical="center" wrapText="1"/>
    </xf>
    <xf numFmtId="0" fontId="99" fillId="34" borderId="1" xfId="3" applyFont="1" applyFill="1" applyBorder="1" applyAlignment="1">
      <alignment horizontal="left" vertical="top" wrapText="1"/>
    </xf>
    <xf numFmtId="0" fontId="101" fillId="0" borderId="0" xfId="5" applyFont="1" applyFill="1" applyAlignment="1">
      <alignment horizontal="left" vertical="top" wrapText="1"/>
    </xf>
    <xf numFmtId="0" fontId="42" fillId="0" borderId="0" xfId="3" applyFont="1" applyAlignment="1">
      <alignment vertical="top" wrapText="1"/>
    </xf>
    <xf numFmtId="0" fontId="42" fillId="34" borderId="1" xfId="3" applyFont="1" applyFill="1" applyBorder="1" applyAlignment="1">
      <alignment horizontal="center" vertical="center" wrapText="1"/>
    </xf>
    <xf numFmtId="0" fontId="102" fillId="0" borderId="0" xfId="5" applyFont="1" applyFill="1" applyAlignment="1">
      <alignment vertical="center" wrapText="1"/>
    </xf>
    <xf numFmtId="0" fontId="97" fillId="5" borderId="31" xfId="3" applyFont="1" applyFill="1" applyBorder="1" applyAlignment="1">
      <alignment horizontal="center" vertical="top" wrapText="1"/>
    </xf>
    <xf numFmtId="0" fontId="97" fillId="5" borderId="31" xfId="3" applyFont="1" applyFill="1" applyBorder="1" applyAlignment="1">
      <alignment horizontal="center" vertical="center" wrapText="1"/>
    </xf>
    <xf numFmtId="0" fontId="55" fillId="5" borderId="31" xfId="3" applyFont="1" applyFill="1" applyBorder="1" applyAlignment="1">
      <alignment horizontal="center" vertical="center" wrapText="1"/>
    </xf>
    <xf numFmtId="0" fontId="99" fillId="0" borderId="0" xfId="3" applyFont="1" applyAlignment="1">
      <alignment horizontal="center" vertical="top" wrapText="1"/>
    </xf>
    <xf numFmtId="0" fontId="99" fillId="0" borderId="0" xfId="3" applyFont="1" applyAlignment="1">
      <alignment horizontal="center" vertical="center" wrapText="1"/>
    </xf>
    <xf numFmtId="0" fontId="45" fillId="0" borderId="0" xfId="3" applyFont="1" applyAlignment="1">
      <alignment horizontal="center" vertical="center" wrapText="1"/>
    </xf>
    <xf numFmtId="0" fontId="98" fillId="0" borderId="0" xfId="5" applyFont="1" applyFill="1" applyAlignment="1">
      <alignment vertical="center" wrapText="1"/>
    </xf>
    <xf numFmtId="0" fontId="53" fillId="35" borderId="0" xfId="5" applyFont="1" applyFill="1" applyAlignment="1">
      <alignment vertical="center" wrapText="1"/>
    </xf>
    <xf numFmtId="0" fontId="99" fillId="35" borderId="0" xfId="3" applyFont="1" applyFill="1" applyAlignment="1">
      <alignment horizontal="center" vertical="top" wrapText="1"/>
    </xf>
    <xf numFmtId="0" fontId="99" fillId="35" borderId="0" xfId="3" applyFont="1" applyFill="1" applyAlignment="1">
      <alignment horizontal="center" vertical="center" wrapText="1"/>
    </xf>
    <xf numFmtId="0" fontId="42" fillId="35" borderId="0" xfId="3" applyFont="1" applyFill="1" applyAlignment="1">
      <alignment horizontal="center" vertical="center" wrapText="1"/>
    </xf>
    <xf numFmtId="0" fontId="45" fillId="35" borderId="0" xfId="3" applyFont="1" applyFill="1" applyAlignment="1">
      <alignment horizontal="center" vertical="center" wrapText="1"/>
    </xf>
    <xf numFmtId="0" fontId="101" fillId="0" borderId="0" xfId="5" applyFont="1" applyFill="1" applyAlignment="1">
      <alignment vertical="center" wrapText="1"/>
    </xf>
    <xf numFmtId="0" fontId="103" fillId="0" borderId="0" xfId="3" applyFont="1" applyAlignment="1">
      <alignment horizontal="center" vertical="top" wrapText="1"/>
    </xf>
    <xf numFmtId="0" fontId="103" fillId="0" borderId="0" xfId="3" applyFont="1" applyAlignment="1">
      <alignment horizontal="center" vertical="center" wrapText="1"/>
    </xf>
    <xf numFmtId="0" fontId="103" fillId="34" borderId="1" xfId="3" applyFont="1" applyFill="1" applyBorder="1" applyAlignment="1">
      <alignment horizontal="center" vertical="center" wrapText="1"/>
    </xf>
    <xf numFmtId="0" fontId="53" fillId="0" borderId="0" xfId="5" applyFont="1" applyFill="1" applyAlignment="1">
      <alignment vertical="top" wrapText="1"/>
    </xf>
    <xf numFmtId="0" fontId="45" fillId="0" borderId="0" xfId="3" applyFont="1" applyAlignment="1">
      <alignment horizontal="center" vertical="top" wrapText="1"/>
    </xf>
    <xf numFmtId="0" fontId="98" fillId="0" borderId="0" xfId="5" applyFont="1" applyFill="1" applyAlignment="1">
      <alignment vertical="top" wrapText="1"/>
    </xf>
    <xf numFmtId="0" fontId="97" fillId="34" borderId="1" xfId="3" applyFont="1" applyFill="1" applyBorder="1" applyAlignment="1">
      <alignment horizontal="left" vertical="center" wrapText="1"/>
    </xf>
    <xf numFmtId="9" fontId="42" fillId="0" borderId="0" xfId="4" applyFont="1" applyAlignment="1">
      <alignment horizontal="center" vertical="top" wrapText="1"/>
    </xf>
    <xf numFmtId="9" fontId="42" fillId="0" borderId="0" xfId="4" applyFont="1" applyAlignment="1">
      <alignment horizontal="center" vertical="center" wrapText="1"/>
    </xf>
    <xf numFmtId="0" fontId="99" fillId="14" borderId="1" xfId="3" applyFont="1" applyFill="1" applyBorder="1" applyAlignment="1">
      <alignment horizontal="left" vertical="top" wrapText="1"/>
    </xf>
    <xf numFmtId="0" fontId="97" fillId="14" borderId="1" xfId="3" applyFont="1" applyFill="1" applyBorder="1" applyAlignment="1">
      <alignment horizontal="left" vertical="top" wrapText="1"/>
    </xf>
    <xf numFmtId="0" fontId="104" fillId="11" borderId="35" xfId="0" applyFont="1" applyFill="1" applyBorder="1" applyAlignment="1">
      <alignment horizontal="left" vertical="top" wrapText="1"/>
    </xf>
    <xf numFmtId="0" fontId="104" fillId="11" borderId="35" xfId="0" applyFont="1" applyFill="1" applyBorder="1" applyAlignment="1">
      <alignment horizontal="right" vertical="center"/>
    </xf>
    <xf numFmtId="0" fontId="71" fillId="11" borderId="35" xfId="0" applyFont="1" applyFill="1" applyBorder="1" applyAlignment="1">
      <alignment wrapText="1"/>
    </xf>
    <xf numFmtId="0" fontId="104" fillId="11" borderId="35" xfId="0" applyFont="1" applyFill="1" applyBorder="1" applyAlignment="1">
      <alignment horizontal="center" vertical="center" wrapText="1"/>
    </xf>
    <xf numFmtId="0" fontId="71" fillId="7" borderId="35" xfId="0" applyFont="1" applyFill="1" applyBorder="1" applyAlignment="1">
      <alignment horizontal="left" vertical="top" wrapText="1"/>
    </xf>
    <xf numFmtId="0" fontId="71" fillId="7" borderId="35" xfId="0" applyFont="1" applyFill="1" applyBorder="1" applyAlignment="1">
      <alignment horizontal="right" vertical="center"/>
    </xf>
    <xf numFmtId="0" fontId="104" fillId="7" borderId="35" xfId="0" applyFont="1" applyFill="1" applyBorder="1" applyAlignment="1">
      <alignment horizontal="right" vertical="top" wrapText="1"/>
    </xf>
    <xf numFmtId="0" fontId="71" fillId="7" borderId="35" xfId="0" applyFont="1" applyFill="1" applyBorder="1" applyAlignment="1">
      <alignment wrapText="1"/>
    </xf>
    <xf numFmtId="0" fontId="71" fillId="7" borderId="35" xfId="0" applyFont="1" applyFill="1" applyBorder="1" applyAlignment="1">
      <alignment horizontal="center" wrapText="1"/>
    </xf>
    <xf numFmtId="0" fontId="71" fillId="7" borderId="35" xfId="0" applyFont="1" applyFill="1" applyBorder="1" applyAlignment="1">
      <alignment horizontal="right" wrapText="1"/>
    </xf>
    <xf numFmtId="0" fontId="71" fillId="7" borderId="35" xfId="0" applyFont="1" applyFill="1" applyBorder="1" applyAlignment="1">
      <alignment horizontal="left" wrapText="1"/>
    </xf>
    <xf numFmtId="0" fontId="0" fillId="0" borderId="58" xfId="0" applyBorder="1"/>
    <xf numFmtId="0" fontId="104" fillId="7" borderId="35" xfId="0" applyFont="1" applyFill="1" applyBorder="1" applyAlignment="1">
      <alignment horizontal="left" vertical="top" wrapText="1"/>
    </xf>
    <xf numFmtId="0" fontId="104" fillId="7" borderId="35" xfId="0" applyFont="1" applyFill="1" applyBorder="1" applyAlignment="1">
      <alignment horizontal="right" vertical="center"/>
    </xf>
    <xf numFmtId="0" fontId="104" fillId="7" borderId="35" xfId="0" applyFont="1" applyFill="1" applyBorder="1" applyAlignment="1">
      <alignment horizontal="right" wrapText="1"/>
    </xf>
    <xf numFmtId="0" fontId="104" fillId="11" borderId="35" xfId="0" applyFont="1" applyFill="1" applyBorder="1" applyAlignment="1">
      <alignment horizontal="right" vertical="top" wrapText="1"/>
    </xf>
    <xf numFmtId="0" fontId="26" fillId="2" borderId="39" xfId="0" applyFont="1" applyFill="1" applyBorder="1" applyAlignment="1">
      <alignment vertical="center"/>
    </xf>
    <xf numFmtId="0" fontId="88" fillId="2" borderId="6" xfId="0" applyFont="1" applyFill="1" applyBorder="1" applyAlignment="1">
      <alignment vertical="center" wrapText="1"/>
    </xf>
    <xf numFmtId="0" fontId="108" fillId="0" borderId="33" xfId="0" applyFont="1" applyBorder="1"/>
    <xf numFmtId="0" fontId="109" fillId="0" borderId="38" xfId="0" applyFont="1" applyBorder="1"/>
    <xf numFmtId="0" fontId="110" fillId="0" borderId="34" xfId="0" applyFont="1" applyBorder="1"/>
    <xf numFmtId="0" fontId="110" fillId="19" borderId="34" xfId="0" applyFont="1" applyFill="1" applyBorder="1"/>
    <xf numFmtId="0" fontId="69" fillId="0" borderId="34" xfId="0" applyFont="1" applyBorder="1"/>
    <xf numFmtId="0" fontId="69" fillId="0" borderId="57" xfId="0" applyFont="1" applyBorder="1"/>
    <xf numFmtId="0" fontId="109" fillId="0" borderId="34" xfId="0" applyFont="1" applyBorder="1"/>
    <xf numFmtId="0" fontId="3" fillId="0" borderId="0" xfId="1" applyFill="1" applyAlignment="1">
      <alignment wrapText="1"/>
    </xf>
    <xf numFmtId="0" fontId="55" fillId="0" borderId="0" xfId="3" applyFont="1" applyFill="1" applyAlignment="1">
      <alignment vertical="center" wrapText="1"/>
    </xf>
    <xf numFmtId="0" fontId="42" fillId="0" borderId="0" xfId="3" applyFont="1" applyFill="1" applyAlignment="1">
      <alignment vertical="center" wrapText="1"/>
    </xf>
    <xf numFmtId="0" fontId="64" fillId="0" borderId="30" xfId="3" applyFont="1" applyFill="1" applyBorder="1" applyAlignment="1">
      <alignment vertical="center" wrapText="1"/>
    </xf>
    <xf numFmtId="0" fontId="55" fillId="0" borderId="31" xfId="3" applyFont="1" applyFill="1" applyBorder="1" applyAlignment="1">
      <alignment vertical="center" wrapText="1"/>
    </xf>
    <xf numFmtId="0" fontId="98" fillId="0" borderId="0" xfId="1" applyFont="1" applyFill="1" applyAlignment="1">
      <alignment horizontal="right" vertical="center" wrapText="1"/>
    </xf>
    <xf numFmtId="0" fontId="3" fillId="0" borderId="0" xfId="1" applyFill="1" applyAlignment="1">
      <alignment vertical="center" wrapText="1"/>
    </xf>
    <xf numFmtId="0" fontId="104" fillId="8" borderId="49" xfId="0" applyFont="1" applyFill="1" applyBorder="1" applyAlignment="1">
      <alignment horizontal="left" vertical="top" wrapText="1"/>
    </xf>
    <xf numFmtId="0" fontId="104" fillId="8" borderId="49" xfId="0" applyFont="1" applyFill="1" applyBorder="1" applyAlignment="1">
      <alignment horizontal="center" vertical="center"/>
    </xf>
    <xf numFmtId="0" fontId="104" fillId="8" borderId="49" xfId="0" applyFont="1" applyFill="1" applyBorder="1" applyAlignment="1">
      <alignment horizontal="center" vertical="center" wrapText="1"/>
    </xf>
    <xf numFmtId="0" fontId="104" fillId="8" borderId="49" xfId="0" applyFont="1" applyFill="1" applyBorder="1" applyAlignment="1">
      <alignment vertical="center" wrapText="1"/>
    </xf>
    <xf numFmtId="0" fontId="2" fillId="37" borderId="35" xfId="0" applyFont="1" applyFill="1" applyBorder="1" applyAlignment="1">
      <alignment horizontal="left" vertical="top" wrapText="1"/>
    </xf>
    <xf numFmtId="0" fontId="71" fillId="37" borderId="35" xfId="0" applyFont="1" applyFill="1" applyBorder="1" applyAlignment="1">
      <alignment horizontal="right" vertical="center"/>
    </xf>
    <xf numFmtId="0" fontId="107" fillId="37" borderId="35" xfId="5" applyFont="1" applyFill="1" applyBorder="1" applyAlignment="1">
      <alignment horizontal="right" vertical="center"/>
    </xf>
    <xf numFmtId="0" fontId="71" fillId="37" borderId="35" xfId="0" applyFont="1" applyFill="1" applyBorder="1" applyAlignment="1">
      <alignment wrapText="1"/>
    </xf>
    <xf numFmtId="0" fontId="2" fillId="39" borderId="0" xfId="0" applyFont="1" applyFill="1" applyAlignment="1">
      <alignment wrapText="1"/>
    </xf>
    <xf numFmtId="0" fontId="0" fillId="39" borderId="0" xfId="0" applyFill="1" applyAlignment="1">
      <alignment horizontal="right" vertical="center"/>
    </xf>
    <xf numFmtId="0" fontId="2" fillId="14" borderId="0" xfId="0" applyFont="1" applyFill="1" applyAlignment="1">
      <alignment wrapText="1"/>
    </xf>
    <xf numFmtId="0" fontId="0" fillId="14" borderId="0" xfId="0" applyFill="1" applyAlignment="1">
      <alignment horizontal="right" vertical="center"/>
    </xf>
    <xf numFmtId="0" fontId="0" fillId="14" borderId="0" xfId="0" applyFill="1" applyAlignment="1">
      <alignment horizontal="center" vertical="center"/>
    </xf>
    <xf numFmtId="0" fontId="23" fillId="26" borderId="1" xfId="0" applyFont="1" applyFill="1" applyBorder="1"/>
    <xf numFmtId="0" fontId="88" fillId="2" borderId="39" xfId="0" applyFont="1" applyFill="1" applyBorder="1" applyAlignment="1">
      <alignment vertical="center" wrapText="1"/>
    </xf>
    <xf numFmtId="0" fontId="88" fillId="7" borderId="39" xfId="0" applyFont="1" applyFill="1" applyBorder="1" applyAlignment="1">
      <alignment vertical="center" wrapText="1"/>
    </xf>
    <xf numFmtId="0" fontId="88" fillId="2" borderId="41" xfId="0" applyFont="1" applyFill="1" applyBorder="1" applyAlignment="1">
      <alignment vertical="center" wrapText="1"/>
    </xf>
    <xf numFmtId="0" fontId="26" fillId="23" borderId="2" xfId="0" applyFont="1" applyFill="1" applyBorder="1" applyAlignment="1">
      <alignment vertical="center"/>
    </xf>
    <xf numFmtId="0" fontId="26" fillId="23" borderId="6" xfId="0" applyFont="1" applyFill="1" applyBorder="1"/>
    <xf numFmtId="0" fontId="104" fillId="8" borderId="49" xfId="0" applyFont="1" applyFill="1" applyBorder="1" applyAlignment="1">
      <alignment horizontal="right" vertical="center"/>
    </xf>
    <xf numFmtId="0" fontId="23" fillId="2" borderId="2" xfId="0" applyFont="1" applyFill="1" applyBorder="1" applyAlignment="1">
      <alignment vertical="center" wrapText="1"/>
    </xf>
    <xf numFmtId="0" fontId="0" fillId="19" borderId="0" xfId="0" applyFont="1" applyFill="1"/>
    <xf numFmtId="0" fontId="0" fillId="40" borderId="0" xfId="0" applyFill="1"/>
    <xf numFmtId="0" fontId="75" fillId="39" borderId="37" xfId="0" applyFont="1" applyFill="1" applyBorder="1"/>
    <xf numFmtId="0" fontId="0" fillId="0" borderId="36" xfId="0" applyFont="1" applyFill="1" applyBorder="1"/>
    <xf numFmtId="0" fontId="0" fillId="0" borderId="36" xfId="0" applyBorder="1"/>
    <xf numFmtId="0" fontId="0" fillId="0" borderId="36" xfId="0" applyBorder="1" applyAlignment="1">
      <alignment vertical="center"/>
    </xf>
    <xf numFmtId="0" fontId="0" fillId="39" borderId="41" xfId="0" applyFill="1" applyBorder="1"/>
    <xf numFmtId="0" fontId="0" fillId="15" borderId="0" xfId="0" applyFill="1" applyBorder="1"/>
    <xf numFmtId="0" fontId="104" fillId="11" borderId="0" xfId="0" applyFont="1" applyFill="1" applyBorder="1" applyAlignment="1">
      <alignment horizontal="center" vertical="center" wrapText="1"/>
    </xf>
    <xf numFmtId="0" fontId="71" fillId="7" borderId="0" xfId="0" applyFont="1" applyFill="1" applyBorder="1" applyAlignment="1">
      <alignment wrapText="1"/>
    </xf>
    <xf numFmtId="0" fontId="71" fillId="7" borderId="0" xfId="0" applyFont="1" applyFill="1" applyBorder="1" applyAlignment="1">
      <alignment horizontal="center" wrapText="1"/>
    </xf>
    <xf numFmtId="0" fontId="104" fillId="8" borderId="0" xfId="0" applyFont="1" applyFill="1" applyBorder="1" applyAlignment="1">
      <alignment vertical="center" wrapText="1"/>
    </xf>
    <xf numFmtId="0" fontId="71" fillId="37" borderId="0" xfId="3" applyFont="1" applyFill="1" applyBorder="1" applyAlignment="1">
      <alignment vertical="center" wrapText="1"/>
    </xf>
    <xf numFmtId="0" fontId="71" fillId="11" borderId="0" xfId="0" applyFont="1" applyFill="1" applyBorder="1" applyAlignment="1">
      <alignment wrapText="1"/>
    </xf>
    <xf numFmtId="1" fontId="71" fillId="11" borderId="0" xfId="0" applyNumberFormat="1" applyFont="1" applyFill="1" applyBorder="1" applyAlignment="1">
      <alignment wrapText="1"/>
    </xf>
    <xf numFmtId="0" fontId="105" fillId="2" borderId="0" xfId="0" applyFont="1" applyFill="1" applyBorder="1" applyAlignment="1">
      <alignment vertical="center" wrapText="1"/>
    </xf>
    <xf numFmtId="0" fontId="105" fillId="19" borderId="0" xfId="0" applyFont="1" applyFill="1" applyBorder="1" applyAlignment="1">
      <alignment vertical="center" wrapText="1"/>
    </xf>
    <xf numFmtId="0" fontId="38" fillId="7" borderId="35" xfId="0" applyFont="1" applyFill="1" applyBorder="1" applyAlignment="1">
      <alignment horizontal="center" vertical="center" wrapText="1"/>
    </xf>
    <xf numFmtId="0" fontId="51" fillId="19" borderId="35" xfId="0" applyFont="1" applyFill="1" applyBorder="1" applyAlignment="1">
      <alignment horizontal="left" vertical="top" wrapText="1"/>
    </xf>
    <xf numFmtId="0" fontId="46" fillId="19" borderId="0" xfId="5" applyFill="1" applyAlignment="1">
      <alignment horizontal="right" vertical="center"/>
    </xf>
    <xf numFmtId="0" fontId="90" fillId="19" borderId="0" xfId="0" applyFont="1" applyFill="1" applyAlignment="1">
      <alignment horizontal="center" vertical="center"/>
    </xf>
    <xf numFmtId="0" fontId="105" fillId="19" borderId="35" xfId="0" applyFont="1" applyFill="1" applyBorder="1" applyAlignment="1">
      <alignment vertical="center"/>
    </xf>
    <xf numFmtId="0" fontId="105" fillId="19" borderId="35" xfId="0" applyFont="1" applyFill="1" applyBorder="1" applyAlignment="1">
      <alignment vertical="center" wrapText="1"/>
    </xf>
    <xf numFmtId="0" fontId="51" fillId="19" borderId="50" xfId="0" applyFont="1" applyFill="1" applyBorder="1" applyAlignment="1">
      <alignment horizontal="left" vertical="top" wrapText="1"/>
    </xf>
    <xf numFmtId="0" fontId="46" fillId="19" borderId="0" xfId="5" applyFill="1" applyBorder="1" applyAlignment="1">
      <alignment horizontal="right" vertical="center"/>
    </xf>
    <xf numFmtId="0" fontId="105" fillId="19" borderId="50" xfId="0" applyFont="1" applyFill="1" applyBorder="1" applyAlignment="1">
      <alignment vertical="center"/>
    </xf>
    <xf numFmtId="0" fontId="105" fillId="19" borderId="50" xfId="0" applyFont="1" applyFill="1" applyBorder="1" applyAlignment="1">
      <alignment vertical="center" wrapText="1"/>
    </xf>
    <xf numFmtId="0" fontId="2" fillId="19" borderId="0" xfId="0" applyFont="1" applyFill="1" applyBorder="1" applyAlignment="1">
      <alignment wrapText="1"/>
    </xf>
    <xf numFmtId="0" fontId="46" fillId="19" borderId="37" xfId="5" applyFill="1" applyBorder="1" applyAlignment="1">
      <alignment horizontal="right" vertical="center" wrapText="1"/>
    </xf>
    <xf numFmtId="0" fontId="3" fillId="19" borderId="0" xfId="1" applyFill="1" applyAlignment="1">
      <alignment horizontal="right"/>
    </xf>
    <xf numFmtId="0" fontId="105" fillId="19" borderId="47" xfId="0" applyFont="1" applyFill="1" applyBorder="1" applyAlignment="1">
      <alignment vertical="center"/>
    </xf>
    <xf numFmtId="0" fontId="105" fillId="19" borderId="47" xfId="0" applyFont="1" applyFill="1" applyBorder="1" applyAlignment="1">
      <alignment vertical="center" wrapText="1"/>
    </xf>
    <xf numFmtId="0" fontId="46" fillId="19" borderId="37" xfId="5" applyFill="1" applyBorder="1" applyAlignment="1">
      <alignment horizontal="right" vertical="center"/>
    </xf>
    <xf numFmtId="0" fontId="94" fillId="19" borderId="0" xfId="5" applyFont="1" applyFill="1" applyAlignment="1">
      <alignment horizontal="right" vertical="center"/>
    </xf>
    <xf numFmtId="0" fontId="106" fillId="19" borderId="0" xfId="5" applyFont="1" applyFill="1" applyAlignment="1">
      <alignment horizontal="right" vertical="center"/>
    </xf>
    <xf numFmtId="0" fontId="51" fillId="14" borderId="47" xfId="0" applyFont="1" applyFill="1" applyBorder="1" applyAlignment="1">
      <alignment horizontal="center"/>
    </xf>
    <xf numFmtId="0" fontId="51" fillId="14" borderId="47" xfId="0" applyFont="1" applyFill="1" applyBorder="1" applyAlignment="1">
      <alignment horizontal="center" wrapText="1"/>
    </xf>
    <xf numFmtId="0" fontId="41" fillId="14" borderId="0" xfId="0" applyFont="1" applyFill="1" applyAlignment="1">
      <alignment horizontal="center"/>
    </xf>
    <xf numFmtId="0" fontId="41" fillId="39" borderId="0" xfId="0" applyFont="1" applyFill="1" applyAlignment="1">
      <alignment horizontal="center"/>
    </xf>
    <xf numFmtId="0" fontId="41" fillId="37" borderId="35" xfId="3" applyFont="1" applyFill="1" applyBorder="1" applyAlignment="1">
      <alignment horizontal="center" wrapText="1"/>
    </xf>
    <xf numFmtId="0" fontId="41" fillId="11" borderId="35" xfId="0" applyFont="1" applyFill="1" applyBorder="1" applyAlignment="1">
      <alignment horizontal="center" wrapText="1"/>
    </xf>
    <xf numFmtId="1" fontId="41" fillId="11" borderId="35" xfId="0" applyNumberFormat="1" applyFont="1" applyFill="1" applyBorder="1" applyAlignment="1">
      <alignment horizontal="center" wrapText="1"/>
    </xf>
    <xf numFmtId="0" fontId="51" fillId="2" borderId="35" xfId="0" applyFont="1" applyFill="1" applyBorder="1" applyAlignment="1">
      <alignment horizontal="left" vertical="top" wrapText="1"/>
    </xf>
    <xf numFmtId="0" fontId="90" fillId="2" borderId="0" xfId="0" applyFont="1" applyFill="1" applyAlignment="1">
      <alignment horizontal="center" vertical="center"/>
    </xf>
    <xf numFmtId="0" fontId="105" fillId="2" borderId="35" xfId="0" applyFont="1" applyFill="1" applyBorder="1" applyAlignment="1">
      <alignment vertical="center"/>
    </xf>
    <xf numFmtId="0" fontId="105" fillId="2" borderId="35" xfId="0" applyFont="1" applyFill="1" applyBorder="1" applyAlignment="1">
      <alignment vertical="center" wrapText="1"/>
    </xf>
    <xf numFmtId="0" fontId="51" fillId="2" borderId="50" xfId="0" applyFont="1" applyFill="1" applyBorder="1" applyAlignment="1">
      <alignment horizontal="left" vertical="top" wrapText="1"/>
    </xf>
    <xf numFmtId="0" fontId="3" fillId="2" borderId="0" xfId="1" applyFill="1" applyAlignment="1">
      <alignment horizontal="right" vertical="center"/>
    </xf>
    <xf numFmtId="0" fontId="46" fillId="2" borderId="0" xfId="1" applyFont="1" applyFill="1" applyBorder="1" applyAlignment="1">
      <alignment horizontal="right" vertical="center"/>
    </xf>
    <xf numFmtId="0" fontId="46" fillId="2" borderId="0" xfId="1" applyFont="1" applyFill="1" applyAlignment="1">
      <alignment horizontal="right" vertical="center"/>
    </xf>
    <xf numFmtId="0" fontId="94" fillId="2" borderId="0" xfId="5" applyFont="1" applyFill="1" applyAlignment="1">
      <alignment horizontal="right" vertical="center"/>
    </xf>
    <xf numFmtId="0" fontId="105" fillId="2" borderId="50" xfId="0" applyFont="1" applyFill="1" applyBorder="1" applyAlignment="1">
      <alignment vertical="center"/>
    </xf>
    <xf numFmtId="0" fontId="105" fillId="2" borderId="50" xfId="0" applyFont="1" applyFill="1" applyBorder="1" applyAlignment="1">
      <alignment vertical="center" wrapText="1"/>
    </xf>
    <xf numFmtId="0" fontId="23" fillId="2" borderId="2" xfId="0" applyFont="1" applyFill="1" applyBorder="1"/>
    <xf numFmtId="0" fontId="26" fillId="2" borderId="41" xfId="0" applyFont="1" applyFill="1" applyBorder="1" applyAlignment="1">
      <alignment vertical="center"/>
    </xf>
    <xf numFmtId="0" fontId="23" fillId="2" borderId="1" xfId="0" applyFont="1" applyFill="1" applyBorder="1"/>
    <xf numFmtId="0" fontId="22" fillId="2" borderId="6" xfId="0" applyFont="1" applyFill="1" applyBorder="1" applyAlignment="1">
      <alignment vertical="center"/>
    </xf>
    <xf numFmtId="0" fontId="22" fillId="26" borderId="7" xfId="0" applyFont="1" applyFill="1" applyBorder="1" applyAlignment="1">
      <alignment vertical="center" wrapText="1"/>
    </xf>
    <xf numFmtId="0" fontId="22" fillId="26" borderId="3" xfId="0" applyFont="1" applyFill="1" applyBorder="1" applyAlignment="1">
      <alignment vertical="center" wrapText="1"/>
    </xf>
    <xf numFmtId="0" fontId="32" fillId="2" borderId="2" xfId="0" applyFont="1" applyFill="1" applyBorder="1"/>
    <xf numFmtId="0" fontId="24" fillId="2" borderId="6" xfId="0" applyFont="1" applyFill="1" applyBorder="1"/>
    <xf numFmtId="0" fontId="18" fillId="0" borderId="32" xfId="0" applyFont="1" applyBorder="1" applyAlignment="1">
      <alignment horizontal="center" vertical="center"/>
    </xf>
    <xf numFmtId="0" fontId="22" fillId="2" borderId="1" xfId="0" applyFont="1" applyFill="1" applyBorder="1" applyAlignment="1">
      <alignment vertical="center"/>
    </xf>
    <xf numFmtId="0" fontId="104" fillId="11" borderId="35" xfId="0" applyFont="1" applyFill="1" applyBorder="1" applyAlignment="1">
      <alignment horizontal="left" vertical="center"/>
    </xf>
    <xf numFmtId="0" fontId="71" fillId="7" borderId="35" xfId="0" applyFont="1" applyFill="1" applyBorder="1" applyAlignment="1">
      <alignment horizontal="left" vertical="center"/>
    </xf>
    <xf numFmtId="0" fontId="38" fillId="7" borderId="35" xfId="0" applyFont="1" applyFill="1" applyBorder="1" applyAlignment="1">
      <alignment horizontal="left" vertical="center" wrapText="1"/>
    </xf>
    <xf numFmtId="0" fontId="104" fillId="8" borderId="49" xfId="0" applyFont="1" applyFill="1" applyBorder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0" fillId="39" borderId="0" xfId="0" applyFill="1" applyAlignment="1">
      <alignment horizontal="left" vertical="center"/>
    </xf>
    <xf numFmtId="0" fontId="107" fillId="37" borderId="35" xfId="5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6" fillId="2" borderId="39" xfId="0" applyFont="1" applyFill="1" applyBorder="1"/>
    <xf numFmtId="0" fontId="0" fillId="2" borderId="41" xfId="0" applyFill="1" applyBorder="1"/>
    <xf numFmtId="0" fontId="26" fillId="2" borderId="1" xfId="0" applyFont="1" applyFill="1" applyBorder="1"/>
    <xf numFmtId="0" fontId="26" fillId="2" borderId="4" xfId="0" applyFont="1" applyFill="1" applyBorder="1" applyAlignment="1">
      <alignment vertical="center"/>
    </xf>
    <xf numFmtId="0" fontId="32" fillId="2" borderId="6" xfId="0" applyFont="1" applyFill="1" applyBorder="1"/>
    <xf numFmtId="0" fontId="23" fillId="2" borderId="1" xfId="0" applyFont="1" applyFill="1" applyBorder="1" applyAlignment="1">
      <alignment vertical="center"/>
    </xf>
    <xf numFmtId="0" fontId="74" fillId="2" borderId="1" xfId="0" applyFont="1" applyFill="1" applyBorder="1" applyAlignment="1">
      <alignment vertical="center"/>
    </xf>
    <xf numFmtId="0" fontId="26" fillId="2" borderId="7" xfId="0" applyFont="1" applyFill="1" applyBorder="1" applyAlignment="1">
      <alignment vertical="center"/>
    </xf>
    <xf numFmtId="0" fontId="26" fillId="2" borderId="2" xfId="0" applyFont="1" applyFill="1" applyBorder="1" applyAlignment="1">
      <alignment wrapText="1"/>
    </xf>
    <xf numFmtId="0" fontId="26" fillId="2" borderId="7" xfId="0" applyFont="1" applyFill="1" applyBorder="1" applyAlignment="1">
      <alignment wrapText="1"/>
    </xf>
    <xf numFmtId="0" fontId="26" fillId="2" borderId="1" xfId="0" applyFont="1" applyFill="1" applyBorder="1" applyAlignment="1">
      <alignment vertical="center" wrapText="1"/>
    </xf>
    <xf numFmtId="0" fontId="0" fillId="28" borderId="32" xfId="0" applyFont="1" applyFill="1" applyBorder="1"/>
    <xf numFmtId="0" fontId="26" fillId="2" borderId="2" xfId="0" applyFont="1" applyFill="1" applyBorder="1" applyAlignment="1">
      <alignment vertical="center" wrapText="1"/>
    </xf>
    <xf numFmtId="0" fontId="14" fillId="0" borderId="0" xfId="0" applyFont="1"/>
    <xf numFmtId="0" fontId="57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8" borderId="0" xfId="0" applyFont="1" applyFill="1" applyAlignment="1">
      <alignment vertical="top" wrapText="1"/>
    </xf>
    <xf numFmtId="0" fontId="14" fillId="8" borderId="0" xfId="0" applyFont="1" applyFill="1"/>
    <xf numFmtId="0" fontId="115" fillId="41" borderId="0" xfId="0" applyFont="1" applyFill="1" applyAlignment="1">
      <alignment vertical="top" wrapText="1"/>
    </xf>
    <xf numFmtId="0" fontId="115" fillId="41" borderId="0" xfId="0" applyFont="1" applyFill="1"/>
    <xf numFmtId="0" fontId="116" fillId="41" borderId="0" xfId="0" applyFont="1" applyFill="1"/>
    <xf numFmtId="0" fontId="23" fillId="2" borderId="1" xfId="0" applyFont="1" applyFill="1" applyBorder="1" applyAlignment="1">
      <alignment vertical="center" wrapText="1"/>
    </xf>
    <xf numFmtId="0" fontId="41" fillId="37" borderId="35" xfId="3" applyFill="1" applyBorder="1" applyAlignment="1">
      <alignment horizontal="center" wrapText="1"/>
    </xf>
    <xf numFmtId="0" fontId="14" fillId="2" borderId="1" xfId="0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0" fontId="14" fillId="2" borderId="6" xfId="0" applyFont="1" applyFill="1" applyBorder="1" applyAlignment="1">
      <alignment vertical="center"/>
    </xf>
    <xf numFmtId="0" fontId="14" fillId="2" borderId="7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51" fillId="42" borderId="35" xfId="0" applyFont="1" applyFill="1" applyBorder="1" applyAlignment="1">
      <alignment horizontal="left" vertical="top" wrapText="1"/>
    </xf>
    <xf numFmtId="0" fontId="46" fillId="42" borderId="0" xfId="5" applyFill="1" applyBorder="1" applyAlignment="1">
      <alignment horizontal="right" vertical="center"/>
    </xf>
    <xf numFmtId="0" fontId="3" fillId="42" borderId="0" xfId="1" applyFill="1" applyAlignment="1">
      <alignment horizontal="right" vertical="center"/>
    </xf>
    <xf numFmtId="0" fontId="113" fillId="42" borderId="0" xfId="1" applyFont="1" applyFill="1" applyAlignment="1">
      <alignment horizontal="left" vertical="center" wrapText="1"/>
    </xf>
    <xf numFmtId="0" fontId="113" fillId="42" borderId="0" xfId="1" applyFont="1" applyFill="1" applyAlignment="1">
      <alignment horizontal="center" vertical="center"/>
    </xf>
    <xf numFmtId="0" fontId="112" fillId="42" borderId="0" xfId="0" applyFont="1" applyFill="1" applyAlignment="1">
      <alignment horizontal="center" vertical="center"/>
    </xf>
    <xf numFmtId="0" fontId="32" fillId="42" borderId="0" xfId="0" applyFont="1" applyFill="1" applyAlignment="1">
      <alignment horizontal="left" vertical="center" wrapText="1"/>
    </xf>
    <xf numFmtId="0" fontId="46" fillId="42" borderId="0" xfId="5" applyFill="1" applyAlignment="1">
      <alignment horizontal="right" vertical="center"/>
    </xf>
    <xf numFmtId="0" fontId="113" fillId="42" borderId="0" xfId="5" applyFont="1" applyFill="1" applyAlignment="1">
      <alignment horizontal="left" vertical="center" wrapText="1"/>
    </xf>
    <xf numFmtId="0" fontId="112" fillId="42" borderId="35" xfId="0" applyFont="1" applyFill="1" applyBorder="1" applyAlignment="1">
      <alignment horizontal="center" vertical="center"/>
    </xf>
    <xf numFmtId="0" fontId="2" fillId="42" borderId="0" xfId="0" applyFont="1" applyFill="1" applyAlignment="1">
      <alignment wrapText="1"/>
    </xf>
    <xf numFmtId="0" fontId="41" fillId="42" borderId="0" xfId="0" applyFont="1" applyFill="1" applyAlignment="1">
      <alignment horizontal="right" vertical="center"/>
    </xf>
    <xf numFmtId="0" fontId="3" fillId="42" borderId="0" xfId="1" applyFill="1" applyBorder="1" applyAlignment="1">
      <alignment horizontal="right" vertical="center"/>
    </xf>
    <xf numFmtId="0" fontId="113" fillId="42" borderId="0" xfId="1" applyFont="1" applyFill="1" applyBorder="1" applyAlignment="1">
      <alignment horizontal="left" vertical="center" wrapText="1"/>
    </xf>
    <xf numFmtId="0" fontId="46" fillId="42" borderId="0" xfId="1" applyFont="1" applyFill="1" applyBorder="1" applyAlignment="1">
      <alignment horizontal="right" vertical="center"/>
    </xf>
    <xf numFmtId="0" fontId="114" fillId="42" borderId="0" xfId="1" applyFont="1" applyFill="1" applyAlignment="1">
      <alignment horizontal="center" vertical="center"/>
    </xf>
    <xf numFmtId="0" fontId="51" fillId="5" borderId="50" xfId="0" applyFont="1" applyFill="1" applyBorder="1" applyAlignment="1">
      <alignment horizontal="left" vertical="top" wrapText="1"/>
    </xf>
    <xf numFmtId="0" fontId="3" fillId="5" borderId="0" xfId="1" applyFill="1" applyAlignment="1">
      <alignment horizontal="right" vertical="center"/>
    </xf>
    <xf numFmtId="0" fontId="113" fillId="5" borderId="0" xfId="1" applyFont="1" applyFill="1" applyAlignment="1">
      <alignment horizontal="left" vertical="center" wrapText="1"/>
    </xf>
    <xf numFmtId="164" fontId="113" fillId="5" borderId="0" xfId="5" applyNumberFormat="1" applyFont="1" applyFill="1" applyAlignment="1">
      <alignment horizontal="center" vertical="center"/>
    </xf>
    <xf numFmtId="0" fontId="112" fillId="5" borderId="0" xfId="0" applyFont="1" applyFill="1" applyAlignment="1">
      <alignment horizontal="center" vertical="center"/>
    </xf>
    <xf numFmtId="0" fontId="32" fillId="5" borderId="0" xfId="0" applyFont="1" applyFill="1" applyAlignment="1">
      <alignment horizontal="left" vertical="center" wrapText="1"/>
    </xf>
    <xf numFmtId="0" fontId="51" fillId="42" borderId="50" xfId="0" applyFont="1" applyFill="1" applyBorder="1" applyAlignment="1">
      <alignment horizontal="left" vertical="top" wrapText="1"/>
    </xf>
    <xf numFmtId="0" fontId="19" fillId="7" borderId="35" xfId="0" applyFont="1" applyFill="1" applyBorder="1" applyAlignment="1">
      <alignment horizontal="center" wrapText="1"/>
    </xf>
    <xf numFmtId="0" fontId="19" fillId="7" borderId="35" xfId="0" applyFont="1" applyFill="1" applyBorder="1" applyAlignment="1">
      <alignment horizontal="left" wrapText="1"/>
    </xf>
    <xf numFmtId="0" fontId="0" fillId="42" borderId="0" xfId="0" applyFill="1" applyAlignment="1">
      <alignment horizontal="center"/>
    </xf>
    <xf numFmtId="0" fontId="0" fillId="42" borderId="0" xfId="0" applyFill="1" applyAlignment="1">
      <alignment horizontal="center" vertical="center"/>
    </xf>
    <xf numFmtId="0" fontId="51" fillId="5" borderId="35" xfId="0" applyFont="1" applyFill="1" applyBorder="1" applyAlignment="1">
      <alignment horizontal="left" vertical="top" wrapText="1"/>
    </xf>
    <xf numFmtId="0" fontId="46" fillId="5" borderId="0" xfId="5" applyFill="1" applyAlignment="1">
      <alignment horizontal="right" vertical="center"/>
    </xf>
    <xf numFmtId="0" fontId="113" fillId="5" borderId="0" xfId="5" applyFont="1" applyFill="1" applyAlignment="1">
      <alignment horizontal="left" vertical="center" wrapText="1"/>
    </xf>
    <xf numFmtId="0" fontId="105" fillId="5" borderId="35" xfId="0" applyFont="1" applyFill="1" applyBorder="1" applyAlignment="1">
      <alignment horizontal="center" vertical="center" wrapText="1"/>
    </xf>
    <xf numFmtId="0" fontId="105" fillId="5" borderId="0" xfId="0" applyFont="1" applyFill="1" applyAlignment="1">
      <alignment horizontal="center" vertical="center"/>
    </xf>
    <xf numFmtId="0" fontId="51" fillId="14" borderId="35" xfId="0" applyFont="1" applyFill="1" applyBorder="1" applyAlignment="1">
      <alignment horizontal="left" vertical="top" wrapText="1"/>
    </xf>
    <xf numFmtId="0" fontId="46" fillId="14" borderId="0" xfId="1" applyFont="1" applyFill="1" applyBorder="1" applyAlignment="1">
      <alignment horizontal="right" vertical="center"/>
    </xf>
    <xf numFmtId="0" fontId="46" fillId="14" borderId="0" xfId="1" applyFont="1" applyFill="1" applyAlignment="1">
      <alignment horizontal="right" vertical="center"/>
    </xf>
    <xf numFmtId="0" fontId="113" fillId="14" borderId="0" xfId="1" applyFont="1" applyFill="1" applyAlignment="1">
      <alignment horizontal="left" vertical="center" wrapText="1"/>
    </xf>
    <xf numFmtId="164" fontId="113" fillId="14" borderId="0" xfId="5" applyNumberFormat="1" applyFont="1" applyFill="1" applyAlignment="1">
      <alignment horizontal="center" vertical="center"/>
    </xf>
    <xf numFmtId="0" fontId="112" fillId="14" borderId="0" xfId="0" applyFont="1" applyFill="1" applyAlignment="1">
      <alignment horizontal="center" vertical="center"/>
    </xf>
    <xf numFmtId="0" fontId="32" fillId="14" borderId="0" xfId="0" applyFont="1" applyFill="1" applyAlignment="1">
      <alignment horizontal="left" vertical="center" wrapText="1"/>
    </xf>
    <xf numFmtId="0" fontId="2" fillId="42" borderId="0" xfId="0" applyFont="1" applyFill="1" applyAlignment="1">
      <alignment vertical="top" wrapText="1"/>
    </xf>
    <xf numFmtId="0" fontId="46" fillId="42" borderId="37" xfId="5" applyFill="1" applyBorder="1" applyAlignment="1">
      <alignment horizontal="right" vertical="center"/>
    </xf>
    <xf numFmtId="0" fontId="3" fillId="42" borderId="0" xfId="1" applyFill="1" applyAlignment="1">
      <alignment horizontal="right"/>
    </xf>
    <xf numFmtId="0" fontId="113" fillId="42" borderId="0" xfId="1" applyFont="1" applyFill="1" applyAlignment="1">
      <alignment horizontal="left" vertical="top" wrapText="1"/>
    </xf>
    <xf numFmtId="0" fontId="94" fillId="42" borderId="0" xfId="5" applyFont="1" applyFill="1" applyAlignment="1">
      <alignment horizontal="right" vertical="center"/>
    </xf>
    <xf numFmtId="0" fontId="106" fillId="42" borderId="0" xfId="5" applyFont="1" applyFill="1" applyAlignment="1">
      <alignment horizontal="right" vertical="center"/>
    </xf>
    <xf numFmtId="0" fontId="46" fillId="5" borderId="37" xfId="5" applyFill="1" applyBorder="1" applyAlignment="1">
      <alignment horizontal="right" vertical="center"/>
    </xf>
    <xf numFmtId="0" fontId="105" fillId="42" borderId="0" xfId="0" applyFont="1" applyFill="1" applyAlignment="1">
      <alignment horizontal="center" vertical="center"/>
    </xf>
    <xf numFmtId="0" fontId="105" fillId="42" borderId="0" xfId="0" applyFont="1" applyFill="1" applyAlignment="1">
      <alignment horizontal="center" vertical="center" wrapText="1"/>
    </xf>
    <xf numFmtId="0" fontId="105" fillId="5" borderId="50" xfId="0" applyFont="1" applyFill="1" applyBorder="1" applyAlignment="1">
      <alignment horizontal="center" vertical="center"/>
    </xf>
    <xf numFmtId="0" fontId="105" fillId="5" borderId="50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105" fillId="42" borderId="50" xfId="0" applyFont="1" applyFill="1" applyBorder="1" applyAlignment="1">
      <alignment horizontal="center" vertical="center"/>
    </xf>
    <xf numFmtId="0" fontId="105" fillId="42" borderId="50" xfId="0" applyFont="1" applyFill="1" applyBorder="1" applyAlignment="1">
      <alignment horizontal="center" vertical="center" wrapText="1"/>
    </xf>
    <xf numFmtId="0" fontId="105" fillId="5" borderId="35" xfId="0" applyFont="1" applyFill="1" applyBorder="1" applyAlignment="1">
      <alignment horizontal="center" vertical="center"/>
    </xf>
    <xf numFmtId="0" fontId="105" fillId="14" borderId="35" xfId="0" applyFont="1" applyFill="1" applyBorder="1" applyAlignment="1">
      <alignment horizontal="center" vertical="center"/>
    </xf>
    <xf numFmtId="0" fontId="105" fillId="14" borderId="35" xfId="0" applyFont="1" applyFill="1" applyBorder="1" applyAlignment="1">
      <alignment horizontal="center" vertical="center" wrapText="1"/>
    </xf>
    <xf numFmtId="0" fontId="105" fillId="42" borderId="35" xfId="0" applyFont="1" applyFill="1" applyBorder="1" applyAlignment="1">
      <alignment horizontal="center" vertical="center"/>
    </xf>
    <xf numFmtId="0" fontId="105" fillId="42" borderId="35" xfId="0" applyFont="1" applyFill="1" applyBorder="1" applyAlignment="1">
      <alignment horizontal="center" vertical="center" wrapText="1"/>
    </xf>
    <xf numFmtId="0" fontId="105" fillId="42" borderId="47" xfId="0" applyFont="1" applyFill="1" applyBorder="1" applyAlignment="1">
      <alignment horizontal="center" vertical="center"/>
    </xf>
    <xf numFmtId="0" fontId="105" fillId="42" borderId="47" xfId="0" applyFont="1" applyFill="1" applyBorder="1" applyAlignment="1">
      <alignment horizontal="center" vertical="center" wrapText="1"/>
    </xf>
    <xf numFmtId="0" fontId="32" fillId="2" borderId="7" xfId="0" applyFont="1" applyFill="1" applyBorder="1"/>
    <xf numFmtId="0" fontId="0" fillId="2" borderId="37" xfId="0" applyFill="1" applyBorder="1"/>
    <xf numFmtId="0" fontId="38" fillId="2" borderId="37" xfId="0" applyFont="1" applyFill="1" applyBorder="1"/>
    <xf numFmtId="0" fontId="0" fillId="7" borderId="0" xfId="0" applyFont="1" applyFill="1"/>
    <xf numFmtId="0" fontId="88" fillId="2" borderId="0" xfId="0" applyFont="1" applyFill="1" applyBorder="1" applyAlignment="1">
      <alignment vertical="center" wrapText="1"/>
    </xf>
    <xf numFmtId="0" fontId="111" fillId="39" borderId="0" xfId="0" applyFont="1" applyFill="1" applyAlignment="1">
      <alignment horizontal="center"/>
    </xf>
    <xf numFmtId="0" fontId="0" fillId="39" borderId="32" xfId="0" applyFill="1" applyBorder="1"/>
    <xf numFmtId="0" fontId="26" fillId="39" borderId="0" xfId="0" applyFont="1" applyFill="1"/>
    <xf numFmtId="0" fontId="14" fillId="39" borderId="0" xfId="0" applyFont="1" applyFill="1"/>
    <xf numFmtId="0" fontId="23" fillId="39" borderId="0" xfId="0" applyFont="1" applyFill="1"/>
    <xf numFmtId="0" fontId="75" fillId="39" borderId="0" xfId="0" applyFont="1" applyFill="1"/>
    <xf numFmtId="0" fontId="0" fillId="39" borderId="36" xfId="0" applyFill="1" applyBorder="1"/>
    <xf numFmtId="0" fontId="2" fillId="2" borderId="37" xfId="0" applyFont="1" applyFill="1" applyBorder="1"/>
    <xf numFmtId="0" fontId="0" fillId="2" borderId="39" xfId="0" applyFill="1" applyBorder="1"/>
    <xf numFmtId="0" fontId="26" fillId="2" borderId="37" xfId="0" applyFont="1" applyFill="1" applyBorder="1"/>
    <xf numFmtId="0" fontId="23" fillId="2" borderId="37" xfId="0" applyFont="1" applyFill="1" applyBorder="1"/>
    <xf numFmtId="0" fontId="75" fillId="2" borderId="37" xfId="0" applyFont="1" applyFill="1" applyBorder="1"/>
    <xf numFmtId="0" fontId="1" fillId="2" borderId="0" xfId="0" applyFont="1" applyFill="1"/>
    <xf numFmtId="0" fontId="111" fillId="2" borderId="0" xfId="0" applyFont="1" applyFill="1" applyAlignment="1">
      <alignment horizontal="center"/>
    </xf>
    <xf numFmtId="0" fontId="0" fillId="2" borderId="32" xfId="0" applyFill="1" applyBorder="1"/>
    <xf numFmtId="0" fontId="14" fillId="2" borderId="0" xfId="0" applyFont="1" applyFill="1"/>
    <xf numFmtId="0" fontId="75" fillId="2" borderId="0" xfId="0" applyFont="1" applyFill="1"/>
    <xf numFmtId="0" fontId="0" fillId="2" borderId="36" xfId="0" applyFill="1" applyBorder="1"/>
    <xf numFmtId="0" fontId="0" fillId="4" borderId="6" xfId="0" applyFont="1" applyFill="1" applyBorder="1" applyAlignment="1">
      <alignment horizontal="left" vertical="center"/>
    </xf>
    <xf numFmtId="0" fontId="40" fillId="39" borderId="37" xfId="0" applyFont="1" applyFill="1" applyBorder="1" applyAlignment="1"/>
    <xf numFmtId="0" fontId="67" fillId="39" borderId="37" xfId="0" applyFont="1" applyFill="1" applyBorder="1"/>
    <xf numFmtId="0" fontId="67" fillId="39" borderId="39" xfId="0" applyFont="1" applyFill="1" applyBorder="1"/>
    <xf numFmtId="0" fontId="51" fillId="14" borderId="50" xfId="0" applyFont="1" applyFill="1" applyBorder="1" applyAlignment="1">
      <alignment horizontal="left" vertical="top" wrapText="1"/>
    </xf>
    <xf numFmtId="0" fontId="94" fillId="14" borderId="0" xfId="5" applyFont="1" applyFill="1" applyAlignment="1">
      <alignment horizontal="right" vertical="center"/>
    </xf>
    <xf numFmtId="0" fontId="3" fillId="14" borderId="0" xfId="1" applyFill="1" applyAlignment="1">
      <alignment horizontal="right" vertical="center"/>
    </xf>
    <xf numFmtId="0" fontId="105" fillId="14" borderId="50" xfId="0" applyFont="1" applyFill="1" applyBorder="1" applyAlignment="1">
      <alignment horizontal="center" vertical="center"/>
    </xf>
    <xf numFmtId="0" fontId="105" fillId="14" borderId="50" xfId="0" applyFont="1" applyFill="1" applyBorder="1" applyAlignment="1">
      <alignment horizontal="center" vertical="center" wrapText="1"/>
    </xf>
    <xf numFmtId="0" fontId="0" fillId="14" borderId="0" xfId="0" applyFill="1" applyAlignment="1">
      <alignment horizontal="center"/>
    </xf>
    <xf numFmtId="0" fontId="40" fillId="39" borderId="0" xfId="0" applyFont="1" applyFill="1"/>
    <xf numFmtId="0" fontId="40" fillId="39" borderId="32" xfId="0" applyFont="1" applyFill="1" applyBorder="1"/>
    <xf numFmtId="0" fontId="40" fillId="39" borderId="36" xfId="0" applyFont="1" applyFill="1" applyBorder="1"/>
    <xf numFmtId="0" fontId="113" fillId="5" borderId="0" xfId="1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0" fillId="5" borderId="0" xfId="0" applyFill="1" applyAlignment="1">
      <alignment horizontal="right" vertical="center"/>
    </xf>
    <xf numFmtId="0" fontId="112" fillId="5" borderId="35" xfId="0" applyFont="1" applyFill="1" applyBorder="1" applyAlignment="1">
      <alignment horizontal="center" vertical="center"/>
    </xf>
    <xf numFmtId="0" fontId="28" fillId="0" borderId="0" xfId="0" applyFont="1" applyFill="1"/>
    <xf numFmtId="0" fontId="25" fillId="4" borderId="32" xfId="0" applyFont="1" applyFill="1" applyBorder="1"/>
    <xf numFmtId="0" fontId="22" fillId="4" borderId="0" xfId="0" applyFont="1" applyFill="1"/>
    <xf numFmtId="0" fontId="32" fillId="4" borderId="0" xfId="0" applyFont="1" applyFill="1"/>
    <xf numFmtId="0" fontId="88" fillId="4" borderId="0" xfId="0" applyFont="1" applyFill="1"/>
    <xf numFmtId="0" fontId="25" fillId="4" borderId="36" xfId="0" applyFont="1" applyFill="1" applyBorder="1"/>
    <xf numFmtId="0" fontId="117" fillId="4" borderId="0" xfId="0" applyFont="1" applyFill="1" applyAlignment="1">
      <alignment horizontal="left" vertical="center"/>
    </xf>
    <xf numFmtId="0" fontId="14" fillId="29" borderId="0" xfId="0" applyFont="1" applyFill="1"/>
    <xf numFmtId="0" fontId="14" fillId="33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4" fillId="2" borderId="0" xfId="0" applyFont="1" applyFill="1" applyAlignment="1">
      <alignment vertical="center"/>
    </xf>
    <xf numFmtId="0" fontId="14" fillId="29" borderId="0" xfId="0" applyFont="1" applyFill="1" applyAlignment="1">
      <alignment vertical="center"/>
    </xf>
    <xf numFmtId="0" fontId="14" fillId="8" borderId="2" xfId="0" applyFont="1" applyFill="1" applyBorder="1" applyAlignment="1">
      <alignment vertical="center"/>
    </xf>
    <xf numFmtId="0" fontId="14" fillId="8" borderId="6" xfId="0" applyFont="1" applyFill="1" applyBorder="1" applyAlignment="1">
      <alignment vertical="center"/>
    </xf>
    <xf numFmtId="0" fontId="14" fillId="8" borderId="7" xfId="0" applyFont="1" applyFill="1" applyBorder="1" applyAlignment="1">
      <alignment vertical="center"/>
    </xf>
    <xf numFmtId="0" fontId="14" fillId="2" borderId="39" xfId="0" applyFont="1" applyFill="1" applyBorder="1" applyAlignment="1">
      <alignment vertical="center"/>
    </xf>
    <xf numFmtId="0" fontId="14" fillId="33" borderId="0" xfId="0" applyFont="1" applyFill="1"/>
    <xf numFmtId="0" fontId="118" fillId="0" borderId="34" xfId="0" applyFont="1" applyFill="1" applyBorder="1"/>
    <xf numFmtId="0" fontId="119" fillId="19" borderId="34" xfId="0" applyFont="1" applyFill="1" applyBorder="1"/>
    <xf numFmtId="0" fontId="18" fillId="0" borderId="34" xfId="0" applyFont="1" applyFill="1" applyBorder="1"/>
    <xf numFmtId="0" fontId="18" fillId="2" borderId="38" xfId="0" applyFont="1" applyFill="1" applyBorder="1"/>
    <xf numFmtId="0" fontId="18" fillId="19" borderId="34" xfId="0" applyFont="1" applyFill="1" applyBorder="1"/>
    <xf numFmtId="0" fontId="18" fillId="0" borderId="38" xfId="0" applyFont="1" applyFill="1" applyBorder="1"/>
    <xf numFmtId="0" fontId="14" fillId="0" borderId="0" xfId="0" applyFont="1" applyFill="1" applyBorder="1"/>
    <xf numFmtId="0" fontId="14" fillId="19" borderId="0" xfId="0" applyFont="1" applyFill="1" applyBorder="1"/>
    <xf numFmtId="0" fontId="14" fillId="0" borderId="0" xfId="0" applyFont="1" applyBorder="1"/>
    <xf numFmtId="0" fontId="14" fillId="4" borderId="2" xfId="0" applyFont="1" applyFill="1" applyBorder="1" applyAlignment="1">
      <alignment horizontal="left" vertical="center"/>
    </xf>
    <xf numFmtId="0" fontId="14" fillId="33" borderId="0" xfId="0" applyFont="1" applyFill="1" applyAlignment="1">
      <alignment horizontal="left" vertical="center"/>
    </xf>
    <xf numFmtId="0" fontId="14" fillId="19" borderId="0" xfId="0" applyFont="1" applyFill="1" applyAlignment="1">
      <alignment horizontal="left" vertical="center"/>
    </xf>
    <xf numFmtId="0" fontId="14" fillId="4" borderId="6" xfId="0" applyFont="1" applyFill="1" applyBorder="1" applyAlignment="1">
      <alignment horizontal="left" vertical="center"/>
    </xf>
    <xf numFmtId="0" fontId="14" fillId="4" borderId="7" xfId="0" applyFont="1" applyFill="1" applyBorder="1" applyAlignment="1">
      <alignment horizontal="left" vertical="center"/>
    </xf>
    <xf numFmtId="0" fontId="14" fillId="4" borderId="17" xfId="0" applyFont="1" applyFill="1" applyBorder="1" applyAlignment="1">
      <alignment horizontal="left" vertical="center"/>
    </xf>
    <xf numFmtId="0" fontId="14" fillId="4" borderId="31" xfId="0" applyFont="1" applyFill="1" applyBorder="1" applyAlignment="1">
      <alignment horizontal="left" vertical="center"/>
    </xf>
    <xf numFmtId="49" fontId="73" fillId="4" borderId="1" xfId="0" applyNumberFormat="1" applyFont="1" applyFill="1" applyBorder="1" applyAlignment="1">
      <alignment horizontal="left" vertical="center" wrapText="1"/>
    </xf>
    <xf numFmtId="0" fontId="73" fillId="4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26" fillId="0" borderId="36" xfId="0" applyFont="1" applyFill="1" applyBorder="1" applyAlignment="1">
      <alignment horizontal="left" vertical="center"/>
    </xf>
    <xf numFmtId="0" fontId="0" fillId="19" borderId="0" xfId="0" applyFill="1" applyBorder="1" applyAlignment="1">
      <alignment horizontal="left" vertical="center"/>
    </xf>
    <xf numFmtId="0" fontId="26" fillId="0" borderId="0" xfId="0" applyFont="1" applyFill="1" applyAlignment="1">
      <alignment horizontal="left" vertical="center"/>
    </xf>
    <xf numFmtId="0" fontId="73" fillId="2" borderId="4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73" fillId="2" borderId="1" xfId="0" applyFont="1" applyFill="1" applyBorder="1" applyAlignment="1">
      <alignment horizontal="left" vertical="center" wrapText="1"/>
    </xf>
    <xf numFmtId="0" fontId="75" fillId="0" borderId="0" xfId="0" applyFont="1" applyFill="1" applyAlignment="1">
      <alignment horizontal="left" vertical="center"/>
    </xf>
    <xf numFmtId="0" fontId="75" fillId="0" borderId="0" xfId="0" applyFont="1" applyAlignment="1">
      <alignment horizontal="left" vertical="center"/>
    </xf>
    <xf numFmtId="0" fontId="89" fillId="2" borderId="6" xfId="0" applyFont="1" applyFill="1" applyBorder="1" applyAlignment="1">
      <alignment horizontal="left" vertical="center"/>
    </xf>
    <xf numFmtId="0" fontId="75" fillId="19" borderId="0" xfId="0" applyFont="1" applyFill="1" applyAlignment="1">
      <alignment horizontal="left" vertical="center"/>
    </xf>
    <xf numFmtId="0" fontId="89" fillId="2" borderId="7" xfId="0" applyFont="1" applyFill="1" applyBorder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88" fillId="2" borderId="2" xfId="0" applyFont="1" applyFill="1" applyBorder="1" applyAlignment="1">
      <alignment horizontal="left" vertical="center" wrapText="1"/>
    </xf>
    <xf numFmtId="0" fontId="88" fillId="2" borderId="6" xfId="0" applyFont="1" applyFill="1" applyBorder="1" applyAlignment="1">
      <alignment horizontal="left" vertical="center" wrapText="1"/>
    </xf>
    <xf numFmtId="0" fontId="88" fillId="4" borderId="2" xfId="0" applyFont="1" applyFill="1" applyBorder="1" applyAlignment="1">
      <alignment horizontal="left" vertical="center" wrapText="1"/>
    </xf>
    <xf numFmtId="0" fontId="88" fillId="4" borderId="6" xfId="0" applyFont="1" applyFill="1" applyBorder="1" applyAlignment="1">
      <alignment horizontal="left" vertical="center" wrapText="1"/>
    </xf>
    <xf numFmtId="0" fontId="88" fillId="4" borderId="7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3" fillId="19" borderId="0" xfId="0" applyFont="1" applyFill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4" fillId="29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14" fillId="14" borderId="0" xfId="0" applyFont="1" applyFill="1"/>
    <xf numFmtId="0" fontId="14" fillId="14" borderId="0" xfId="0" applyFont="1" applyFill="1" applyAlignment="1">
      <alignment horizontal="left" vertical="center"/>
    </xf>
    <xf numFmtId="0" fontId="40" fillId="39" borderId="0" xfId="0" applyFont="1" applyFill="1" applyBorder="1"/>
    <xf numFmtId="0" fontId="67" fillId="39" borderId="0" xfId="0" applyFont="1" applyFill="1" applyBorder="1"/>
    <xf numFmtId="0" fontId="0" fillId="19" borderId="0" xfId="0" applyFont="1" applyFill="1" applyBorder="1"/>
    <xf numFmtId="0" fontId="25" fillId="4" borderId="0" xfId="0" applyFont="1" applyFill="1" applyBorder="1"/>
    <xf numFmtId="0" fontId="14" fillId="19" borderId="0" xfId="0" applyFont="1" applyFill="1" applyBorder="1" applyAlignment="1">
      <alignment vertical="center"/>
    </xf>
    <xf numFmtId="0" fontId="14" fillId="19" borderId="0" xfId="0" applyFont="1" applyFill="1" applyBorder="1" applyAlignment="1">
      <alignment horizontal="left" vertical="center"/>
    </xf>
    <xf numFmtId="0" fontId="0" fillId="39" borderId="0" xfId="0" applyFill="1" applyBorder="1"/>
    <xf numFmtId="0" fontId="0" fillId="2" borderId="0" xfId="0" applyFill="1" applyBorder="1"/>
    <xf numFmtId="0" fontId="25" fillId="19" borderId="0" xfId="0" applyFont="1" applyFill="1"/>
    <xf numFmtId="0" fontId="25" fillId="19" borderId="0" xfId="0" applyFont="1" applyFill="1" applyAlignment="1">
      <alignment vertical="center"/>
    </xf>
    <xf numFmtId="0" fontId="25" fillId="19" borderId="0" xfId="0" applyFont="1" applyFill="1" applyAlignment="1">
      <alignment horizontal="left" vertical="center"/>
    </xf>
    <xf numFmtId="0" fontId="120" fillId="19" borderId="37" xfId="0" applyFont="1" applyFill="1" applyBorder="1"/>
    <xf numFmtId="0" fontId="120" fillId="19" borderId="0" xfId="0" applyFont="1" applyFill="1" applyBorder="1"/>
    <xf numFmtId="0" fontId="117" fillId="19" borderId="0" xfId="0" applyFont="1" applyFill="1"/>
    <xf numFmtId="0" fontId="25" fillId="19" borderId="37" xfId="0" applyFont="1" applyFill="1" applyBorder="1"/>
    <xf numFmtId="0" fontId="67" fillId="19" borderId="37" xfId="0" applyFont="1" applyFill="1" applyBorder="1"/>
    <xf numFmtId="0" fontId="67" fillId="19" borderId="0" xfId="0" applyFont="1" applyFill="1" applyBorder="1"/>
    <xf numFmtId="0" fontId="40" fillId="19" borderId="0" xfId="0" applyFont="1" applyFill="1"/>
    <xf numFmtId="0" fontId="0" fillId="19" borderId="37" xfId="0" applyFill="1" applyBorder="1"/>
    <xf numFmtId="0" fontId="79" fillId="43" borderId="0" xfId="0" applyFont="1" applyFill="1" applyBorder="1" applyAlignment="1">
      <alignment vertical="center"/>
    </xf>
    <xf numFmtId="0" fontId="80" fillId="43" borderId="0" xfId="0" applyFont="1" applyFill="1" applyBorder="1" applyAlignment="1">
      <alignment vertical="center"/>
    </xf>
    <xf numFmtId="0" fontId="67" fillId="39" borderId="60" xfId="0" applyFont="1" applyFill="1" applyBorder="1"/>
    <xf numFmtId="0" fontId="67" fillId="39" borderId="61" xfId="0" applyFont="1" applyFill="1" applyBorder="1"/>
    <xf numFmtId="0" fontId="121" fillId="39" borderId="59" xfId="0" applyFont="1" applyFill="1" applyBorder="1"/>
    <xf numFmtId="0" fontId="121" fillId="39" borderId="37" xfId="0" applyFont="1" applyFill="1" applyBorder="1"/>
    <xf numFmtId="0" fontId="25" fillId="23" borderId="0" xfId="0" applyFont="1" applyFill="1"/>
    <xf numFmtId="0" fontId="0" fillId="2" borderId="0" xfId="0" applyFont="1" applyFill="1"/>
    <xf numFmtId="0" fontId="122" fillId="2" borderId="0" xfId="0" applyFont="1" applyFill="1"/>
    <xf numFmtId="0" fontId="90" fillId="5" borderId="35" xfId="0" applyFont="1" applyFill="1" applyBorder="1" applyAlignment="1">
      <alignment horizontal="center" vertical="center"/>
    </xf>
    <xf numFmtId="0" fontId="105" fillId="5" borderId="47" xfId="0" applyFont="1" applyFill="1" applyBorder="1" applyAlignment="1">
      <alignment vertical="center"/>
    </xf>
    <xf numFmtId="0" fontId="105" fillId="5" borderId="47" xfId="0" applyFont="1" applyFill="1" applyBorder="1" applyAlignment="1">
      <alignment vertical="center" wrapText="1"/>
    </xf>
    <xf numFmtId="0" fontId="105" fillId="5" borderId="0" xfId="0" applyFont="1" applyFill="1" applyBorder="1" applyAlignment="1">
      <alignment vertical="center" wrapText="1"/>
    </xf>
    <xf numFmtId="0" fontId="90" fillId="5" borderId="0" xfId="0" applyFont="1" applyFill="1" applyAlignment="1">
      <alignment horizontal="center" vertical="center"/>
    </xf>
    <xf numFmtId="0" fontId="105" fillId="5" borderId="35" xfId="0" applyFont="1" applyFill="1" applyBorder="1" applyAlignment="1">
      <alignment vertical="center"/>
    </xf>
    <xf numFmtId="0" fontId="105" fillId="5" borderId="35" xfId="0" applyFont="1" applyFill="1" applyBorder="1" applyAlignment="1">
      <alignment vertical="center" wrapText="1"/>
    </xf>
    <xf numFmtId="0" fontId="2" fillId="44" borderId="0" xfId="0" applyFont="1" applyFill="1" applyBorder="1" applyAlignment="1">
      <alignment wrapText="1"/>
    </xf>
    <xf numFmtId="0" fontId="41" fillId="44" borderId="0" xfId="0" applyFont="1" applyFill="1" applyBorder="1" applyAlignment="1">
      <alignment horizontal="right" vertical="center"/>
    </xf>
    <xf numFmtId="0" fontId="3" fillId="44" borderId="0" xfId="1" applyFill="1" applyBorder="1" applyAlignment="1">
      <alignment horizontal="right" vertical="center"/>
    </xf>
    <xf numFmtId="0" fontId="90" fillId="44" borderId="0" xfId="0" applyFont="1" applyFill="1" applyBorder="1" applyAlignment="1">
      <alignment horizontal="center" vertical="center"/>
    </xf>
    <xf numFmtId="0" fontId="105" fillId="44" borderId="0" xfId="0" applyFont="1" applyFill="1" applyBorder="1" applyAlignment="1">
      <alignment vertical="center"/>
    </xf>
    <xf numFmtId="0" fontId="105" fillId="44" borderId="0" xfId="0" applyFont="1" applyFill="1" applyBorder="1" applyAlignment="1">
      <alignment vertical="center" wrapText="1"/>
    </xf>
    <xf numFmtId="0" fontId="0" fillId="44" borderId="0" xfId="0" applyFill="1" applyBorder="1"/>
    <xf numFmtId="0" fontId="51" fillId="44" borderId="35" xfId="0" applyFont="1" applyFill="1" applyBorder="1" applyAlignment="1">
      <alignment horizontal="left" vertical="top" wrapText="1"/>
    </xf>
    <xf numFmtId="0" fontId="3" fillId="44" borderId="0" xfId="1" applyFill="1" applyAlignment="1">
      <alignment horizontal="right" vertical="center"/>
    </xf>
    <xf numFmtId="0" fontId="90" fillId="44" borderId="0" xfId="0" applyFont="1" applyFill="1" applyAlignment="1">
      <alignment horizontal="center" vertical="center"/>
    </xf>
    <xf numFmtId="0" fontId="105" fillId="44" borderId="35" xfId="0" applyFont="1" applyFill="1" applyBorder="1" applyAlignment="1">
      <alignment vertical="center"/>
    </xf>
    <xf numFmtId="0" fontId="105" fillId="44" borderId="35" xfId="0" applyFont="1" applyFill="1" applyBorder="1" applyAlignment="1">
      <alignment vertical="center" wrapText="1"/>
    </xf>
    <xf numFmtId="0" fontId="46" fillId="44" borderId="0" xfId="5" applyFill="1" applyBorder="1" applyAlignment="1">
      <alignment horizontal="right" vertical="center"/>
    </xf>
    <xf numFmtId="0" fontId="46" fillId="44" borderId="0" xfId="5" applyFill="1" applyAlignment="1">
      <alignment horizontal="right" vertical="center"/>
    </xf>
    <xf numFmtId="0" fontId="90" fillId="44" borderId="35" xfId="0" applyFont="1" applyFill="1" applyBorder="1" applyAlignment="1">
      <alignment horizontal="center" vertical="center"/>
    </xf>
    <xf numFmtId="0" fontId="51" fillId="30" borderId="35" xfId="0" applyFont="1" applyFill="1" applyBorder="1" applyAlignment="1">
      <alignment horizontal="left" vertical="top" wrapText="1"/>
    </xf>
    <xf numFmtId="0" fontId="46" fillId="30" borderId="0" xfId="1" applyFont="1" applyFill="1" applyBorder="1" applyAlignment="1">
      <alignment horizontal="right" vertical="center"/>
    </xf>
    <xf numFmtId="0" fontId="3" fillId="30" borderId="0" xfId="1" applyFill="1" applyAlignment="1">
      <alignment horizontal="right" vertical="center"/>
    </xf>
    <xf numFmtId="0" fontId="90" fillId="30" borderId="0" xfId="0" applyFont="1" applyFill="1" applyAlignment="1">
      <alignment horizontal="center" vertical="center"/>
    </xf>
    <xf numFmtId="0" fontId="105" fillId="30" borderId="35" xfId="0" applyFont="1" applyFill="1" applyBorder="1" applyAlignment="1">
      <alignment vertical="center"/>
    </xf>
    <xf numFmtId="0" fontId="105" fillId="30" borderId="35" xfId="0" applyFont="1" applyFill="1" applyBorder="1" applyAlignment="1">
      <alignment vertical="center" wrapText="1"/>
    </xf>
    <xf numFmtId="0" fontId="105" fillId="30" borderId="0" xfId="0" applyFont="1" applyFill="1" applyBorder="1" applyAlignment="1">
      <alignment vertical="center" wrapText="1"/>
    </xf>
    <xf numFmtId="0" fontId="0" fillId="20" borderId="0" xfId="0" applyFont="1" applyFill="1"/>
    <xf numFmtId="0" fontId="32" fillId="19" borderId="0" xfId="0" applyFont="1" applyFill="1"/>
    <xf numFmtId="0" fontId="23" fillId="19" borderId="37" xfId="0" applyFont="1" applyFill="1" applyBorder="1"/>
    <xf numFmtId="0" fontId="123" fillId="19" borderId="0" xfId="0" applyFont="1" applyFill="1"/>
    <xf numFmtId="0" fontId="22" fillId="19" borderId="0" xfId="0" applyFont="1" applyFill="1"/>
    <xf numFmtId="0" fontId="26" fillId="19" borderId="37" xfId="0" applyFont="1" applyFill="1" applyBorder="1"/>
    <xf numFmtId="0" fontId="124" fillId="19" borderId="0" xfId="0" applyFont="1" applyFill="1"/>
    <xf numFmtId="0" fontId="15" fillId="19" borderId="0" xfId="0" applyFont="1" applyFill="1"/>
    <xf numFmtId="0" fontId="67" fillId="7" borderId="0" xfId="0" applyFont="1" applyFill="1"/>
    <xf numFmtId="0" fontId="67" fillId="19" borderId="0" xfId="0" applyFont="1" applyFill="1"/>
    <xf numFmtId="0" fontId="120" fillId="19" borderId="0" xfId="0" applyFont="1" applyFill="1"/>
    <xf numFmtId="0" fontId="0" fillId="0" borderId="37" xfId="0" applyFill="1" applyBorder="1"/>
    <xf numFmtId="0" fontId="23" fillId="0" borderId="0" xfId="0" applyFont="1" applyFill="1" applyAlignment="1">
      <alignment horizontal="left" vertical="center"/>
    </xf>
    <xf numFmtId="0" fontId="23" fillId="0" borderId="37" xfId="0" applyFont="1" applyFill="1" applyBorder="1"/>
    <xf numFmtId="0" fontId="15" fillId="0" borderId="0" xfId="0" applyFont="1" applyFill="1"/>
    <xf numFmtId="0" fontId="14" fillId="20" borderId="0" xfId="0" applyFont="1" applyFill="1"/>
    <xf numFmtId="0" fontId="125" fillId="39" borderId="37" xfId="0" applyFont="1" applyFill="1" applyBorder="1"/>
    <xf numFmtId="0" fontId="40" fillId="14" borderId="0" xfId="0" applyFont="1" applyFill="1"/>
    <xf numFmtId="0" fontId="67" fillId="14" borderId="0" xfId="0" applyFont="1" applyFill="1"/>
    <xf numFmtId="0" fontId="40" fillId="2" borderId="32" xfId="0" applyFont="1" applyFill="1" applyBorder="1"/>
    <xf numFmtId="0" fontId="67" fillId="2" borderId="0" xfId="0" applyFont="1" applyFill="1"/>
    <xf numFmtId="0" fontId="40" fillId="14" borderId="32" xfId="0" applyFont="1" applyFill="1" applyBorder="1"/>
    <xf numFmtId="0" fontId="40" fillId="2" borderId="0" xfId="0" applyFont="1" applyFill="1"/>
    <xf numFmtId="0" fontId="40" fillId="29" borderId="32" xfId="0" applyFont="1" applyFill="1" applyBorder="1"/>
    <xf numFmtId="0" fontId="67" fillId="29" borderId="0" xfId="0" applyFont="1" applyFill="1"/>
    <xf numFmtId="0" fontId="40" fillId="15" borderId="0" xfId="0" applyFont="1" applyFill="1" applyBorder="1"/>
    <xf numFmtId="0" fontId="67" fillId="15" borderId="0" xfId="0" applyFont="1" applyFill="1"/>
    <xf numFmtId="0" fontId="67" fillId="15" borderId="36" xfId="0" applyFont="1" applyFill="1" applyBorder="1"/>
    <xf numFmtId="0" fontId="40" fillId="5" borderId="0" xfId="0" applyFont="1" applyFill="1" applyBorder="1"/>
    <xf numFmtId="0" fontId="67" fillId="5" borderId="0" xfId="0" applyFont="1" applyFill="1"/>
    <xf numFmtId="0" fontId="40" fillId="7" borderId="0" xfId="0" applyFont="1" applyFill="1"/>
    <xf numFmtId="0" fontId="40" fillId="8" borderId="0" xfId="0" applyFont="1" applyFill="1"/>
    <xf numFmtId="0" fontId="67" fillId="8" borderId="0" xfId="0" applyFont="1" applyFill="1"/>
    <xf numFmtId="0" fontId="40" fillId="20" borderId="0" xfId="0" applyFont="1" applyFill="1"/>
    <xf numFmtId="0" fontId="67" fillId="20" borderId="0" xfId="0" applyFont="1" applyFill="1"/>
    <xf numFmtId="0" fontId="40" fillId="15" borderId="0" xfId="0" applyFont="1" applyFill="1"/>
    <xf numFmtId="0" fontId="40" fillId="26" borderId="0" xfId="0" applyFont="1" applyFill="1"/>
    <xf numFmtId="0" fontId="67" fillId="26" borderId="0" xfId="0" applyFont="1" applyFill="1"/>
    <xf numFmtId="0" fontId="67" fillId="39" borderId="34" xfId="0" applyFont="1" applyFill="1" applyBorder="1"/>
    <xf numFmtId="0" fontId="121" fillId="39" borderId="34" xfId="0" applyFont="1" applyFill="1" applyBorder="1"/>
    <xf numFmtId="0" fontId="67" fillId="39" borderId="38" xfId="0" applyFont="1" applyFill="1" applyBorder="1"/>
    <xf numFmtId="0" fontId="125" fillId="39" borderId="33" xfId="0" applyFont="1" applyFill="1" applyBorder="1" applyAlignment="1">
      <alignment horizontal="center"/>
    </xf>
    <xf numFmtId="0" fontId="125" fillId="19" borderId="33" xfId="0" applyFont="1" applyFill="1" applyBorder="1"/>
    <xf numFmtId="0" fontId="67" fillId="19" borderId="34" xfId="0" applyFont="1" applyFill="1" applyBorder="1"/>
    <xf numFmtId="0" fontId="121" fillId="19" borderId="34" xfId="0" applyFont="1" applyFill="1" applyBorder="1"/>
    <xf numFmtId="0" fontId="0" fillId="44" borderId="0" xfId="0" applyFill="1"/>
    <xf numFmtId="0" fontId="46" fillId="0" borderId="0" xfId="5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left" vertical="top"/>
    </xf>
    <xf numFmtId="0" fontId="54" fillId="21" borderId="0" xfId="5" applyFont="1" applyFill="1" applyAlignment="1">
      <alignment horizontal="left" vertical="center" wrapText="1"/>
    </xf>
    <xf numFmtId="0" fontId="60" fillId="0" borderId="0" xfId="5" applyFont="1" applyFill="1" applyAlignment="1">
      <alignment horizontal="center" vertical="center" wrapText="1"/>
    </xf>
    <xf numFmtId="0" fontId="2" fillId="8" borderId="17" xfId="0" applyFont="1" applyFill="1" applyBorder="1" applyAlignment="1">
      <alignment horizontal="center"/>
    </xf>
    <xf numFmtId="0" fontId="2" fillId="8" borderId="18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</cellXfs>
  <cellStyles count="6">
    <cellStyle name="Гиперссылка" xfId="1" builtinId="8"/>
    <cellStyle name="Гиперссылка 2" xfId="5" xr:uid="{73E58D77-5B45-47FE-B97B-5EAE0AC6C3A3}"/>
    <cellStyle name="Обычный" xfId="0" builtinId="0"/>
    <cellStyle name="Обычный 2" xfId="3" xr:uid="{B5F328FA-F39A-43B6-8615-FD599E226CF5}"/>
    <cellStyle name="Процентный 2" xfId="4" xr:uid="{D68DACD7-EC37-4E0D-BD13-73F9162D05DC}"/>
    <cellStyle name="Финансовый 2" xfId="2" xr:uid="{D0DD5660-8E33-41CE-86C5-7F895DE9DD21}"/>
  </cellStyles>
  <dxfs count="0"/>
  <tableStyles count="0" defaultTableStyle="TableStyleMedium2" defaultPivotStyle="PivotStyleLight16"/>
  <colors>
    <mruColors>
      <color rgb="FFFFD1D2"/>
      <color rgb="FFFFFFCC"/>
      <color rgb="FFD1D1FF"/>
      <color rgb="FFFFAFB1"/>
      <color rgb="FFF8DCDF"/>
      <color rgb="FFFFFF66"/>
      <color rgb="FFFFCCFF"/>
      <color rgb="FFF9D1B5"/>
      <color rgb="FFE1E1FF"/>
      <color rgb="FFFFCD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19</xdr:col>
      <xdr:colOff>851322</xdr:colOff>
      <xdr:row>59</xdr:row>
      <xdr:rowOff>19050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440650"/>
          <a:ext cx="21387222" cy="3448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22</xdr:row>
      <xdr:rowOff>0</xdr:rowOff>
    </xdr:from>
    <xdr:to>
      <xdr:col>4</xdr:col>
      <xdr:colOff>152400</xdr:colOff>
      <xdr:row>22</xdr:row>
      <xdr:rowOff>152400</xdr:rowOff>
    </xdr:to>
    <xdr:sp macro="" textlink="">
      <xdr:nvSpPr>
        <xdr:cNvPr id="2" name="AutoShape 6" descr="Epic - Создано Jira Software — не изменять и не удалять. Тип задачи для большой пользовательской истории, требующей декомпозиции.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18089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152400</xdr:colOff>
      <xdr:row>33</xdr:row>
      <xdr:rowOff>152400</xdr:rowOff>
    </xdr:to>
    <xdr:sp macro="" textlink="">
      <xdr:nvSpPr>
        <xdr:cNvPr id="3" name="AutoShape 13" descr="High - Serious problem that could block progress.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28125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152400</xdr:colOff>
      <xdr:row>33</xdr:row>
      <xdr:rowOff>152400</xdr:rowOff>
    </xdr:to>
    <xdr:sp macro="" textlink="">
      <xdr:nvSpPr>
        <xdr:cNvPr id="4" name="AutoShape 14" descr="Epic - Создано Jira Software — не изменять и не удалять. Тип задачи для большой пользовательской истории, требующей декомпозиции.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28125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152400</xdr:colOff>
      <xdr:row>33</xdr:row>
      <xdr:rowOff>152400</xdr:rowOff>
    </xdr:to>
    <xdr:sp macro="" textlink="">
      <xdr:nvSpPr>
        <xdr:cNvPr id="5" name="AutoShape 17" descr="Epic - Создано Jira Software — не изменять и не удалять. Тип задачи для большой пользовательской истории, требующей декомпозиции.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281254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sp macro="" textlink="">
      <xdr:nvSpPr>
        <xdr:cNvPr id="6" name="AutoShape 13" descr="High - Serious problem that could block progress.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2738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sp macro="" textlink="">
      <xdr:nvSpPr>
        <xdr:cNvPr id="7" name="AutoShape 14" descr="Epic - Создано Jira Software — не изменять и не удалять. Тип задачи для большой пользовательской истории, требующей декомпозиции.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2738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152400</xdr:colOff>
      <xdr:row>29</xdr:row>
      <xdr:rowOff>152400</xdr:rowOff>
    </xdr:to>
    <xdr:sp macro="" textlink="">
      <xdr:nvSpPr>
        <xdr:cNvPr id="8" name="AutoShape 13" descr="High - Serious problem that could block progress.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22738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152400</xdr:colOff>
      <xdr:row>29</xdr:row>
      <xdr:rowOff>152400</xdr:rowOff>
    </xdr:to>
    <xdr:sp macro="" textlink="">
      <xdr:nvSpPr>
        <xdr:cNvPr id="9" name="AutoShape 14" descr="Epic - Создано Jira Software — не изменять и не удалять. Тип задачи для большой пользовательской истории, требующей декомпозиции.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229100" y="227380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152400" cy="152400"/>
    <xdr:sp macro="" textlink="">
      <xdr:nvSpPr>
        <xdr:cNvPr id="2" name="AutoShape 6" descr="Epic - Создано Jira Software — не изменять и не удалять. Тип задачи для большой пользовательской истории, требующей декомпозиции.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5303520" y="403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152400" cy="152400"/>
    <xdr:sp macro="" textlink="">
      <xdr:nvSpPr>
        <xdr:cNvPr id="3" name="AutoShape 13" descr="High - Serious problem that could block progress.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5303520" y="30784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</xdr:row>
      <xdr:rowOff>317500</xdr:rowOff>
    </xdr:from>
    <xdr:ext cx="152400" cy="145738"/>
    <xdr:sp macro="" textlink="">
      <xdr:nvSpPr>
        <xdr:cNvPr id="4" name="AutoShape 14" descr="Epic - Создано Jira Software — не изменять и не удалять. Тип задачи для большой пользовательской истории, требующей декомпозиции.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683760" y="3586480"/>
          <a:ext cx="152400" cy="14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152400" cy="152400"/>
    <xdr:sp macro="" textlink="">
      <xdr:nvSpPr>
        <xdr:cNvPr id="5" name="AutoShape 6" descr="Epic - Создано Jira Software — не изменять и не удалять. Тип задачи для большой пользовательской истории, требующей декомпозиции.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5305425" y="47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</xdr:row>
      <xdr:rowOff>0</xdr:rowOff>
    </xdr:from>
    <xdr:ext cx="152400" cy="152400"/>
    <xdr:sp macro="" textlink="">
      <xdr:nvSpPr>
        <xdr:cNvPr id="6" name="AutoShape 13" descr="High - Serious problem that could block progress.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5305425" y="3076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165100</xdr:colOff>
      <xdr:row>10</xdr:row>
      <xdr:rowOff>317500</xdr:rowOff>
    </xdr:from>
    <xdr:ext cx="152400" cy="145738"/>
    <xdr:sp macro="" textlink="">
      <xdr:nvSpPr>
        <xdr:cNvPr id="7" name="AutoShape 14" descr="Epic - Создано Jira Software — не изменять и не удалять. Тип задачи для большой пользовательской истории, требующей декомпозиции.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689475" y="4318000"/>
          <a:ext cx="152400" cy="14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152400" cy="152400"/>
    <xdr:sp macro="" textlink="">
      <xdr:nvSpPr>
        <xdr:cNvPr id="8" name="AutoShape 6" descr="Epic - Создано Jira Software — не изменять и не удалять. Тип задачи для большой пользовательской истории, требующей декомпозиции.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8764250" y="533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152400" cy="152400"/>
    <xdr:sp macro="" textlink="">
      <xdr:nvSpPr>
        <xdr:cNvPr id="9" name="AutoShape 13" descr="High - Serious problem that could block progress.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8764250" y="714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317500</xdr:rowOff>
    </xdr:from>
    <xdr:ext cx="152400" cy="145738"/>
    <xdr:sp macro="" textlink="">
      <xdr:nvSpPr>
        <xdr:cNvPr id="10" name="AutoShape 14" descr="Epic - Создано Jira Software — не изменять и не удалять. Тип задачи для большой пользовательской истории, требующей декомпозиции.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7956848" y="4286091"/>
          <a:ext cx="152400" cy="14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152400" cy="152400"/>
    <xdr:sp macro="" textlink="">
      <xdr:nvSpPr>
        <xdr:cNvPr id="11" name="AutoShape 6" descr="Epic - Создано Jira Software — не изменять и не удалять. Тип задачи для большой пользовательской истории, требующей декомпозиции.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8764250" y="561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152400" cy="152400"/>
    <xdr:sp macro="" textlink="">
      <xdr:nvSpPr>
        <xdr:cNvPr id="12" name="AutoShape 13" descr="High - Serious problem that could block progress.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8764250" y="892969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317500</xdr:rowOff>
    </xdr:from>
    <xdr:ext cx="152400" cy="145738"/>
    <xdr:sp macro="" textlink="">
      <xdr:nvSpPr>
        <xdr:cNvPr id="13" name="AutoShape 14" descr="Epic - Создано Jira Software — не изменять и не удалять. Тип задачи для большой пользовательской истории, требующей декомпозиции.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7956848" y="4571841"/>
          <a:ext cx="152400" cy="14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152400" cy="152400"/>
    <xdr:sp macro="" textlink="">
      <xdr:nvSpPr>
        <xdr:cNvPr id="14" name="AutoShape 6" descr="Epic - Создано Jira Software — не изменять и не удалять. Тип задачи для большой пользовательской истории, требующей декомпозиции.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8764250" y="5976938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</xdr:row>
      <xdr:rowOff>0</xdr:rowOff>
    </xdr:from>
    <xdr:ext cx="152400" cy="152400"/>
    <xdr:sp macro="" textlink="">
      <xdr:nvSpPr>
        <xdr:cNvPr id="15" name="AutoShape 13" descr="High - Serious problem that could block progress.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8764250" y="892969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317500</xdr:rowOff>
    </xdr:from>
    <xdr:ext cx="152400" cy="145738"/>
    <xdr:sp macro="" textlink="">
      <xdr:nvSpPr>
        <xdr:cNvPr id="16" name="AutoShape 14" descr="Epic - Создано Jira Software — не изменять и не удалять. Тип задачи для большой пользовательской истории, требующей декомпозиции.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7956848" y="4929029"/>
          <a:ext cx="152400" cy="14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15</xdr:row>
      <xdr:rowOff>0</xdr:rowOff>
    </xdr:from>
    <xdr:ext cx="152400" cy="152400"/>
    <xdr:sp macro="" textlink="">
      <xdr:nvSpPr>
        <xdr:cNvPr id="2" name="AutoShape 6" descr="Epic - Создано Jira Software — не изменять и не удалять. Тип задачи для большой пользовательской истории, требующей декомпозиции.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2423160" y="90525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</xdr:row>
      <xdr:rowOff>0</xdr:rowOff>
    </xdr:from>
    <xdr:ext cx="152400" cy="152400"/>
    <xdr:sp macro="" textlink="">
      <xdr:nvSpPr>
        <xdr:cNvPr id="3" name="AutoShape 13" descr="High - Serious problem that could block progress.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423160" y="731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165100</xdr:colOff>
      <xdr:row>10</xdr:row>
      <xdr:rowOff>317500</xdr:rowOff>
    </xdr:from>
    <xdr:ext cx="152400" cy="145738"/>
    <xdr:sp macro="" textlink="">
      <xdr:nvSpPr>
        <xdr:cNvPr id="4" name="AutoShape 14" descr="Epic - Создано Jira Software — не изменять и не удалять. Тип задачи для большой пользовательской истории, требующей декомпозиции.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978660" y="6169660"/>
          <a:ext cx="152400" cy="145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79</xdr:row>
      <xdr:rowOff>114027</xdr:rowOff>
    </xdr:from>
    <xdr:to>
      <xdr:col>17</xdr:col>
      <xdr:colOff>344804</xdr:colOff>
      <xdr:row>98</xdr:row>
      <xdr:rowOff>123552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464370"/>
          <a:ext cx="21363908" cy="3525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jira.megafon.ru/browse/B2CPROD-1221" TargetMode="External"/><Relationship Id="rId18" Type="http://schemas.openxmlformats.org/officeDocument/2006/relationships/hyperlink" Target="https://jira.megafon.ru/browse/B2CPROD-906" TargetMode="External"/><Relationship Id="rId26" Type="http://schemas.openxmlformats.org/officeDocument/2006/relationships/hyperlink" Target="https://cko-jira.megafon.ru/browse/LK-25912" TargetMode="External"/><Relationship Id="rId39" Type="http://schemas.openxmlformats.org/officeDocument/2006/relationships/hyperlink" Target="https://jira.megafon.ru/browse/CKO-56368" TargetMode="External"/><Relationship Id="rId21" Type="http://schemas.openxmlformats.org/officeDocument/2006/relationships/hyperlink" Target="https://cko-jira.megafon.ru/browse/WLK-13222" TargetMode="External"/><Relationship Id="rId34" Type="http://schemas.openxmlformats.org/officeDocument/2006/relationships/hyperlink" Target="https://jira.megafon.ru/browse/CKO-56696" TargetMode="External"/><Relationship Id="rId42" Type="http://schemas.openxmlformats.org/officeDocument/2006/relationships/hyperlink" Target="https://jira.megafon.ru/browse/B2CPROD-111" TargetMode="External"/><Relationship Id="rId47" Type="http://schemas.openxmlformats.org/officeDocument/2006/relationships/hyperlink" Target="https://jira.megafon.ru/browse/CKO-44874" TargetMode="External"/><Relationship Id="rId50" Type="http://schemas.openxmlformats.org/officeDocument/2006/relationships/hyperlink" Target="https://jira.megafon.ru/browse/B2CPROD-1221" TargetMode="External"/><Relationship Id="rId55" Type="http://schemas.openxmlformats.org/officeDocument/2006/relationships/hyperlink" Target="https://cko-jira.megafon.ru/browse/WLK-13221" TargetMode="External"/><Relationship Id="rId63" Type="http://schemas.openxmlformats.org/officeDocument/2006/relationships/vmlDrawing" Target="../drawings/vmlDrawing1.vml"/><Relationship Id="rId7" Type="http://schemas.openxmlformats.org/officeDocument/2006/relationships/hyperlink" Target="https://jira.megafon.ru/browse/CKO-54554" TargetMode="External"/><Relationship Id="rId2" Type="http://schemas.openxmlformats.org/officeDocument/2006/relationships/hyperlink" Target="https://jira.megafon.ru/browse/B2CPROD-111" TargetMode="External"/><Relationship Id="rId16" Type="http://schemas.openxmlformats.org/officeDocument/2006/relationships/hyperlink" Target="https://jira.megafon.ru/browse/B2CPROD-121" TargetMode="External"/><Relationship Id="rId29" Type="http://schemas.openxmlformats.org/officeDocument/2006/relationships/hyperlink" Target="https://jira.megafon.ru/browse/CKO-56496" TargetMode="External"/><Relationship Id="rId11" Type="http://schemas.openxmlformats.org/officeDocument/2006/relationships/hyperlink" Target="https://jira.megafon.ru/browse/CKO-44874" TargetMode="External"/><Relationship Id="rId24" Type="http://schemas.openxmlformats.org/officeDocument/2006/relationships/hyperlink" Target="https://cko-jira.megafon.ru/browse/LK-26909" TargetMode="External"/><Relationship Id="rId32" Type="http://schemas.openxmlformats.org/officeDocument/2006/relationships/hyperlink" Target="https://jira.megafon.ru/browse/B2CPROD-1176" TargetMode="External"/><Relationship Id="rId37" Type="http://schemas.openxmlformats.org/officeDocument/2006/relationships/hyperlink" Target="https://jira.megafon.ru/browse/B2CPROD-1022" TargetMode="External"/><Relationship Id="rId40" Type="http://schemas.openxmlformats.org/officeDocument/2006/relationships/hyperlink" Target="https://jira.megafon.ru/browse/CKO-56496" TargetMode="External"/><Relationship Id="rId45" Type="http://schemas.openxmlformats.org/officeDocument/2006/relationships/hyperlink" Target="https://jira.megafon.ru/browse/CKO-36890" TargetMode="External"/><Relationship Id="rId53" Type="http://schemas.openxmlformats.org/officeDocument/2006/relationships/hyperlink" Target="https://jira.megafon.ru/browse/B2CPROD-15" TargetMode="External"/><Relationship Id="rId58" Type="http://schemas.openxmlformats.org/officeDocument/2006/relationships/hyperlink" Target="https://cko-jira.megafon.ru/browse/LK-26885" TargetMode="External"/><Relationship Id="rId5" Type="http://schemas.openxmlformats.org/officeDocument/2006/relationships/hyperlink" Target="https://jira.megafon.ru/browse/B2CPROD-1177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jira.megafon.ru/browse/B2CPROD-1022" TargetMode="External"/><Relationship Id="rId14" Type="http://schemas.openxmlformats.org/officeDocument/2006/relationships/hyperlink" Target="https://jira.megafon.ru/browse/CKO-56872" TargetMode="External"/><Relationship Id="rId22" Type="http://schemas.openxmlformats.org/officeDocument/2006/relationships/hyperlink" Target="https://cko-jira.megafon.ru/browse/WLK-13221" TargetMode="External"/><Relationship Id="rId27" Type="http://schemas.openxmlformats.org/officeDocument/2006/relationships/hyperlink" Target="https://jira.megafon.ru/browse/CKO-56360" TargetMode="External"/><Relationship Id="rId30" Type="http://schemas.openxmlformats.org/officeDocument/2006/relationships/hyperlink" Target="https://jira.megafon.ru/browse/B2CPROD-1018" TargetMode="External"/><Relationship Id="rId35" Type="http://schemas.openxmlformats.org/officeDocument/2006/relationships/hyperlink" Target="https://jira.megafon.ru/browse/B2CPROD-121" TargetMode="External"/><Relationship Id="rId43" Type="http://schemas.openxmlformats.org/officeDocument/2006/relationships/hyperlink" Target="https://jira.megafon.ru/browse/CKO-56665" TargetMode="External"/><Relationship Id="rId48" Type="http://schemas.openxmlformats.org/officeDocument/2006/relationships/hyperlink" Target="https://jira.megafon.ru/browse/B2CPROD-76" TargetMode="External"/><Relationship Id="rId56" Type="http://schemas.openxmlformats.org/officeDocument/2006/relationships/hyperlink" Target="https://cko-jira.megafon.ru/browse/WLK-13220" TargetMode="External"/><Relationship Id="rId64" Type="http://schemas.openxmlformats.org/officeDocument/2006/relationships/comments" Target="../comments1.xml"/><Relationship Id="rId8" Type="http://schemas.openxmlformats.org/officeDocument/2006/relationships/hyperlink" Target="https://jira.megafon.ru/browse/CKO-54568" TargetMode="External"/><Relationship Id="rId51" Type="http://schemas.openxmlformats.org/officeDocument/2006/relationships/hyperlink" Target="https://jira.megafon.ru/browse/CKO-56872" TargetMode="External"/><Relationship Id="rId3" Type="http://schemas.openxmlformats.org/officeDocument/2006/relationships/hyperlink" Target="https://jira.megafon.ru/browse/CKO-56665" TargetMode="External"/><Relationship Id="rId12" Type="http://schemas.openxmlformats.org/officeDocument/2006/relationships/hyperlink" Target="https://jira.megafon.ru/browse/B2CPROD-76" TargetMode="External"/><Relationship Id="rId17" Type="http://schemas.openxmlformats.org/officeDocument/2006/relationships/hyperlink" Target="https://jira.megafon.ru/browse/B2CPROD-121" TargetMode="External"/><Relationship Id="rId25" Type="http://schemas.openxmlformats.org/officeDocument/2006/relationships/hyperlink" Target="https://cko-jira.megafon.ru/browse/LK-26885" TargetMode="External"/><Relationship Id="rId33" Type="http://schemas.openxmlformats.org/officeDocument/2006/relationships/hyperlink" Target="https://jira.megafon.ru/browse/CKO-54554" TargetMode="External"/><Relationship Id="rId38" Type="http://schemas.openxmlformats.org/officeDocument/2006/relationships/hyperlink" Target="https://jira.megafon.ru/browse/CKO-56360" TargetMode="External"/><Relationship Id="rId46" Type="http://schemas.openxmlformats.org/officeDocument/2006/relationships/hyperlink" Target="https://jira.megafon.ru/browse/CKO-39986" TargetMode="External"/><Relationship Id="rId59" Type="http://schemas.openxmlformats.org/officeDocument/2006/relationships/hyperlink" Target="https://cko-jira.megafon.ru/browse/LK-25912" TargetMode="External"/><Relationship Id="rId20" Type="http://schemas.openxmlformats.org/officeDocument/2006/relationships/hyperlink" Target="https://jira.megafon.ru/browse/B2CPROD-15" TargetMode="External"/><Relationship Id="rId41" Type="http://schemas.openxmlformats.org/officeDocument/2006/relationships/hyperlink" Target="https://jira.megafon.ru/browse/B2CPROD-849" TargetMode="External"/><Relationship Id="rId54" Type="http://schemas.openxmlformats.org/officeDocument/2006/relationships/hyperlink" Target="https://cko-jira.megafon.ru/browse/WLK-13222" TargetMode="External"/><Relationship Id="rId62" Type="http://schemas.openxmlformats.org/officeDocument/2006/relationships/drawing" Target="../drawings/drawing1.xml"/><Relationship Id="rId1" Type="http://schemas.openxmlformats.org/officeDocument/2006/relationships/hyperlink" Target="https://jira.megafon.ru/browse/B2CPROD-849" TargetMode="External"/><Relationship Id="rId6" Type="http://schemas.openxmlformats.org/officeDocument/2006/relationships/hyperlink" Target="https://jira.megafon.ru/browse/B2CPROD-1176" TargetMode="External"/><Relationship Id="rId15" Type="http://schemas.openxmlformats.org/officeDocument/2006/relationships/hyperlink" Target="https://jira.megafon.ru/browse/CKO-56696" TargetMode="External"/><Relationship Id="rId23" Type="http://schemas.openxmlformats.org/officeDocument/2006/relationships/hyperlink" Target="https://cko-jira.megafon.ru/browse/WLK-13220" TargetMode="External"/><Relationship Id="rId28" Type="http://schemas.openxmlformats.org/officeDocument/2006/relationships/hyperlink" Target="https://jira.megafon.ru/browse/CKO-56368" TargetMode="External"/><Relationship Id="rId36" Type="http://schemas.openxmlformats.org/officeDocument/2006/relationships/hyperlink" Target="https://jira.megafon.ru/browse/B2CPROD-121" TargetMode="External"/><Relationship Id="rId49" Type="http://schemas.openxmlformats.org/officeDocument/2006/relationships/hyperlink" Target="https://jira.megafon.ru/browse/CKO-56799" TargetMode="External"/><Relationship Id="rId57" Type="http://schemas.openxmlformats.org/officeDocument/2006/relationships/hyperlink" Target="https://cko-jira.megafon.ru/browse/LK-26909" TargetMode="External"/><Relationship Id="rId10" Type="http://schemas.openxmlformats.org/officeDocument/2006/relationships/hyperlink" Target="https://jira.megafon.ru/browse/CKO-39986" TargetMode="External"/><Relationship Id="rId31" Type="http://schemas.openxmlformats.org/officeDocument/2006/relationships/hyperlink" Target="https://jira.megafon.ru/browse/B2CPROD-1177" TargetMode="External"/><Relationship Id="rId44" Type="http://schemas.openxmlformats.org/officeDocument/2006/relationships/hyperlink" Target="https://jira.megafon.ru/browse/CKO-54568" TargetMode="External"/><Relationship Id="rId52" Type="http://schemas.openxmlformats.org/officeDocument/2006/relationships/hyperlink" Target="https://jira.megafon.ru/browse/B2CPROD-906" TargetMode="External"/><Relationship Id="rId60" Type="http://schemas.openxmlformats.org/officeDocument/2006/relationships/hyperlink" Target="https://jira.megafon.ru/browse/CKO-56799" TargetMode="External"/><Relationship Id="rId4" Type="http://schemas.openxmlformats.org/officeDocument/2006/relationships/hyperlink" Target="https://jira.megafon.ru/browse/B2CPROD-1018" TargetMode="External"/><Relationship Id="rId9" Type="http://schemas.openxmlformats.org/officeDocument/2006/relationships/hyperlink" Target="https://jira.megafon.ru/browse/CKO-3689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jira.megafon.ru/browse/B2CPROD-1360" TargetMode="External"/><Relationship Id="rId18" Type="http://schemas.openxmlformats.org/officeDocument/2006/relationships/hyperlink" Target="https://jira.megafon.ru/browse/B2CPROD-938" TargetMode="External"/><Relationship Id="rId26" Type="http://schemas.openxmlformats.org/officeDocument/2006/relationships/hyperlink" Target="https://jira.megafon.ru/browse/B2CPROD-1509" TargetMode="External"/><Relationship Id="rId39" Type="http://schemas.openxmlformats.org/officeDocument/2006/relationships/hyperlink" Target="https://jira.megafon.ru/browse/B2CPROD-121" TargetMode="External"/><Relationship Id="rId21" Type="http://schemas.openxmlformats.org/officeDocument/2006/relationships/hyperlink" Target="https://jira.megafon.ru/browse/B2CPROD-166" TargetMode="External"/><Relationship Id="rId34" Type="http://schemas.openxmlformats.org/officeDocument/2006/relationships/hyperlink" Target="https://jira.megafon.ru/browse/B2CPROD-1387" TargetMode="External"/><Relationship Id="rId42" Type="http://schemas.openxmlformats.org/officeDocument/2006/relationships/hyperlink" Target="https://jira.megafon.ru/browse/B2CPROD-121" TargetMode="External"/><Relationship Id="rId47" Type="http://schemas.openxmlformats.org/officeDocument/2006/relationships/hyperlink" Target="https://jira.megafon.ru/browse/B2CPROD-121" TargetMode="External"/><Relationship Id="rId50" Type="http://schemas.openxmlformats.org/officeDocument/2006/relationships/hyperlink" Target="https://jira.megafon.ru/browse/B2CPROD-121" TargetMode="External"/><Relationship Id="rId55" Type="http://schemas.openxmlformats.org/officeDocument/2006/relationships/hyperlink" Target="https://jira.megafon.ru/browse/B2CPROD-1544" TargetMode="External"/><Relationship Id="rId7" Type="http://schemas.openxmlformats.org/officeDocument/2006/relationships/hyperlink" Target="https://jira.megafon.ru/browse/B2CPROD-1362" TargetMode="External"/><Relationship Id="rId2" Type="http://schemas.openxmlformats.org/officeDocument/2006/relationships/hyperlink" Target="https://jira.megafon.ru/browse/B2CPROD-111" TargetMode="External"/><Relationship Id="rId16" Type="http://schemas.openxmlformats.org/officeDocument/2006/relationships/hyperlink" Target="https://jira.megafon.ru/browse/B2CPROD-1391" TargetMode="External"/><Relationship Id="rId29" Type="http://schemas.openxmlformats.org/officeDocument/2006/relationships/hyperlink" Target="https://jira.megafon.ru/browse/B2CPROD-1402" TargetMode="External"/><Relationship Id="rId11" Type="http://schemas.openxmlformats.org/officeDocument/2006/relationships/hyperlink" Target="https://jira.megafon.ru/browse/B2CPROD-121" TargetMode="External"/><Relationship Id="rId24" Type="http://schemas.openxmlformats.org/officeDocument/2006/relationships/hyperlink" Target="https://jira.megafon.ru/browse/B2CPROD-14" TargetMode="External"/><Relationship Id="rId32" Type="http://schemas.openxmlformats.org/officeDocument/2006/relationships/hyperlink" Target="https://jira.megafon.ru/browse/B2CPROD-1585" TargetMode="External"/><Relationship Id="rId37" Type="http://schemas.openxmlformats.org/officeDocument/2006/relationships/hyperlink" Target="https://jira.megafon.ru/browse/B2CPROD-166" TargetMode="External"/><Relationship Id="rId40" Type="http://schemas.openxmlformats.org/officeDocument/2006/relationships/hyperlink" Target="https://jira.megafon.ru/browse/B2CPROD-121" TargetMode="External"/><Relationship Id="rId45" Type="http://schemas.openxmlformats.org/officeDocument/2006/relationships/hyperlink" Target="https://jira.megafon.ru/browse/B2CPROD-121" TargetMode="External"/><Relationship Id="rId53" Type="http://schemas.openxmlformats.org/officeDocument/2006/relationships/hyperlink" Target="https://jira.megafon.ru/browse/B2CPROD-1523" TargetMode="External"/><Relationship Id="rId5" Type="http://schemas.openxmlformats.org/officeDocument/2006/relationships/hyperlink" Target="https://jira.megafon.ru/browse/B2CPROD-1389" TargetMode="External"/><Relationship Id="rId19" Type="http://schemas.openxmlformats.org/officeDocument/2006/relationships/hyperlink" Target="https://jira.megafon.ru/browse/B2CPROD-915" TargetMode="External"/><Relationship Id="rId4" Type="http://schemas.openxmlformats.org/officeDocument/2006/relationships/hyperlink" Target="https://jira.megafon.ru/browse/B2CPROD-1390" TargetMode="External"/><Relationship Id="rId9" Type="http://schemas.openxmlformats.org/officeDocument/2006/relationships/hyperlink" Target="https://jira.megafon.ru/browse/B2CPROD-1380" TargetMode="External"/><Relationship Id="rId14" Type="http://schemas.openxmlformats.org/officeDocument/2006/relationships/hyperlink" Target="https://jira.megafon.ru/browse/B2CPROD-572" TargetMode="External"/><Relationship Id="rId22" Type="http://schemas.openxmlformats.org/officeDocument/2006/relationships/hyperlink" Target="https://jira.megafon.ru/browse/B2CPROD-1364" TargetMode="External"/><Relationship Id="rId27" Type="http://schemas.openxmlformats.org/officeDocument/2006/relationships/hyperlink" Target="https://jira.megafon.ru/browse/B2CPROD-1416" TargetMode="External"/><Relationship Id="rId30" Type="http://schemas.openxmlformats.org/officeDocument/2006/relationships/hyperlink" Target="https://jira.megafon.ru/browse/B2CPROD-1522" TargetMode="External"/><Relationship Id="rId35" Type="http://schemas.openxmlformats.org/officeDocument/2006/relationships/hyperlink" Target="https://jira.megafon.ru/browse/B2CPROD-932" TargetMode="External"/><Relationship Id="rId43" Type="http://schemas.openxmlformats.org/officeDocument/2006/relationships/hyperlink" Target="https://jira.megafon.ru/browse/B2CPROD-121" TargetMode="External"/><Relationship Id="rId48" Type="http://schemas.openxmlformats.org/officeDocument/2006/relationships/hyperlink" Target="https://jira.megafon.ru/browse/B2CPROD-121" TargetMode="External"/><Relationship Id="rId56" Type="http://schemas.openxmlformats.org/officeDocument/2006/relationships/printerSettings" Target="../printerSettings/printerSettings2.bin"/><Relationship Id="rId8" Type="http://schemas.openxmlformats.org/officeDocument/2006/relationships/hyperlink" Target="https://jira.megafon.ru/browse/B2CPROD-1384" TargetMode="External"/><Relationship Id="rId51" Type="http://schemas.openxmlformats.org/officeDocument/2006/relationships/hyperlink" Target="https://jira.megafon.ru/browse/B2CPROD-1386" TargetMode="External"/><Relationship Id="rId3" Type="http://schemas.openxmlformats.org/officeDocument/2006/relationships/hyperlink" Target="https://jira.megafon.ru/browse/B2CPROD-849" TargetMode="External"/><Relationship Id="rId12" Type="http://schemas.openxmlformats.org/officeDocument/2006/relationships/hyperlink" Target="https://jira.megafon.ru/browse/B2CPROD-1022" TargetMode="External"/><Relationship Id="rId17" Type="http://schemas.openxmlformats.org/officeDocument/2006/relationships/hyperlink" Target="https://jira.megafon.ru/browse/B2CPROD-937" TargetMode="External"/><Relationship Id="rId25" Type="http://schemas.openxmlformats.org/officeDocument/2006/relationships/hyperlink" Target="https://jira.megafon.ru/browse/B2CPROD-1399" TargetMode="External"/><Relationship Id="rId33" Type="http://schemas.openxmlformats.org/officeDocument/2006/relationships/hyperlink" Target="https://jira.megafon.ru/browse/B2CPROD-1584" TargetMode="External"/><Relationship Id="rId38" Type="http://schemas.openxmlformats.org/officeDocument/2006/relationships/hyperlink" Target="https://jira.megafon.ru/browse/B2CPROD-166" TargetMode="External"/><Relationship Id="rId46" Type="http://schemas.openxmlformats.org/officeDocument/2006/relationships/hyperlink" Target="https://jira.megafon.ru/browse/B2CPROD-121" TargetMode="External"/><Relationship Id="rId20" Type="http://schemas.openxmlformats.org/officeDocument/2006/relationships/hyperlink" Target="https://jira.megafon.ru/browse/B2CPROD-914" TargetMode="External"/><Relationship Id="rId41" Type="http://schemas.openxmlformats.org/officeDocument/2006/relationships/hyperlink" Target="https://jira.megafon.ru/browse/B2CPROD-121" TargetMode="External"/><Relationship Id="rId54" Type="http://schemas.openxmlformats.org/officeDocument/2006/relationships/hyperlink" Target="https://jira.megafon.ru/browse/B2CPROD-1697" TargetMode="External"/><Relationship Id="rId1" Type="http://schemas.openxmlformats.org/officeDocument/2006/relationships/hyperlink" Target="https://jira.megafon.ru/browse/B2CPROD-932" TargetMode="External"/><Relationship Id="rId6" Type="http://schemas.openxmlformats.org/officeDocument/2006/relationships/hyperlink" Target="https://jira.megafon.ru/browse/B2CPROD-1363" TargetMode="External"/><Relationship Id="rId15" Type="http://schemas.openxmlformats.org/officeDocument/2006/relationships/hyperlink" Target="https://jira.megafon.ru/browse/B2CPROD-1485" TargetMode="External"/><Relationship Id="rId23" Type="http://schemas.openxmlformats.org/officeDocument/2006/relationships/hyperlink" Target="https://jira.megafon.ru/browse/B2CPROD-1365" TargetMode="External"/><Relationship Id="rId28" Type="http://schemas.openxmlformats.org/officeDocument/2006/relationships/hyperlink" Target="https://jira.megafon.ru/browse/B2CPROD-1418" TargetMode="External"/><Relationship Id="rId36" Type="http://schemas.openxmlformats.org/officeDocument/2006/relationships/hyperlink" Target="https://jira.megafon.ru/browse/B2CPROD-166" TargetMode="External"/><Relationship Id="rId49" Type="http://schemas.openxmlformats.org/officeDocument/2006/relationships/hyperlink" Target="https://jira.megafon.ru/browse/B2CPROD-121" TargetMode="External"/><Relationship Id="rId57" Type="http://schemas.openxmlformats.org/officeDocument/2006/relationships/drawing" Target="../drawings/drawing2.xml"/><Relationship Id="rId10" Type="http://schemas.openxmlformats.org/officeDocument/2006/relationships/hyperlink" Target="https://jira.megafon.ru/browse/B2CPROD-1018" TargetMode="External"/><Relationship Id="rId31" Type="http://schemas.openxmlformats.org/officeDocument/2006/relationships/hyperlink" Target="https://jira.megafon.ru/browse/B2CPROD-1525" TargetMode="External"/><Relationship Id="rId44" Type="http://schemas.openxmlformats.org/officeDocument/2006/relationships/hyperlink" Target="https://jira.megafon.ru/browse/B2CPROD-121" TargetMode="External"/><Relationship Id="rId52" Type="http://schemas.openxmlformats.org/officeDocument/2006/relationships/hyperlink" Target="https://jira.megafon.ru/browse/B2CPROD-1508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megafon.ru/browse/B2CPROD-121" TargetMode="External"/><Relationship Id="rId13" Type="http://schemas.openxmlformats.org/officeDocument/2006/relationships/hyperlink" Target="https://jira.megafon.ru/browse/B2CPROD-121" TargetMode="External"/><Relationship Id="rId18" Type="http://schemas.openxmlformats.org/officeDocument/2006/relationships/hyperlink" Target="https://jira.megafon.ru/browse/B2CPROD-1364" TargetMode="External"/><Relationship Id="rId3" Type="http://schemas.openxmlformats.org/officeDocument/2006/relationships/hyperlink" Target="https://jira.megafon.ru/browse/B2CPROD-166" TargetMode="External"/><Relationship Id="rId21" Type="http://schemas.openxmlformats.org/officeDocument/2006/relationships/drawing" Target="../drawings/drawing3.xml"/><Relationship Id="rId7" Type="http://schemas.openxmlformats.org/officeDocument/2006/relationships/hyperlink" Target="https://jira.megafon.ru/browse/B2CPROD-121" TargetMode="External"/><Relationship Id="rId12" Type="http://schemas.openxmlformats.org/officeDocument/2006/relationships/hyperlink" Target="https://jira.megafon.ru/browse/B2CPROD-1697" TargetMode="External"/><Relationship Id="rId17" Type="http://schemas.openxmlformats.org/officeDocument/2006/relationships/hyperlink" Target="https://jira.megafon.ru/browse/B2CPROD-1390" TargetMode="External"/><Relationship Id="rId2" Type="http://schemas.openxmlformats.org/officeDocument/2006/relationships/hyperlink" Target="https://jira.megafon.ru/browse/B2CPROD-914" TargetMode="External"/><Relationship Id="rId16" Type="http://schemas.openxmlformats.org/officeDocument/2006/relationships/hyperlink" Target="https://jira.megafon.ru/browse/B2CPROD-1503" TargetMode="External"/><Relationship Id="rId20" Type="http://schemas.openxmlformats.org/officeDocument/2006/relationships/printerSettings" Target="../printerSettings/printerSettings3.bin"/><Relationship Id="rId1" Type="http://schemas.openxmlformats.org/officeDocument/2006/relationships/hyperlink" Target="https://jira.megafon.ru/browse/B2CPROD-932" TargetMode="External"/><Relationship Id="rId6" Type="http://schemas.openxmlformats.org/officeDocument/2006/relationships/hyperlink" Target="https://jira.megafon.ru/browse/B2CPROD-121" TargetMode="External"/><Relationship Id="rId11" Type="http://schemas.openxmlformats.org/officeDocument/2006/relationships/hyperlink" Target="https://jira.megafon.ru/browse/B2CPROD-76" TargetMode="External"/><Relationship Id="rId5" Type="http://schemas.openxmlformats.org/officeDocument/2006/relationships/hyperlink" Target="https://jira.megafon.ru/browse/B2CPROD-14" TargetMode="External"/><Relationship Id="rId15" Type="http://schemas.openxmlformats.org/officeDocument/2006/relationships/hyperlink" Target="https://jira.megafon.ru/browse/B2CPROD-1365" TargetMode="External"/><Relationship Id="rId10" Type="http://schemas.openxmlformats.org/officeDocument/2006/relationships/hyperlink" Target="https://jira.megafon.ru/browse/B2CPROD-907" TargetMode="External"/><Relationship Id="rId19" Type="http://schemas.openxmlformats.org/officeDocument/2006/relationships/hyperlink" Target="https://jira.megafon.ru/browse/B2CPROD-1544" TargetMode="External"/><Relationship Id="rId4" Type="http://schemas.openxmlformats.org/officeDocument/2006/relationships/hyperlink" Target="https://jira.megafon.ru/browse/B2CPROD-1389" TargetMode="External"/><Relationship Id="rId9" Type="http://schemas.openxmlformats.org/officeDocument/2006/relationships/hyperlink" Target="https://jira.megafon.ru/browse/B2CPROD-76" TargetMode="External"/><Relationship Id="rId14" Type="http://schemas.openxmlformats.org/officeDocument/2006/relationships/hyperlink" Target="https://jira.megafon.ru/browse/B2CPROD-1386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megafon.ru/browse/B2CPROD-121" TargetMode="External"/><Relationship Id="rId13" Type="http://schemas.openxmlformats.org/officeDocument/2006/relationships/hyperlink" Target="https://jira.megafon.ru/browse/B2CPROD-121" TargetMode="External"/><Relationship Id="rId18" Type="http://schemas.openxmlformats.org/officeDocument/2006/relationships/hyperlink" Target="https://jira.megafon.ru/browse/B2CPROD-1364" TargetMode="External"/><Relationship Id="rId3" Type="http://schemas.openxmlformats.org/officeDocument/2006/relationships/hyperlink" Target="https://jira.megafon.ru/browse/B2CPROD-166" TargetMode="External"/><Relationship Id="rId21" Type="http://schemas.openxmlformats.org/officeDocument/2006/relationships/printerSettings" Target="../printerSettings/printerSettings4.bin"/><Relationship Id="rId7" Type="http://schemas.openxmlformats.org/officeDocument/2006/relationships/hyperlink" Target="https://jira.megafon.ru/browse/B2CPROD-121" TargetMode="External"/><Relationship Id="rId12" Type="http://schemas.openxmlformats.org/officeDocument/2006/relationships/hyperlink" Target="https://jira.megafon.ru/browse/B2CPROD-1697" TargetMode="External"/><Relationship Id="rId17" Type="http://schemas.openxmlformats.org/officeDocument/2006/relationships/hyperlink" Target="https://jira.megafon.ru/browse/B2CPROD-1390" TargetMode="External"/><Relationship Id="rId2" Type="http://schemas.openxmlformats.org/officeDocument/2006/relationships/hyperlink" Target="https://jira.megafon.ru/browse/B2CPROD-914" TargetMode="External"/><Relationship Id="rId16" Type="http://schemas.openxmlformats.org/officeDocument/2006/relationships/hyperlink" Target="https://jira.megafon.ru/browse/B2CPROD-1503" TargetMode="External"/><Relationship Id="rId20" Type="http://schemas.openxmlformats.org/officeDocument/2006/relationships/hyperlink" Target="https://jira.megafon.ru/browse/B2CPROD-1018" TargetMode="External"/><Relationship Id="rId1" Type="http://schemas.openxmlformats.org/officeDocument/2006/relationships/hyperlink" Target="https://jira.megafon.ru/browse/B2CPROD-932" TargetMode="External"/><Relationship Id="rId6" Type="http://schemas.openxmlformats.org/officeDocument/2006/relationships/hyperlink" Target="https://jira.megafon.ru/browse/B2CPROD-121" TargetMode="External"/><Relationship Id="rId11" Type="http://schemas.openxmlformats.org/officeDocument/2006/relationships/hyperlink" Target="https://jira.megafon.ru/browse/B2CPROD-76" TargetMode="External"/><Relationship Id="rId5" Type="http://schemas.openxmlformats.org/officeDocument/2006/relationships/hyperlink" Target="https://jira.megafon.ru/browse/B2CPROD-14" TargetMode="External"/><Relationship Id="rId15" Type="http://schemas.openxmlformats.org/officeDocument/2006/relationships/hyperlink" Target="https://jira.megafon.ru/browse/B2CPROD-1365" TargetMode="External"/><Relationship Id="rId10" Type="http://schemas.openxmlformats.org/officeDocument/2006/relationships/hyperlink" Target="https://jira.megafon.ru/browse/B2CPROD-907" TargetMode="External"/><Relationship Id="rId19" Type="http://schemas.openxmlformats.org/officeDocument/2006/relationships/hyperlink" Target="https://jira.megafon.ru/browse/B2CPROD-1022" TargetMode="External"/><Relationship Id="rId4" Type="http://schemas.openxmlformats.org/officeDocument/2006/relationships/hyperlink" Target="https://jira.megafon.ru/browse/B2CPROD-1389" TargetMode="External"/><Relationship Id="rId9" Type="http://schemas.openxmlformats.org/officeDocument/2006/relationships/hyperlink" Target="https://jira.megafon.ru/browse/B2CPROD-76" TargetMode="External"/><Relationship Id="rId14" Type="http://schemas.openxmlformats.org/officeDocument/2006/relationships/hyperlink" Target="https://jira.megafon.ru/browse/B2CPROD-1386" TargetMode="External"/><Relationship Id="rId22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megafon.ru/browse/CKO-56696" TargetMode="External"/><Relationship Id="rId13" Type="http://schemas.openxmlformats.org/officeDocument/2006/relationships/hyperlink" Target="https://jira.megafon.ru/browse/CKO-56360" TargetMode="External"/><Relationship Id="rId3" Type="http://schemas.openxmlformats.org/officeDocument/2006/relationships/hyperlink" Target="https://jira.megafon.ru/browse/B2CPROD-1176" TargetMode="External"/><Relationship Id="rId7" Type="http://schemas.openxmlformats.org/officeDocument/2006/relationships/hyperlink" Target="https://jira.megafon.ru/browse/B2CPROD-1221" TargetMode="External"/><Relationship Id="rId12" Type="http://schemas.openxmlformats.org/officeDocument/2006/relationships/hyperlink" Target="https://jira.megafon.ru/browse/B2CPROD-15" TargetMode="External"/><Relationship Id="rId2" Type="http://schemas.openxmlformats.org/officeDocument/2006/relationships/hyperlink" Target="https://jira.megafon.ru/browse/B2CPROD-1177" TargetMode="External"/><Relationship Id="rId1" Type="http://schemas.openxmlformats.org/officeDocument/2006/relationships/hyperlink" Target="https://jira.megafon.ru/browse/B2CPROD-1018" TargetMode="External"/><Relationship Id="rId6" Type="http://schemas.openxmlformats.org/officeDocument/2006/relationships/hyperlink" Target="https://jira.megafon.ru/browse/CKO-56799" TargetMode="External"/><Relationship Id="rId11" Type="http://schemas.openxmlformats.org/officeDocument/2006/relationships/hyperlink" Target="https://jira.megafon.ru/browse/B2CPROD-1022" TargetMode="External"/><Relationship Id="rId5" Type="http://schemas.openxmlformats.org/officeDocument/2006/relationships/hyperlink" Target="https://jira.megafon.ru/browse/CKO-54568" TargetMode="External"/><Relationship Id="rId10" Type="http://schemas.openxmlformats.org/officeDocument/2006/relationships/hyperlink" Target="https://jira.megafon.ru/browse/B2CPROD-121" TargetMode="External"/><Relationship Id="rId4" Type="http://schemas.openxmlformats.org/officeDocument/2006/relationships/hyperlink" Target="https://jira.megafon.ru/browse/CKO-54554" TargetMode="External"/><Relationship Id="rId9" Type="http://schemas.openxmlformats.org/officeDocument/2006/relationships/hyperlink" Target="https://jira.megafon.ru/browse/B2CPROD-121" TargetMode="External"/><Relationship Id="rId1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jira.megafon.ru/browse/B2CPROD-915" TargetMode="External"/><Relationship Id="rId18" Type="http://schemas.openxmlformats.org/officeDocument/2006/relationships/hyperlink" Target="https://jira.megafon.ru/browse/B2CPROD-914" TargetMode="External"/><Relationship Id="rId26" Type="http://schemas.openxmlformats.org/officeDocument/2006/relationships/hyperlink" Target="https://jira.megafon.ru/browse/B2CPROD-661" TargetMode="External"/><Relationship Id="rId39" Type="http://schemas.openxmlformats.org/officeDocument/2006/relationships/hyperlink" Target="https://jira.megafon.ru/browse/CKO-56665" TargetMode="External"/><Relationship Id="rId21" Type="http://schemas.openxmlformats.org/officeDocument/2006/relationships/hyperlink" Target="https://jira.megafon.ru/browse/B2CPROD-1176" TargetMode="External"/><Relationship Id="rId34" Type="http://schemas.openxmlformats.org/officeDocument/2006/relationships/hyperlink" Target="https://jira.megafon.ru/browse/CKO-54568" TargetMode="External"/><Relationship Id="rId7" Type="http://schemas.openxmlformats.org/officeDocument/2006/relationships/hyperlink" Target="https://jira.megafon.ru/browse/B2CPROD-166" TargetMode="External"/><Relationship Id="rId12" Type="http://schemas.openxmlformats.org/officeDocument/2006/relationships/hyperlink" Target="https://jira.megafon.ru/browse/B2CPROD-938" TargetMode="External"/><Relationship Id="rId17" Type="http://schemas.openxmlformats.org/officeDocument/2006/relationships/hyperlink" Target="https://jira.megafon.ru/browse/B2CPROD-963" TargetMode="External"/><Relationship Id="rId25" Type="http://schemas.openxmlformats.org/officeDocument/2006/relationships/hyperlink" Target="https://jira.megafon.ru/browse/B2CPROD-664" TargetMode="External"/><Relationship Id="rId33" Type="http://schemas.openxmlformats.org/officeDocument/2006/relationships/hyperlink" Target="https://jira.megafon.ru/browse/B2CPROD-1022" TargetMode="External"/><Relationship Id="rId38" Type="http://schemas.openxmlformats.org/officeDocument/2006/relationships/hyperlink" Target="https://jira.megafon.ru/browse/CKO-45400" TargetMode="External"/><Relationship Id="rId2" Type="http://schemas.openxmlformats.org/officeDocument/2006/relationships/hyperlink" Target="https://jira.megafon.ru/browse/B2CPROD-14" TargetMode="External"/><Relationship Id="rId16" Type="http://schemas.openxmlformats.org/officeDocument/2006/relationships/hyperlink" Target="https://jira.megafon.ru/browse/B2CPROD-932" TargetMode="External"/><Relationship Id="rId20" Type="http://schemas.openxmlformats.org/officeDocument/2006/relationships/hyperlink" Target="https://jira.megafon.ru/browse/B2CPROD-964" TargetMode="External"/><Relationship Id="rId29" Type="http://schemas.openxmlformats.org/officeDocument/2006/relationships/hyperlink" Target="https://jira.megafon.ru/browse/B2CPROD-1171" TargetMode="External"/><Relationship Id="rId1" Type="http://schemas.openxmlformats.org/officeDocument/2006/relationships/hyperlink" Target="https://jira.megafon.ru/browse/B2CPROD-130" TargetMode="External"/><Relationship Id="rId6" Type="http://schemas.openxmlformats.org/officeDocument/2006/relationships/hyperlink" Target="https://jira.megafon.ru/browse/B2CPROD-188" TargetMode="External"/><Relationship Id="rId11" Type="http://schemas.openxmlformats.org/officeDocument/2006/relationships/hyperlink" Target="https://jira.megafon.ru/browse/B2CPROD-937" TargetMode="External"/><Relationship Id="rId24" Type="http://schemas.openxmlformats.org/officeDocument/2006/relationships/hyperlink" Target="https://jira.megafon.ru/browse/B2CPROD-801" TargetMode="External"/><Relationship Id="rId32" Type="http://schemas.openxmlformats.org/officeDocument/2006/relationships/hyperlink" Target="https://jira.megafon.ru/browse/B2CPROD-111" TargetMode="External"/><Relationship Id="rId37" Type="http://schemas.openxmlformats.org/officeDocument/2006/relationships/hyperlink" Target="https://jira.megafon.ru/browse/CKO-44874" TargetMode="External"/><Relationship Id="rId40" Type="http://schemas.openxmlformats.org/officeDocument/2006/relationships/printerSettings" Target="../printerSettings/printerSettings9.bin"/><Relationship Id="rId5" Type="http://schemas.openxmlformats.org/officeDocument/2006/relationships/hyperlink" Target="https://jira.megafon.ru/browse/B2CPROD-186" TargetMode="External"/><Relationship Id="rId15" Type="http://schemas.openxmlformats.org/officeDocument/2006/relationships/hyperlink" Target="https://jira.megafon.ru/browse/B2CPROD-1018" TargetMode="External"/><Relationship Id="rId23" Type="http://schemas.openxmlformats.org/officeDocument/2006/relationships/hyperlink" Target="https://jira.megafon.ru/browse/B2CPROD-494" TargetMode="External"/><Relationship Id="rId28" Type="http://schemas.openxmlformats.org/officeDocument/2006/relationships/hyperlink" Target="https://jira.megafon.ru/browse/B2CPROD-1084" TargetMode="External"/><Relationship Id="rId36" Type="http://schemas.openxmlformats.org/officeDocument/2006/relationships/hyperlink" Target="https://jira.megafon.ru/browse/CKO-39986" TargetMode="External"/><Relationship Id="rId10" Type="http://schemas.openxmlformats.org/officeDocument/2006/relationships/hyperlink" Target="https://jira.megafon.ru/browse/B2CPROD-904" TargetMode="External"/><Relationship Id="rId19" Type="http://schemas.openxmlformats.org/officeDocument/2006/relationships/hyperlink" Target="https://jira.megafon.ru/browse/B2CPROD-934" TargetMode="External"/><Relationship Id="rId31" Type="http://schemas.openxmlformats.org/officeDocument/2006/relationships/hyperlink" Target="https://jira.megafon.ru/browse/B2CPROD-849" TargetMode="External"/><Relationship Id="rId4" Type="http://schemas.openxmlformats.org/officeDocument/2006/relationships/hyperlink" Target="https://jira.megafon.ru/browse/B2CPROD-185" TargetMode="External"/><Relationship Id="rId9" Type="http://schemas.openxmlformats.org/officeDocument/2006/relationships/hyperlink" Target="https://jira.megafon.ru/browse/B2CPROD-1015" TargetMode="External"/><Relationship Id="rId14" Type="http://schemas.openxmlformats.org/officeDocument/2006/relationships/hyperlink" Target="https://jira.megafon.ru/browse/B2CPROD-1023" TargetMode="External"/><Relationship Id="rId22" Type="http://schemas.openxmlformats.org/officeDocument/2006/relationships/hyperlink" Target="https://jira.megafon.ru/browse/B2CPROD-1177" TargetMode="External"/><Relationship Id="rId27" Type="http://schemas.openxmlformats.org/officeDocument/2006/relationships/hyperlink" Target="https://jira.megafon.ru/browse/B2CPROD-1185" TargetMode="External"/><Relationship Id="rId30" Type="http://schemas.openxmlformats.org/officeDocument/2006/relationships/hyperlink" Target="https://jira.megafon.ru/browse/B2CPROD-1172" TargetMode="External"/><Relationship Id="rId35" Type="http://schemas.openxmlformats.org/officeDocument/2006/relationships/hyperlink" Target="https://jira.megafon.ru/browse/CKO-36890" TargetMode="External"/><Relationship Id="rId8" Type="http://schemas.openxmlformats.org/officeDocument/2006/relationships/hyperlink" Target="https://jira.megafon.ru/browse/B2CPROD-133" TargetMode="External"/><Relationship Id="rId3" Type="http://schemas.openxmlformats.org/officeDocument/2006/relationships/hyperlink" Target="https://jira.megafon.ru/browse/B2CPROD-15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jira.megafon.ru/browse/B2CPROD-142" TargetMode="External"/><Relationship Id="rId18" Type="http://schemas.openxmlformats.org/officeDocument/2006/relationships/hyperlink" Target="https://jira.megafon.ru/browse/B2CPROD-121" TargetMode="External"/><Relationship Id="rId26" Type="http://schemas.openxmlformats.org/officeDocument/2006/relationships/hyperlink" Target="https://jira.megafon.ru/browse/B2CPROD-849" TargetMode="External"/><Relationship Id="rId39" Type="http://schemas.openxmlformats.org/officeDocument/2006/relationships/hyperlink" Target="https://jira.megafon.ru/browse/CKO-53773" TargetMode="External"/><Relationship Id="rId21" Type="http://schemas.openxmlformats.org/officeDocument/2006/relationships/hyperlink" Target="https://jira.megafon.ru/browse/B2CPROD-145" TargetMode="External"/><Relationship Id="rId34" Type="http://schemas.openxmlformats.org/officeDocument/2006/relationships/hyperlink" Target="https://jira.megafon.ru/browse/B2CPROD-144" TargetMode="External"/><Relationship Id="rId42" Type="http://schemas.openxmlformats.org/officeDocument/2006/relationships/hyperlink" Target="https://jira.megafon.ru/browse/B2CPROD-855" TargetMode="External"/><Relationship Id="rId47" Type="http://schemas.openxmlformats.org/officeDocument/2006/relationships/hyperlink" Target="https://jira.megafon.ru/browse/CKO-54554" TargetMode="External"/><Relationship Id="rId50" Type="http://schemas.openxmlformats.org/officeDocument/2006/relationships/hyperlink" Target="https://jira.megafon.ru/browse/B2CPROD-499" TargetMode="External"/><Relationship Id="rId55" Type="http://schemas.openxmlformats.org/officeDocument/2006/relationships/hyperlink" Target="https://jira.megafon.ru/browse/B2CPROD-854" TargetMode="External"/><Relationship Id="rId7" Type="http://schemas.openxmlformats.org/officeDocument/2006/relationships/hyperlink" Target="https://jira.megafon.ru/browse/B2CPROD-287" TargetMode="External"/><Relationship Id="rId2" Type="http://schemas.openxmlformats.org/officeDocument/2006/relationships/hyperlink" Target="https://cko-jira.megafon.ru/browse/LK-25917" TargetMode="External"/><Relationship Id="rId16" Type="http://schemas.openxmlformats.org/officeDocument/2006/relationships/hyperlink" Target="https://jira.megafon.ru/browse/B2CPROD-301" TargetMode="External"/><Relationship Id="rId29" Type="http://schemas.openxmlformats.org/officeDocument/2006/relationships/hyperlink" Target="https://jira.megafon.ru/browse/B2CPROD-287" TargetMode="External"/><Relationship Id="rId11" Type="http://schemas.openxmlformats.org/officeDocument/2006/relationships/hyperlink" Target="https://jira.megafon.ru/browse/B2CPROD-276" TargetMode="External"/><Relationship Id="rId24" Type="http://schemas.openxmlformats.org/officeDocument/2006/relationships/hyperlink" Target="https://jira.megafon.ru/browse/B2CPROD-111" TargetMode="External"/><Relationship Id="rId32" Type="http://schemas.openxmlformats.org/officeDocument/2006/relationships/hyperlink" Target="https://jira.megafon.ru/browse/B2CPROD-789" TargetMode="External"/><Relationship Id="rId37" Type="http://schemas.openxmlformats.org/officeDocument/2006/relationships/hyperlink" Target="https://jira.megafon.ru/browse/B2CPROD-97" TargetMode="External"/><Relationship Id="rId40" Type="http://schemas.openxmlformats.org/officeDocument/2006/relationships/hyperlink" Target="https://jira.megafon.ru/browse/CKO-53775" TargetMode="External"/><Relationship Id="rId45" Type="http://schemas.openxmlformats.org/officeDocument/2006/relationships/hyperlink" Target="https://jira.megafon.ru/browse/B2CPROD-857" TargetMode="External"/><Relationship Id="rId53" Type="http://schemas.openxmlformats.org/officeDocument/2006/relationships/hyperlink" Target="https://jira.megafon.ru/browse/CKO-53778" TargetMode="External"/><Relationship Id="rId58" Type="http://schemas.openxmlformats.org/officeDocument/2006/relationships/printerSettings" Target="../printerSettings/printerSettings10.bin"/><Relationship Id="rId5" Type="http://schemas.openxmlformats.org/officeDocument/2006/relationships/hyperlink" Target="https://jira.megafon.ru/browse/B2CPROD-97" TargetMode="External"/><Relationship Id="rId19" Type="http://schemas.openxmlformats.org/officeDocument/2006/relationships/hyperlink" Target="https://jira.megafon.ru/browse/B2CPROD-121" TargetMode="External"/><Relationship Id="rId4" Type="http://schemas.openxmlformats.org/officeDocument/2006/relationships/hyperlink" Target="https://jira.megafon.ru/browse/B2CPROD-91" TargetMode="External"/><Relationship Id="rId9" Type="http://schemas.openxmlformats.org/officeDocument/2006/relationships/hyperlink" Target="https://jira.megafon.ru/browse/B2CPROD-276" TargetMode="External"/><Relationship Id="rId14" Type="http://schemas.openxmlformats.org/officeDocument/2006/relationships/hyperlink" Target="https://jira.megafon.ru/browse/B2CPROD-494" TargetMode="External"/><Relationship Id="rId22" Type="http://schemas.openxmlformats.org/officeDocument/2006/relationships/hyperlink" Target="https://jira.megafon.ru/browse/B2CPROD-146" TargetMode="External"/><Relationship Id="rId27" Type="http://schemas.openxmlformats.org/officeDocument/2006/relationships/hyperlink" Target="https://jira.megafon.ru/browse/B2CPROD-849" TargetMode="External"/><Relationship Id="rId30" Type="http://schemas.openxmlformats.org/officeDocument/2006/relationships/hyperlink" Target="https://jira.megafon.ru/browse/B2CPROD-301" TargetMode="External"/><Relationship Id="rId35" Type="http://schemas.openxmlformats.org/officeDocument/2006/relationships/hyperlink" Target="https://jira.megafon.ru/browse/B2CPROD-145" TargetMode="External"/><Relationship Id="rId43" Type="http://schemas.openxmlformats.org/officeDocument/2006/relationships/hyperlink" Target="https://jira.megafon.ru/browse/B2CPROD-854" TargetMode="External"/><Relationship Id="rId48" Type="http://schemas.openxmlformats.org/officeDocument/2006/relationships/hyperlink" Target="https://jira.megafon.ru/browse/CKO-54558" TargetMode="External"/><Relationship Id="rId56" Type="http://schemas.openxmlformats.org/officeDocument/2006/relationships/hyperlink" Target="https://cko-jira.megafon.ru/browse/LK-25434" TargetMode="External"/><Relationship Id="rId8" Type="http://schemas.openxmlformats.org/officeDocument/2006/relationships/hyperlink" Target="https://jira.megafon.ru/browse/CKO-54695" TargetMode="External"/><Relationship Id="rId51" Type="http://schemas.openxmlformats.org/officeDocument/2006/relationships/hyperlink" Target="https://jira.megafon.ru/browse/CKO-53773" TargetMode="External"/><Relationship Id="rId3" Type="http://schemas.openxmlformats.org/officeDocument/2006/relationships/hyperlink" Target="https://cko-jira.megafon.ru/browse/LK-25911" TargetMode="External"/><Relationship Id="rId12" Type="http://schemas.openxmlformats.org/officeDocument/2006/relationships/hyperlink" Target="https://jira.megafon.ru/browse/B2CPROD-276" TargetMode="External"/><Relationship Id="rId17" Type="http://schemas.openxmlformats.org/officeDocument/2006/relationships/hyperlink" Target="https://jira.megafon.ru/browse/B2CPROD-121" TargetMode="External"/><Relationship Id="rId25" Type="http://schemas.openxmlformats.org/officeDocument/2006/relationships/hyperlink" Target="https://jira.megafon.ru/browse/B2CPROD-114" TargetMode="External"/><Relationship Id="rId33" Type="http://schemas.openxmlformats.org/officeDocument/2006/relationships/hyperlink" Target="https://jira.megafon.ru/browse/B2CPROD-285" TargetMode="External"/><Relationship Id="rId38" Type="http://schemas.openxmlformats.org/officeDocument/2006/relationships/hyperlink" Target="https://jira.megafon.ru/browse/B2CPROD-498" TargetMode="External"/><Relationship Id="rId46" Type="http://schemas.openxmlformats.org/officeDocument/2006/relationships/hyperlink" Target="https://jira.megafon.ru/browse/CKO-53532" TargetMode="External"/><Relationship Id="rId59" Type="http://schemas.openxmlformats.org/officeDocument/2006/relationships/vmlDrawing" Target="../drawings/vmlDrawing2.vml"/><Relationship Id="rId20" Type="http://schemas.openxmlformats.org/officeDocument/2006/relationships/hyperlink" Target="https://jira.megafon.ru/browse/B2CPROD-144" TargetMode="External"/><Relationship Id="rId41" Type="http://schemas.openxmlformats.org/officeDocument/2006/relationships/hyperlink" Target="https://jira.megafon.ru/browse/CKO-53778" TargetMode="External"/><Relationship Id="rId54" Type="http://schemas.openxmlformats.org/officeDocument/2006/relationships/hyperlink" Target="https://jira.megafon.ru/browse/B2CPROD-855" TargetMode="External"/><Relationship Id="rId1" Type="http://schemas.openxmlformats.org/officeDocument/2006/relationships/hyperlink" Target="https://cko-jira.megafon.ru/browse/LK-24967" TargetMode="External"/><Relationship Id="rId6" Type="http://schemas.openxmlformats.org/officeDocument/2006/relationships/hyperlink" Target="https://jira.megafon.ru/browse/B2CPROD-285" TargetMode="External"/><Relationship Id="rId15" Type="http://schemas.openxmlformats.org/officeDocument/2006/relationships/hyperlink" Target="https://jira.megafon.ru/browse/B2CPROD-789" TargetMode="External"/><Relationship Id="rId23" Type="http://schemas.openxmlformats.org/officeDocument/2006/relationships/hyperlink" Target="https://jira.megafon.ru/browse/B2CPROD-498" TargetMode="External"/><Relationship Id="rId28" Type="http://schemas.openxmlformats.org/officeDocument/2006/relationships/hyperlink" Target="https://jira.megafon.ru/browse/B2CPROD-114" TargetMode="External"/><Relationship Id="rId36" Type="http://schemas.openxmlformats.org/officeDocument/2006/relationships/hyperlink" Target="https://jira.megafon.ru/browse/B2CPROD-146" TargetMode="External"/><Relationship Id="rId49" Type="http://schemas.openxmlformats.org/officeDocument/2006/relationships/hyperlink" Target="https://jira.megafon.ru/browse/B2CPROD-156" TargetMode="External"/><Relationship Id="rId57" Type="http://schemas.openxmlformats.org/officeDocument/2006/relationships/hyperlink" Target="https://jira.megafon.ru/browse/B2CPROD-857" TargetMode="External"/><Relationship Id="rId10" Type="http://schemas.openxmlformats.org/officeDocument/2006/relationships/hyperlink" Target="https://jira.megafon.ru/browse/B2CPROD-276" TargetMode="External"/><Relationship Id="rId31" Type="http://schemas.openxmlformats.org/officeDocument/2006/relationships/hyperlink" Target="https://jira.megafon.ru/browse/B2CPROD-142" TargetMode="External"/><Relationship Id="rId44" Type="http://schemas.openxmlformats.org/officeDocument/2006/relationships/hyperlink" Target="https://cko-jira.megafon.ru/browse/LK-25434" TargetMode="External"/><Relationship Id="rId52" Type="http://schemas.openxmlformats.org/officeDocument/2006/relationships/hyperlink" Target="https://jira.megafon.ru/browse/CKO-53775" TargetMode="External"/><Relationship Id="rId60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megafon.ru/browse/B2CPROD-276" TargetMode="External"/><Relationship Id="rId13" Type="http://schemas.openxmlformats.org/officeDocument/2006/relationships/hyperlink" Target="https://jira.megafon.ru/browse/B2CPROD-301" TargetMode="External"/><Relationship Id="rId18" Type="http://schemas.openxmlformats.org/officeDocument/2006/relationships/hyperlink" Target="https://jira.megafon.ru/browse/B2CPROD-145" TargetMode="External"/><Relationship Id="rId3" Type="http://schemas.openxmlformats.org/officeDocument/2006/relationships/hyperlink" Target="https://jira.megafon.ru/browse/B2CPROD-285" TargetMode="External"/><Relationship Id="rId21" Type="http://schemas.openxmlformats.org/officeDocument/2006/relationships/hyperlink" Target="https://jira.megafon.ru/browse/B2CPROD-111" TargetMode="External"/><Relationship Id="rId7" Type="http://schemas.openxmlformats.org/officeDocument/2006/relationships/hyperlink" Target="https://jira.megafon.ru/browse/B2CPROD-276" TargetMode="External"/><Relationship Id="rId12" Type="http://schemas.openxmlformats.org/officeDocument/2006/relationships/hyperlink" Target="https://jira.megafon.ru/browse/B2CPROD-789" TargetMode="External"/><Relationship Id="rId17" Type="http://schemas.openxmlformats.org/officeDocument/2006/relationships/hyperlink" Target="https://jira.megafon.ru/browse/B2CPROD-144" TargetMode="External"/><Relationship Id="rId2" Type="http://schemas.openxmlformats.org/officeDocument/2006/relationships/hyperlink" Target="https://jira.megafon.ru/browse/B2CPROD-97" TargetMode="External"/><Relationship Id="rId16" Type="http://schemas.openxmlformats.org/officeDocument/2006/relationships/hyperlink" Target="https://jira.megafon.ru/browse/B2CPROD-121" TargetMode="External"/><Relationship Id="rId20" Type="http://schemas.openxmlformats.org/officeDocument/2006/relationships/hyperlink" Target="https://jira.megafon.ru/browse/B2CPROD-498" TargetMode="External"/><Relationship Id="rId1" Type="http://schemas.openxmlformats.org/officeDocument/2006/relationships/hyperlink" Target="https://jira.megafon.ru/browse/B2CPROD-91" TargetMode="External"/><Relationship Id="rId6" Type="http://schemas.openxmlformats.org/officeDocument/2006/relationships/hyperlink" Target="https://jira.megafon.ru/browse/B2CPROD-276" TargetMode="External"/><Relationship Id="rId11" Type="http://schemas.openxmlformats.org/officeDocument/2006/relationships/hyperlink" Target="https://jira.megafon.ru/browse/B2CPROD-494" TargetMode="External"/><Relationship Id="rId24" Type="http://schemas.openxmlformats.org/officeDocument/2006/relationships/printerSettings" Target="../printerSettings/printerSettings11.bin"/><Relationship Id="rId5" Type="http://schemas.openxmlformats.org/officeDocument/2006/relationships/hyperlink" Target="https://jira.megafon.ru/browse/CKO-54695" TargetMode="External"/><Relationship Id="rId15" Type="http://schemas.openxmlformats.org/officeDocument/2006/relationships/hyperlink" Target="https://jira.megafon.ru/browse/B2CPROD-121" TargetMode="External"/><Relationship Id="rId23" Type="http://schemas.openxmlformats.org/officeDocument/2006/relationships/hyperlink" Target="https://jira.megafon.ru/browse/B2CPROD-849" TargetMode="External"/><Relationship Id="rId10" Type="http://schemas.openxmlformats.org/officeDocument/2006/relationships/hyperlink" Target="https://jira.megafon.ru/browse/B2CPROD-142" TargetMode="External"/><Relationship Id="rId19" Type="http://schemas.openxmlformats.org/officeDocument/2006/relationships/hyperlink" Target="https://jira.megafon.ru/browse/B2CPROD-146" TargetMode="External"/><Relationship Id="rId4" Type="http://schemas.openxmlformats.org/officeDocument/2006/relationships/hyperlink" Target="https://jira.megafon.ru/browse/B2CPROD-287" TargetMode="External"/><Relationship Id="rId9" Type="http://schemas.openxmlformats.org/officeDocument/2006/relationships/hyperlink" Target="https://jira.megafon.ru/browse/B2CPROD-276" TargetMode="External"/><Relationship Id="rId14" Type="http://schemas.openxmlformats.org/officeDocument/2006/relationships/hyperlink" Target="https://jira.megafon.ru/browse/B2CPROD-121" TargetMode="External"/><Relationship Id="rId22" Type="http://schemas.openxmlformats.org/officeDocument/2006/relationships/hyperlink" Target="https://jira.megafon.ru/browse/B2CPROD-114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jira.megafon.ru/browse/B2CPROD-188" TargetMode="External"/><Relationship Id="rId18" Type="http://schemas.openxmlformats.org/officeDocument/2006/relationships/hyperlink" Target="https://jira.megafon.ru/browse/B2CPROD-276" TargetMode="External"/><Relationship Id="rId26" Type="http://schemas.openxmlformats.org/officeDocument/2006/relationships/hyperlink" Target="https://jira.megafon.ru/browse/B2CPROD-90" TargetMode="External"/><Relationship Id="rId39" Type="http://schemas.openxmlformats.org/officeDocument/2006/relationships/hyperlink" Target="https://jira.megafon.ru/browse/B2CPROD-62" TargetMode="External"/><Relationship Id="rId21" Type="http://schemas.openxmlformats.org/officeDocument/2006/relationships/hyperlink" Target="https://jira.megafon.ru/browse/B2CPROD-285" TargetMode="External"/><Relationship Id="rId34" Type="http://schemas.openxmlformats.org/officeDocument/2006/relationships/hyperlink" Target="https://jira.megafon.ru/browse/B2CPROD-146" TargetMode="External"/><Relationship Id="rId42" Type="http://schemas.openxmlformats.org/officeDocument/2006/relationships/hyperlink" Target="https://jira.megafon.ru/browse/B2CPROD-130" TargetMode="External"/><Relationship Id="rId7" Type="http://schemas.openxmlformats.org/officeDocument/2006/relationships/hyperlink" Target="https://jira.megafon.ru/browse/B2CPROD-185" TargetMode="External"/><Relationship Id="rId2" Type="http://schemas.openxmlformats.org/officeDocument/2006/relationships/hyperlink" Target="https://jira.megafon.ru/browse/B2CPROD-97" TargetMode="External"/><Relationship Id="rId16" Type="http://schemas.openxmlformats.org/officeDocument/2006/relationships/hyperlink" Target="https://jira.megafon.ru/browse/B2CPROD-168" TargetMode="External"/><Relationship Id="rId29" Type="http://schemas.openxmlformats.org/officeDocument/2006/relationships/hyperlink" Target="https://jira.megafon.ru/browse/B2CPROD-209" TargetMode="External"/><Relationship Id="rId1" Type="http://schemas.openxmlformats.org/officeDocument/2006/relationships/hyperlink" Target="https://jira.megafon.ru/browse/B2CPROD-91" TargetMode="External"/><Relationship Id="rId6" Type="http://schemas.openxmlformats.org/officeDocument/2006/relationships/hyperlink" Target="https://jira.megafon.ru/browse/B2CPROD-129" TargetMode="External"/><Relationship Id="rId11" Type="http://schemas.openxmlformats.org/officeDocument/2006/relationships/hyperlink" Target="https://jira.megafon.ru/browse/B2CPROD-14" TargetMode="External"/><Relationship Id="rId24" Type="http://schemas.openxmlformats.org/officeDocument/2006/relationships/hyperlink" Target="https://jira.megafon.ru/browse/B2CPROD-370" TargetMode="External"/><Relationship Id="rId32" Type="http://schemas.openxmlformats.org/officeDocument/2006/relationships/hyperlink" Target="https://jira.megafon.ru/browse/B2CPROD-144" TargetMode="External"/><Relationship Id="rId37" Type="http://schemas.openxmlformats.org/officeDocument/2006/relationships/hyperlink" Target="https://jira.megafon.ru/browse/B2CPROD-498" TargetMode="External"/><Relationship Id="rId40" Type="http://schemas.openxmlformats.org/officeDocument/2006/relationships/hyperlink" Target="https://jira.megafon.ru/browse/B2CPROD-118" TargetMode="External"/><Relationship Id="rId45" Type="http://schemas.openxmlformats.org/officeDocument/2006/relationships/printerSettings" Target="../printerSettings/printerSettings12.bin"/><Relationship Id="rId5" Type="http://schemas.openxmlformats.org/officeDocument/2006/relationships/hyperlink" Target="https://jira.megafon.ru/browse/B2CPROD-127" TargetMode="External"/><Relationship Id="rId15" Type="http://schemas.openxmlformats.org/officeDocument/2006/relationships/hyperlink" Target="https://jira.megafon.ru/browse/B2CPROD-166" TargetMode="External"/><Relationship Id="rId23" Type="http://schemas.openxmlformats.org/officeDocument/2006/relationships/hyperlink" Target="https://jira.megafon.ru/browse/B2CPROD-301" TargetMode="External"/><Relationship Id="rId28" Type="http://schemas.openxmlformats.org/officeDocument/2006/relationships/hyperlink" Target="https://jira.megafon.ru/browse/B2CPROD-204" TargetMode="External"/><Relationship Id="rId36" Type="http://schemas.openxmlformats.org/officeDocument/2006/relationships/hyperlink" Target="https://jira.megafon.ru/browse/B2CPROD-494" TargetMode="External"/><Relationship Id="rId10" Type="http://schemas.openxmlformats.org/officeDocument/2006/relationships/hyperlink" Target="https://jira.megafon.ru/browse/B2CPROD-182" TargetMode="External"/><Relationship Id="rId19" Type="http://schemas.openxmlformats.org/officeDocument/2006/relationships/hyperlink" Target="https://jira.megafon.ru/browse/B2CPROD-280" TargetMode="External"/><Relationship Id="rId31" Type="http://schemas.openxmlformats.org/officeDocument/2006/relationships/hyperlink" Target="https://jira.megafon.ru/browse/B2CPROD-142" TargetMode="External"/><Relationship Id="rId44" Type="http://schemas.openxmlformats.org/officeDocument/2006/relationships/hyperlink" Target="https://jira.megafon.ru/browse/CKO-54695" TargetMode="External"/><Relationship Id="rId4" Type="http://schemas.openxmlformats.org/officeDocument/2006/relationships/hyperlink" Target="https://jira.megafon.ru/browse/B2CPROD-114" TargetMode="External"/><Relationship Id="rId9" Type="http://schemas.openxmlformats.org/officeDocument/2006/relationships/hyperlink" Target="https://jira.megafon.ru/browse/B2CPROD-18" TargetMode="External"/><Relationship Id="rId14" Type="http://schemas.openxmlformats.org/officeDocument/2006/relationships/hyperlink" Target="https://jira.megafon.ru/browse/B2CPROD-190" TargetMode="External"/><Relationship Id="rId22" Type="http://schemas.openxmlformats.org/officeDocument/2006/relationships/hyperlink" Target="https://jira.megafon.ru/browse/B2CPROD-287" TargetMode="External"/><Relationship Id="rId27" Type="http://schemas.openxmlformats.org/officeDocument/2006/relationships/hyperlink" Target="https://jira.megafon.ru/browse/B2CPROD-191" TargetMode="External"/><Relationship Id="rId30" Type="http://schemas.openxmlformats.org/officeDocument/2006/relationships/hyperlink" Target="https://jira.megafon.ru/browse/B2CPROD-121" TargetMode="External"/><Relationship Id="rId35" Type="http://schemas.openxmlformats.org/officeDocument/2006/relationships/hyperlink" Target="https://jira.megafon.ru/browse/B2CPROD-147" TargetMode="External"/><Relationship Id="rId43" Type="http://schemas.openxmlformats.org/officeDocument/2006/relationships/hyperlink" Target="https://jira.megafon.ru/browse/B2CPROD-133" TargetMode="External"/><Relationship Id="rId8" Type="http://schemas.openxmlformats.org/officeDocument/2006/relationships/hyperlink" Target="https://jira.megafon.ru/browse/B2CPROD-186" TargetMode="External"/><Relationship Id="rId3" Type="http://schemas.openxmlformats.org/officeDocument/2006/relationships/hyperlink" Target="https://jira.megafon.ru/browse/B2CPROD-111" TargetMode="External"/><Relationship Id="rId12" Type="http://schemas.openxmlformats.org/officeDocument/2006/relationships/hyperlink" Target="https://jira.megafon.ru/browse/B2CPROD-15" TargetMode="External"/><Relationship Id="rId17" Type="http://schemas.openxmlformats.org/officeDocument/2006/relationships/hyperlink" Target="https://jira.megafon.ru/browse/B2CPROD-177" TargetMode="External"/><Relationship Id="rId25" Type="http://schemas.openxmlformats.org/officeDocument/2006/relationships/hyperlink" Target="https://jira.megafon.ru/browse/B2CPROD-87" TargetMode="External"/><Relationship Id="rId33" Type="http://schemas.openxmlformats.org/officeDocument/2006/relationships/hyperlink" Target="https://jira.megafon.ru/browse/B2CPROD-145" TargetMode="External"/><Relationship Id="rId38" Type="http://schemas.openxmlformats.org/officeDocument/2006/relationships/hyperlink" Target="https://jira.megafon.ru/browse/B2CPROD-61" TargetMode="External"/><Relationship Id="rId20" Type="http://schemas.openxmlformats.org/officeDocument/2006/relationships/hyperlink" Target="https://jira.megafon.ru/browse/B2CPROD-282" TargetMode="External"/><Relationship Id="rId41" Type="http://schemas.openxmlformats.org/officeDocument/2006/relationships/hyperlink" Target="https://jira.megafon.ru/browse/B2CPROD-1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5EC7-25E6-4B26-912E-8C95DA895CB5}">
  <dimension ref="A1:AI37"/>
  <sheetViews>
    <sheetView zoomScale="70" zoomScaleNormal="70" workbookViewId="0">
      <selection activeCell="G6" sqref="G6:Q6"/>
    </sheetView>
  </sheetViews>
  <sheetFormatPr defaultRowHeight="15" x14ac:dyDescent="0.25"/>
  <cols>
    <col min="1" max="1" width="47.28515625" style="56" customWidth="1"/>
    <col min="2" max="2" width="47.5703125" style="56" customWidth="1"/>
    <col min="3" max="3" width="15.28515625" style="61" customWidth="1"/>
    <col min="4" max="4" width="14.85546875" customWidth="1"/>
    <col min="5" max="6" width="10.85546875" customWidth="1"/>
    <col min="7" max="7" width="10.5703125" bestFit="1" customWidth="1"/>
    <col min="8" max="8" width="9.7109375" bestFit="1" customWidth="1"/>
    <col min="9" max="9" width="11.140625" bestFit="1" customWidth="1"/>
    <col min="15" max="15" width="7.7109375" bestFit="1" customWidth="1"/>
    <col min="16" max="16" width="7.7109375" customWidth="1"/>
    <col min="18" max="18" width="14.5703125" customWidth="1"/>
    <col min="19" max="19" width="38" customWidth="1"/>
    <col min="20" max="20" width="22.7109375" customWidth="1"/>
  </cols>
  <sheetData>
    <row r="1" spans="1:35" ht="69.75" x14ac:dyDescent="0.35">
      <c r="A1" s="541" t="s">
        <v>453</v>
      </c>
      <c r="B1" s="541"/>
      <c r="C1" s="542"/>
      <c r="D1" s="542"/>
      <c r="E1" s="542"/>
      <c r="F1" s="543"/>
      <c r="G1" s="543"/>
      <c r="H1" s="543"/>
      <c r="I1" s="543"/>
      <c r="J1" s="543"/>
      <c r="K1" s="543"/>
      <c r="L1" s="543"/>
      <c r="M1" s="543"/>
      <c r="N1" s="543"/>
      <c r="O1" s="543"/>
      <c r="P1" s="543"/>
      <c r="Q1" s="544"/>
      <c r="S1" s="576" t="s">
        <v>452</v>
      </c>
      <c r="T1" s="576"/>
      <c r="U1" s="577"/>
      <c r="V1" s="577"/>
      <c r="W1" s="577"/>
      <c r="X1" s="578"/>
      <c r="Y1" s="578"/>
      <c r="Z1" s="578"/>
      <c r="AA1" s="578"/>
      <c r="AB1" s="578"/>
      <c r="AC1" s="578"/>
      <c r="AD1" s="578"/>
      <c r="AE1" s="578"/>
      <c r="AF1" s="578"/>
      <c r="AG1" s="578"/>
      <c r="AH1" s="578"/>
      <c r="AI1" s="475"/>
    </row>
    <row r="2" spans="1:35" ht="23.25" x14ac:dyDescent="0.35">
      <c r="A2" s="541"/>
      <c r="B2" s="541"/>
      <c r="C2" s="542"/>
      <c r="D2" s="542"/>
      <c r="E2" s="542"/>
      <c r="F2" s="543"/>
      <c r="G2" s="575" t="s">
        <v>448</v>
      </c>
      <c r="H2" s="575" t="s">
        <v>448</v>
      </c>
      <c r="I2" s="575" t="s">
        <v>449</v>
      </c>
      <c r="J2" s="575" t="s">
        <v>448</v>
      </c>
      <c r="K2" s="575" t="s">
        <v>449</v>
      </c>
      <c r="L2" s="575" t="s">
        <v>448</v>
      </c>
      <c r="M2" s="575" t="s">
        <v>449</v>
      </c>
      <c r="N2" s="575" t="s">
        <v>448</v>
      </c>
      <c r="O2" s="575" t="s">
        <v>449</v>
      </c>
      <c r="P2" s="575" t="s">
        <v>448</v>
      </c>
      <c r="Q2" s="575" t="s">
        <v>448</v>
      </c>
      <c r="S2" s="576"/>
      <c r="T2" s="576"/>
      <c r="U2" s="577"/>
      <c r="V2" s="577"/>
      <c r="W2" s="577"/>
      <c r="X2" s="578"/>
      <c r="Y2" s="579" t="s">
        <v>448</v>
      </c>
      <c r="Z2" s="579" t="s">
        <v>448</v>
      </c>
      <c r="AA2" s="579" t="s">
        <v>449</v>
      </c>
      <c r="AB2" s="579" t="s">
        <v>448</v>
      </c>
      <c r="AC2" s="579" t="s">
        <v>449</v>
      </c>
      <c r="AD2" s="579" t="s">
        <v>449</v>
      </c>
      <c r="AE2" s="579" t="s">
        <v>449</v>
      </c>
      <c r="AF2" s="579" t="s">
        <v>449</v>
      </c>
      <c r="AG2" s="579" t="s">
        <v>449</v>
      </c>
      <c r="AH2" s="579" t="s">
        <v>450</v>
      </c>
      <c r="AI2" s="579" t="s">
        <v>448</v>
      </c>
    </row>
    <row r="3" spans="1:35" x14ac:dyDescent="0.25">
      <c r="A3" s="476"/>
      <c r="B3" s="476"/>
      <c r="C3" s="477"/>
      <c r="D3" s="477"/>
      <c r="E3" s="477"/>
      <c r="F3" s="478"/>
      <c r="G3" s="479" t="s">
        <v>370</v>
      </c>
      <c r="H3" s="480" t="s">
        <v>371</v>
      </c>
      <c r="I3" s="479" t="s">
        <v>372</v>
      </c>
      <c r="J3" s="479"/>
      <c r="K3" s="481" t="s">
        <v>123</v>
      </c>
      <c r="L3" s="481"/>
      <c r="M3" s="479" t="s">
        <v>122</v>
      </c>
      <c r="N3" s="479"/>
      <c r="O3" s="481" t="s">
        <v>124</v>
      </c>
      <c r="P3" s="481"/>
      <c r="Q3" s="481"/>
      <c r="S3" s="476"/>
      <c r="T3" s="476"/>
      <c r="U3" s="477"/>
      <c r="V3" s="477"/>
      <c r="W3" s="477"/>
      <c r="X3" s="478"/>
      <c r="Y3" s="479" t="s">
        <v>370</v>
      </c>
      <c r="Z3" s="480" t="s">
        <v>371</v>
      </c>
      <c r="AA3" s="479" t="s">
        <v>372</v>
      </c>
      <c r="AB3" s="479"/>
      <c r="AC3" s="481" t="s">
        <v>123</v>
      </c>
      <c r="AD3" s="481"/>
      <c r="AE3" s="479" t="s">
        <v>122</v>
      </c>
      <c r="AF3" s="479"/>
      <c r="AG3" s="481" t="s">
        <v>124</v>
      </c>
      <c r="AH3" s="481"/>
      <c r="AI3" s="481"/>
    </row>
    <row r="4" spans="1:35" x14ac:dyDescent="0.25">
      <c r="A4" s="476"/>
      <c r="B4" s="476"/>
      <c r="C4" s="477"/>
      <c r="D4" s="477"/>
      <c r="E4" s="477"/>
      <c r="F4" s="482"/>
      <c r="G4" s="483" t="s">
        <v>190</v>
      </c>
      <c r="H4" s="484" t="s">
        <v>187</v>
      </c>
      <c r="I4" s="485" t="s">
        <v>243</v>
      </c>
      <c r="J4" s="483" t="s">
        <v>163</v>
      </c>
      <c r="K4" s="486" t="s">
        <v>192</v>
      </c>
      <c r="L4" s="487" t="s">
        <v>244</v>
      </c>
      <c r="M4" s="485" t="s">
        <v>373</v>
      </c>
      <c r="N4" s="488" t="s">
        <v>188</v>
      </c>
      <c r="O4" s="489" t="s">
        <v>374</v>
      </c>
      <c r="P4" s="484" t="s">
        <v>193</v>
      </c>
      <c r="Q4" s="484" t="s">
        <v>162</v>
      </c>
      <c r="S4" s="476"/>
      <c r="T4" s="476"/>
      <c r="U4" s="477"/>
      <c r="V4" s="477"/>
      <c r="W4" s="477"/>
      <c r="X4" s="482"/>
      <c r="Y4" s="483" t="s">
        <v>190</v>
      </c>
      <c r="Z4" s="484" t="s">
        <v>187</v>
      </c>
      <c r="AA4" s="485" t="s">
        <v>243</v>
      </c>
      <c r="AB4" s="483" t="s">
        <v>163</v>
      </c>
      <c r="AC4" s="486" t="s">
        <v>192</v>
      </c>
      <c r="AD4" s="487" t="s">
        <v>244</v>
      </c>
      <c r="AE4" s="485" t="s">
        <v>373</v>
      </c>
      <c r="AF4" s="488" t="s">
        <v>188</v>
      </c>
      <c r="AG4" s="489" t="s">
        <v>374</v>
      </c>
      <c r="AH4" s="484" t="s">
        <v>193</v>
      </c>
      <c r="AI4" s="484" t="s">
        <v>162</v>
      </c>
    </row>
    <row r="5" spans="1:35" s="439" customFormat="1" ht="30" x14ac:dyDescent="0.25">
      <c r="A5" s="490" t="s">
        <v>375</v>
      </c>
      <c r="B5" s="490" t="s">
        <v>376</v>
      </c>
      <c r="C5" s="491" t="s">
        <v>2</v>
      </c>
      <c r="D5" s="491" t="s">
        <v>369</v>
      </c>
      <c r="E5" s="491" t="s">
        <v>55</v>
      </c>
      <c r="F5" s="492" t="s">
        <v>253</v>
      </c>
      <c r="G5" s="493"/>
      <c r="H5" s="493"/>
      <c r="I5" s="493"/>
      <c r="J5" s="493"/>
      <c r="K5" s="493"/>
      <c r="L5" s="493"/>
      <c r="M5" s="493"/>
      <c r="N5" s="493"/>
      <c r="O5" s="493"/>
      <c r="P5" s="493"/>
      <c r="Q5" s="493"/>
      <c r="S5" s="490" t="s">
        <v>375</v>
      </c>
      <c r="T5" s="490" t="s">
        <v>376</v>
      </c>
      <c r="U5" s="491" t="s">
        <v>2</v>
      </c>
      <c r="V5" s="491" t="s">
        <v>369</v>
      </c>
      <c r="W5" s="491" t="s">
        <v>55</v>
      </c>
      <c r="X5" s="492" t="s">
        <v>253</v>
      </c>
      <c r="Y5" s="493"/>
      <c r="Z5" s="493"/>
      <c r="AA5" s="493"/>
      <c r="AB5" s="493"/>
      <c r="AC5" s="493"/>
      <c r="AD5" s="493"/>
      <c r="AE5" s="493"/>
      <c r="AF5" s="493"/>
      <c r="AG5" s="493"/>
      <c r="AH5" s="493"/>
      <c r="AI5" s="493"/>
    </row>
    <row r="6" spans="1:35" ht="102" x14ac:dyDescent="0.25">
      <c r="A6" s="494" t="s">
        <v>408</v>
      </c>
      <c r="B6" s="495" t="s">
        <v>381</v>
      </c>
      <c r="C6" s="496" t="s">
        <v>380</v>
      </c>
      <c r="D6" s="497" t="s">
        <v>297</v>
      </c>
      <c r="E6" s="496" t="s">
        <v>248</v>
      </c>
      <c r="F6" s="498">
        <v>3.33</v>
      </c>
      <c r="G6" s="499">
        <v>15</v>
      </c>
      <c r="H6" s="499">
        <v>21</v>
      </c>
      <c r="I6" s="499"/>
      <c r="J6" s="499">
        <v>21</v>
      </c>
      <c r="K6" s="499">
        <v>10</v>
      </c>
      <c r="L6" s="499">
        <v>25</v>
      </c>
      <c r="M6" s="499">
        <v>15</v>
      </c>
      <c r="N6" s="499">
        <v>20</v>
      </c>
      <c r="O6" s="499">
        <v>5</v>
      </c>
      <c r="P6" s="499">
        <v>30</v>
      </c>
      <c r="Q6" s="499">
        <v>35</v>
      </c>
      <c r="R6" s="471"/>
      <c r="S6" s="494" t="s">
        <v>408</v>
      </c>
      <c r="T6" s="495" t="s">
        <v>381</v>
      </c>
      <c r="U6" s="496" t="s">
        <v>380</v>
      </c>
      <c r="V6" s="497" t="s">
        <v>297</v>
      </c>
      <c r="W6" s="496" t="s">
        <v>248</v>
      </c>
      <c r="X6" s="498">
        <v>3.33</v>
      </c>
      <c r="Y6" s="499">
        <v>15</v>
      </c>
      <c r="Z6" s="499">
        <v>21</v>
      </c>
      <c r="AA6" s="499"/>
      <c r="AB6" s="499">
        <v>15</v>
      </c>
      <c r="AC6" s="499">
        <v>10</v>
      </c>
      <c r="AD6" s="499">
        <v>25</v>
      </c>
      <c r="AE6" s="499">
        <v>15</v>
      </c>
      <c r="AF6" s="499">
        <v>20</v>
      </c>
      <c r="AG6" s="499">
        <v>5</v>
      </c>
      <c r="AH6" s="499">
        <v>0</v>
      </c>
      <c r="AI6" s="500">
        <v>65</v>
      </c>
    </row>
    <row r="7" spans="1:35" ht="114.75" x14ac:dyDescent="0.25">
      <c r="A7" s="494" t="s">
        <v>409</v>
      </c>
      <c r="B7" s="495" t="s">
        <v>383</v>
      </c>
      <c r="C7" s="501" t="s">
        <v>204</v>
      </c>
      <c r="D7" s="502" t="s">
        <v>382</v>
      </c>
      <c r="E7" s="502" t="s">
        <v>545</v>
      </c>
      <c r="F7" s="503">
        <v>3.33</v>
      </c>
      <c r="G7" s="504">
        <v>5</v>
      </c>
      <c r="H7" s="499">
        <v>5</v>
      </c>
      <c r="I7" s="505">
        <v>5</v>
      </c>
      <c r="J7" s="505">
        <v>10</v>
      </c>
      <c r="K7" s="505"/>
      <c r="L7" s="505"/>
      <c r="M7" s="505"/>
      <c r="N7" s="505"/>
      <c r="O7" s="505"/>
      <c r="P7" s="505"/>
      <c r="Q7" s="505"/>
      <c r="S7" s="494" t="s">
        <v>409</v>
      </c>
      <c r="T7" s="495" t="s">
        <v>383</v>
      </c>
      <c r="U7" s="501" t="s">
        <v>204</v>
      </c>
      <c r="V7" s="502" t="s">
        <v>382</v>
      </c>
      <c r="W7" s="502" t="s">
        <v>410</v>
      </c>
      <c r="X7" s="503">
        <v>3.33</v>
      </c>
      <c r="Y7" s="504">
        <v>5</v>
      </c>
      <c r="Z7" s="499">
        <v>5</v>
      </c>
      <c r="AA7" s="505">
        <v>5</v>
      </c>
      <c r="AB7" s="505">
        <v>10</v>
      </c>
      <c r="AC7" s="505"/>
      <c r="AD7" s="505"/>
      <c r="AE7" s="505"/>
      <c r="AF7" s="505"/>
      <c r="AG7" s="505"/>
      <c r="AH7" s="505"/>
      <c r="AI7" s="505"/>
    </row>
    <row r="8" spans="1:35" ht="51.6" customHeight="1" x14ac:dyDescent="0.25">
      <c r="A8" s="749" t="s">
        <v>564</v>
      </c>
      <c r="B8" s="750"/>
      <c r="C8" s="751"/>
      <c r="D8" s="751"/>
      <c r="E8" s="752"/>
      <c r="F8" s="753"/>
      <c r="G8" s="754"/>
      <c r="H8" s="755">
        <v>10</v>
      </c>
      <c r="I8" s="756"/>
      <c r="J8" s="756">
        <v>36</v>
      </c>
      <c r="K8" s="756"/>
      <c r="L8" s="756">
        <v>13</v>
      </c>
      <c r="M8" s="756"/>
      <c r="N8" s="756">
        <v>12</v>
      </c>
      <c r="O8" s="756"/>
      <c r="P8" s="756"/>
      <c r="Q8" s="756">
        <v>30</v>
      </c>
      <c r="S8" s="494"/>
      <c r="T8" s="495"/>
      <c r="U8" s="501"/>
      <c r="V8" s="502"/>
      <c r="W8" s="502"/>
      <c r="X8" s="503"/>
      <c r="Y8" s="504"/>
      <c r="Z8" s="499"/>
      <c r="AA8" s="505"/>
      <c r="AB8" s="505"/>
      <c r="AC8" s="505"/>
      <c r="AD8" s="505"/>
      <c r="AE8" s="505"/>
      <c r="AF8" s="505"/>
      <c r="AG8" s="505"/>
      <c r="AH8" s="505"/>
      <c r="AI8" s="505"/>
    </row>
    <row r="9" spans="1:35" ht="60" x14ac:dyDescent="0.25">
      <c r="A9" s="494" t="s">
        <v>435</v>
      </c>
      <c r="B9" s="495" t="s">
        <v>291</v>
      </c>
      <c r="C9" s="501" t="s">
        <v>204</v>
      </c>
      <c r="D9" s="502" t="s">
        <v>411</v>
      </c>
      <c r="E9" s="506"/>
      <c r="F9" s="498">
        <v>3</v>
      </c>
      <c r="G9" s="504"/>
      <c r="H9" s="499"/>
      <c r="I9" s="505"/>
      <c r="J9" s="499"/>
      <c r="K9" s="505"/>
      <c r="L9" s="505"/>
      <c r="M9" s="505"/>
      <c r="N9" s="505"/>
      <c r="O9" s="505"/>
      <c r="P9" s="505"/>
      <c r="Q9" s="505"/>
      <c r="R9" s="474"/>
      <c r="S9" s="494" t="s">
        <v>435</v>
      </c>
      <c r="T9" s="495" t="s">
        <v>291</v>
      </c>
      <c r="U9" s="501" t="s">
        <v>204</v>
      </c>
      <c r="V9" s="502" t="s">
        <v>411</v>
      </c>
      <c r="W9" s="506"/>
      <c r="X9" s="498">
        <v>3</v>
      </c>
      <c r="Y9" s="504"/>
      <c r="Z9" s="499"/>
      <c r="AA9" s="505"/>
      <c r="AB9" s="499"/>
      <c r="AC9" s="505"/>
      <c r="AD9" s="505"/>
      <c r="AE9" s="505"/>
      <c r="AF9" s="505"/>
      <c r="AG9" s="505"/>
      <c r="AH9" s="505"/>
      <c r="AI9" s="505"/>
    </row>
    <row r="10" spans="1:35" ht="30" x14ac:dyDescent="0.25">
      <c r="A10" s="507" t="s">
        <v>432</v>
      </c>
      <c r="B10" s="495"/>
      <c r="C10" s="501"/>
      <c r="D10" s="502" t="s">
        <v>126</v>
      </c>
      <c r="E10" s="508" t="s">
        <v>428</v>
      </c>
      <c r="F10" s="498"/>
      <c r="G10" s="504">
        <v>5</v>
      </c>
      <c r="H10" s="499">
        <v>5</v>
      </c>
      <c r="I10" s="505">
        <v>3</v>
      </c>
      <c r="J10" s="499">
        <v>7</v>
      </c>
      <c r="K10" s="505"/>
      <c r="L10" s="505"/>
      <c r="M10" s="505"/>
      <c r="N10" s="505"/>
      <c r="O10" s="505"/>
      <c r="P10" s="505"/>
      <c r="Q10" s="505"/>
      <c r="R10" s="383"/>
      <c r="S10" s="507" t="s">
        <v>432</v>
      </c>
      <c r="T10" s="495"/>
      <c r="U10" s="501"/>
      <c r="V10" s="502" t="s">
        <v>126</v>
      </c>
      <c r="W10" s="508" t="s">
        <v>428</v>
      </c>
      <c r="X10" s="498"/>
      <c r="Y10" s="504">
        <v>5</v>
      </c>
      <c r="Z10" s="499">
        <v>5</v>
      </c>
      <c r="AA10" s="505">
        <v>3</v>
      </c>
      <c r="AB10" s="499">
        <v>7</v>
      </c>
      <c r="AC10" s="505"/>
      <c r="AD10" s="505"/>
      <c r="AE10" s="505"/>
      <c r="AF10" s="505"/>
      <c r="AG10" s="505"/>
      <c r="AH10" s="505"/>
      <c r="AI10" s="505"/>
    </row>
    <row r="11" spans="1:35" ht="45" x14ac:dyDescent="0.25">
      <c r="A11" s="507" t="s">
        <v>433</v>
      </c>
      <c r="B11" s="495"/>
      <c r="C11" s="501"/>
      <c r="D11" s="502" t="s">
        <v>126</v>
      </c>
      <c r="E11" s="508" t="s">
        <v>429</v>
      </c>
      <c r="F11" s="498"/>
      <c r="G11" s="504">
        <v>0</v>
      </c>
      <c r="H11" s="499">
        <v>0</v>
      </c>
      <c r="I11" s="505">
        <v>0</v>
      </c>
      <c r="J11" s="499">
        <v>0</v>
      </c>
      <c r="K11" s="505"/>
      <c r="L11" s="505"/>
      <c r="M11" s="505"/>
      <c r="N11" s="505"/>
      <c r="O11" s="505"/>
      <c r="P11" s="505"/>
      <c r="Q11" s="505"/>
      <c r="R11" s="383"/>
      <c r="S11" s="507" t="s">
        <v>433</v>
      </c>
      <c r="T11" s="495"/>
      <c r="U11" s="501"/>
      <c r="V11" s="502" t="s">
        <v>126</v>
      </c>
      <c r="W11" s="508" t="s">
        <v>429</v>
      </c>
      <c r="X11" s="498"/>
      <c r="Y11" s="504">
        <v>5</v>
      </c>
      <c r="Z11" s="499">
        <v>5</v>
      </c>
      <c r="AA11" s="505">
        <v>3</v>
      </c>
      <c r="AB11" s="499">
        <v>7</v>
      </c>
      <c r="AC11" s="505"/>
      <c r="AD11" s="505"/>
      <c r="AE11" s="505"/>
      <c r="AF11" s="505"/>
      <c r="AG11" s="505"/>
      <c r="AH11" s="505"/>
      <c r="AI11" s="505"/>
    </row>
    <row r="12" spans="1:35" ht="30" x14ac:dyDescent="0.25">
      <c r="A12" s="507" t="s">
        <v>434</v>
      </c>
      <c r="B12" s="495"/>
      <c r="C12" s="501"/>
      <c r="D12" s="502" t="s">
        <v>126</v>
      </c>
      <c r="E12" s="508" t="s">
        <v>430</v>
      </c>
      <c r="F12" s="498"/>
      <c r="G12" s="504">
        <v>0</v>
      </c>
      <c r="H12" s="499">
        <v>0</v>
      </c>
      <c r="I12" s="505">
        <v>0</v>
      </c>
      <c r="J12" s="499">
        <v>0</v>
      </c>
      <c r="K12" s="505"/>
      <c r="L12" s="505"/>
      <c r="M12" s="505"/>
      <c r="N12" s="505"/>
      <c r="O12" s="505"/>
      <c r="P12" s="505"/>
      <c r="Q12" s="505"/>
      <c r="R12" s="383"/>
      <c r="S12" s="507" t="s">
        <v>434</v>
      </c>
      <c r="T12" s="495"/>
      <c r="U12" s="501"/>
      <c r="V12" s="502" t="s">
        <v>126</v>
      </c>
      <c r="W12" s="508" t="s">
        <v>430</v>
      </c>
      <c r="X12" s="498"/>
      <c r="Y12" s="504">
        <v>5</v>
      </c>
      <c r="Z12" s="499">
        <v>5</v>
      </c>
      <c r="AA12" s="505">
        <v>3</v>
      </c>
      <c r="AB12" s="499">
        <v>7</v>
      </c>
      <c r="AC12" s="505"/>
      <c r="AD12" s="505"/>
      <c r="AE12" s="505"/>
      <c r="AF12" s="505"/>
      <c r="AG12" s="505"/>
      <c r="AH12" s="505"/>
      <c r="AI12" s="505"/>
    </row>
    <row r="13" spans="1:35" ht="127.5" x14ac:dyDescent="0.25">
      <c r="A13" s="494" t="s">
        <v>436</v>
      </c>
      <c r="B13" s="495" t="s">
        <v>398</v>
      </c>
      <c r="C13" s="497" t="s">
        <v>396</v>
      </c>
      <c r="D13" s="496" t="s">
        <v>399</v>
      </c>
      <c r="E13" s="496" t="s">
        <v>397</v>
      </c>
      <c r="F13" s="545">
        <v>4.17</v>
      </c>
      <c r="G13" s="505">
        <v>5</v>
      </c>
      <c r="H13" s="499"/>
      <c r="I13" s="505"/>
      <c r="J13" s="505">
        <v>5</v>
      </c>
      <c r="K13" s="505"/>
      <c r="L13" s="505">
        <v>5</v>
      </c>
      <c r="M13" s="505"/>
      <c r="N13" s="505">
        <v>5</v>
      </c>
      <c r="O13" s="505"/>
      <c r="P13" s="505">
        <v>5</v>
      </c>
      <c r="Q13" s="504"/>
      <c r="R13" t="s">
        <v>126</v>
      </c>
      <c r="S13" s="509" t="s">
        <v>437</v>
      </c>
      <c r="T13" s="510" t="s">
        <v>379</v>
      </c>
      <c r="U13" s="511" t="s">
        <v>309</v>
      </c>
      <c r="V13" s="511" t="s">
        <v>308</v>
      </c>
      <c r="W13" s="512" t="s">
        <v>367</v>
      </c>
      <c r="X13" s="513">
        <v>3.57</v>
      </c>
      <c r="Y13" s="514">
        <v>5</v>
      </c>
      <c r="Z13" s="500">
        <v>10</v>
      </c>
      <c r="AA13" s="514">
        <v>10</v>
      </c>
      <c r="AB13" s="500">
        <v>10</v>
      </c>
      <c r="AC13" s="514"/>
      <c r="AD13" s="514"/>
      <c r="AE13" s="514"/>
      <c r="AF13" s="514"/>
      <c r="AG13" s="514"/>
      <c r="AH13" s="514"/>
      <c r="AI13" s="514"/>
    </row>
    <row r="14" spans="1:35" ht="153" x14ac:dyDescent="0.25">
      <c r="A14" s="546" t="s">
        <v>29</v>
      </c>
      <c r="B14" s="547" t="s">
        <v>414</v>
      </c>
      <c r="C14" s="548" t="s">
        <v>415</v>
      </c>
      <c r="D14" s="496" t="s">
        <v>413</v>
      </c>
      <c r="E14" s="496" t="s">
        <v>358</v>
      </c>
      <c r="F14" s="545">
        <v>6.75</v>
      </c>
      <c r="G14" s="505">
        <v>3</v>
      </c>
      <c r="H14" s="499">
        <v>2</v>
      </c>
      <c r="I14" s="505"/>
      <c r="J14" s="505">
        <v>5</v>
      </c>
      <c r="K14" s="505"/>
      <c r="L14" s="505">
        <v>3</v>
      </c>
      <c r="M14" s="505"/>
      <c r="N14" s="505">
        <v>3</v>
      </c>
      <c r="O14" s="505"/>
      <c r="P14" s="505"/>
      <c r="Q14" s="505">
        <v>5</v>
      </c>
      <c r="S14" s="509" t="s">
        <v>436</v>
      </c>
      <c r="T14" s="510" t="s">
        <v>398</v>
      </c>
      <c r="U14" s="511" t="s">
        <v>396</v>
      </c>
      <c r="V14" s="512" t="s">
        <v>399</v>
      </c>
      <c r="W14" s="512" t="s">
        <v>397</v>
      </c>
      <c r="X14" s="513">
        <v>4.17</v>
      </c>
      <c r="Y14" s="514">
        <v>5</v>
      </c>
      <c r="Z14" s="500"/>
      <c r="AA14" s="514"/>
      <c r="AB14" s="514">
        <v>5</v>
      </c>
      <c r="AC14" s="514"/>
      <c r="AD14" s="514">
        <v>5</v>
      </c>
      <c r="AE14" s="514"/>
      <c r="AF14" s="514">
        <v>5</v>
      </c>
      <c r="AG14" s="514"/>
      <c r="AH14" s="514">
        <v>5</v>
      </c>
      <c r="AI14" s="515"/>
    </row>
    <row r="15" spans="1:35" ht="102" x14ac:dyDescent="0.25">
      <c r="A15" s="549" t="s">
        <v>395</v>
      </c>
      <c r="B15" s="547" t="s">
        <v>416</v>
      </c>
      <c r="C15" s="548" t="s">
        <v>394</v>
      </c>
      <c r="D15" s="496" t="s">
        <v>412</v>
      </c>
      <c r="E15" s="496" t="s">
        <v>407</v>
      </c>
      <c r="F15" s="545">
        <v>3.4</v>
      </c>
      <c r="G15" s="505">
        <v>1</v>
      </c>
      <c r="H15" s="499">
        <v>0</v>
      </c>
      <c r="I15" s="505"/>
      <c r="J15" s="505"/>
      <c r="K15" s="505"/>
      <c r="L15" s="505"/>
      <c r="M15" s="505"/>
      <c r="N15" s="505"/>
      <c r="O15" s="505"/>
      <c r="P15" s="505"/>
      <c r="Q15" s="505"/>
      <c r="S15" s="516" t="s">
        <v>29</v>
      </c>
      <c r="T15" s="517" t="s">
        <v>414</v>
      </c>
      <c r="U15" s="512" t="s">
        <v>415</v>
      </c>
      <c r="V15" s="512" t="s">
        <v>413</v>
      </c>
      <c r="W15" s="512" t="s">
        <v>358</v>
      </c>
      <c r="X15" s="513">
        <v>6.75</v>
      </c>
      <c r="Y15" s="514">
        <v>3</v>
      </c>
      <c r="Z15" s="500">
        <v>2</v>
      </c>
      <c r="AA15" s="514"/>
      <c r="AB15" s="514">
        <v>5</v>
      </c>
      <c r="AC15" s="514"/>
      <c r="AD15" s="514">
        <v>3</v>
      </c>
      <c r="AE15" s="514"/>
      <c r="AF15" s="514">
        <v>3</v>
      </c>
      <c r="AG15" s="514"/>
      <c r="AH15" s="514"/>
      <c r="AI15" s="514">
        <v>5</v>
      </c>
    </row>
    <row r="16" spans="1:35" ht="76.5" x14ac:dyDescent="0.25">
      <c r="A16" s="549" t="s">
        <v>363</v>
      </c>
      <c r="B16" s="550" t="s">
        <v>446</v>
      </c>
      <c r="C16" s="551"/>
      <c r="D16" s="552" t="s">
        <v>126</v>
      </c>
      <c r="E16" s="501" t="s">
        <v>359</v>
      </c>
      <c r="F16" s="545" t="s">
        <v>445</v>
      </c>
      <c r="G16" s="553">
        <v>1</v>
      </c>
      <c r="H16" s="553"/>
      <c r="I16" s="553"/>
      <c r="J16" s="554">
        <v>1</v>
      </c>
      <c r="K16" s="553"/>
      <c r="L16" s="553"/>
      <c r="M16" s="553"/>
      <c r="N16" s="553">
        <v>1</v>
      </c>
      <c r="O16" s="553"/>
      <c r="P16" s="553"/>
      <c r="Q16" s="553">
        <v>1</v>
      </c>
      <c r="S16" s="518" t="s">
        <v>395</v>
      </c>
      <c r="T16" s="517" t="s">
        <v>416</v>
      </c>
      <c r="U16" s="512" t="s">
        <v>394</v>
      </c>
      <c r="V16" s="512" t="s">
        <v>412</v>
      </c>
      <c r="W16" s="512" t="s">
        <v>407</v>
      </c>
      <c r="X16" s="513">
        <v>3.4</v>
      </c>
      <c r="Y16" s="514">
        <v>1</v>
      </c>
      <c r="Z16" s="500">
        <v>0</v>
      </c>
      <c r="AA16" s="514"/>
      <c r="AB16" s="514"/>
      <c r="AC16" s="514"/>
      <c r="AD16" s="514"/>
      <c r="AE16" s="514"/>
      <c r="AF16" s="514"/>
      <c r="AG16" s="514"/>
      <c r="AH16" s="514"/>
      <c r="AI16" s="514"/>
    </row>
    <row r="17" spans="1:35" ht="30" x14ac:dyDescent="0.25">
      <c r="A17" s="549" t="s">
        <v>440</v>
      </c>
      <c r="B17" s="550" t="s">
        <v>447</v>
      </c>
      <c r="C17" s="551"/>
      <c r="D17" s="552" t="s">
        <v>126</v>
      </c>
      <c r="E17" s="501" t="s">
        <v>361</v>
      </c>
      <c r="F17" s="545" t="s">
        <v>445</v>
      </c>
      <c r="G17" s="553">
        <v>1</v>
      </c>
      <c r="H17" s="553"/>
      <c r="I17" s="553"/>
      <c r="J17" s="554">
        <v>5</v>
      </c>
      <c r="K17" s="553"/>
      <c r="L17" s="553">
        <v>3</v>
      </c>
      <c r="M17" s="553"/>
      <c r="N17" s="554">
        <v>3</v>
      </c>
      <c r="O17" s="553"/>
      <c r="P17" s="553"/>
      <c r="Q17" s="553">
        <v>5</v>
      </c>
      <c r="S17" s="518" t="s">
        <v>363</v>
      </c>
      <c r="T17" s="517" t="s">
        <v>446</v>
      </c>
      <c r="U17" s="519"/>
      <c r="V17" s="520" t="s">
        <v>126</v>
      </c>
      <c r="W17" s="521" t="s">
        <v>359</v>
      </c>
      <c r="X17" s="513" t="s">
        <v>445</v>
      </c>
      <c r="Y17" s="515">
        <v>1</v>
      </c>
      <c r="Z17" s="515"/>
      <c r="AA17" s="515"/>
      <c r="AB17" s="514">
        <v>1</v>
      </c>
      <c r="AC17" s="515"/>
      <c r="AD17" s="515"/>
      <c r="AE17" s="515"/>
      <c r="AF17" s="515">
        <v>1</v>
      </c>
      <c r="AG17" s="515"/>
      <c r="AH17" s="515"/>
      <c r="AI17" s="515">
        <v>1</v>
      </c>
    </row>
    <row r="18" spans="1:35" ht="45" x14ac:dyDescent="0.25">
      <c r="A18" s="555" t="s">
        <v>451</v>
      </c>
      <c r="B18" s="555"/>
      <c r="C18" s="556"/>
      <c r="D18" s="556"/>
      <c r="E18" s="556"/>
      <c r="F18" s="557"/>
      <c r="G18" s="558"/>
      <c r="H18" s="559"/>
      <c r="I18" s="559"/>
      <c r="J18" s="559"/>
      <c r="K18" s="559"/>
      <c r="L18" s="559"/>
      <c r="M18" s="559"/>
      <c r="N18" s="559"/>
      <c r="O18" s="559"/>
      <c r="P18" s="559"/>
      <c r="Q18" s="559"/>
      <c r="S18" s="518" t="s">
        <v>440</v>
      </c>
      <c r="T18" s="517" t="s">
        <v>447</v>
      </c>
      <c r="U18" s="519"/>
      <c r="V18" s="520" t="s">
        <v>126</v>
      </c>
      <c r="W18" s="521" t="s">
        <v>361</v>
      </c>
      <c r="X18" s="513" t="s">
        <v>445</v>
      </c>
      <c r="Y18" s="515">
        <v>1</v>
      </c>
      <c r="Z18" s="515"/>
      <c r="AA18" s="515"/>
      <c r="AB18" s="514">
        <v>5</v>
      </c>
      <c r="AC18" s="515"/>
      <c r="AD18" s="515">
        <v>3</v>
      </c>
      <c r="AE18" s="515"/>
      <c r="AF18" s="514">
        <v>3</v>
      </c>
      <c r="AG18" s="515"/>
      <c r="AH18" s="515"/>
      <c r="AI18" s="515">
        <v>5</v>
      </c>
    </row>
    <row r="19" spans="1:35" s="461" customFormat="1" ht="31.5" x14ac:dyDescent="0.25">
      <c r="A19" s="560" t="s">
        <v>439</v>
      </c>
      <c r="B19" s="561"/>
      <c r="C19" s="562"/>
      <c r="D19" s="562"/>
      <c r="E19" s="562"/>
      <c r="F19" s="563"/>
      <c r="G19" s="564">
        <v>5</v>
      </c>
      <c r="H19" s="565">
        <v>2</v>
      </c>
      <c r="I19" s="565">
        <v>2</v>
      </c>
      <c r="J19" s="565">
        <v>2</v>
      </c>
      <c r="K19" s="565"/>
      <c r="L19" s="565">
        <v>2</v>
      </c>
      <c r="M19" s="565"/>
      <c r="N19" s="565">
        <v>4</v>
      </c>
      <c r="O19" s="565">
        <v>3</v>
      </c>
      <c r="P19" s="565">
        <v>4</v>
      </c>
      <c r="Q19" s="565"/>
      <c r="S19" s="555" t="s">
        <v>451</v>
      </c>
      <c r="T19" s="555"/>
      <c r="U19" s="556"/>
      <c r="V19" s="556"/>
      <c r="W19" s="556"/>
      <c r="X19" s="557"/>
      <c r="Y19" s="558"/>
      <c r="Z19" s="559"/>
      <c r="AA19" s="559"/>
      <c r="AB19" s="559"/>
      <c r="AC19" s="559"/>
      <c r="AD19" s="559"/>
      <c r="AE19" s="559"/>
      <c r="AF19" s="559"/>
      <c r="AG19" s="559"/>
      <c r="AH19" s="559"/>
      <c r="AI19" s="559"/>
    </row>
    <row r="20" spans="1:35" s="472" customFormat="1" ht="15.75" x14ac:dyDescent="0.25">
      <c r="A20" s="560" t="s">
        <v>438</v>
      </c>
      <c r="B20" s="561"/>
      <c r="C20" s="562"/>
      <c r="D20" s="562"/>
      <c r="E20" s="562"/>
      <c r="F20" s="563"/>
      <c r="G20" s="564">
        <v>5</v>
      </c>
      <c r="H20" s="565">
        <v>3</v>
      </c>
      <c r="I20" s="565">
        <v>3</v>
      </c>
      <c r="J20" s="565">
        <v>3</v>
      </c>
      <c r="K20" s="565"/>
      <c r="L20" s="565">
        <v>3</v>
      </c>
      <c r="M20" s="565"/>
      <c r="N20" s="565">
        <v>4</v>
      </c>
      <c r="O20" s="565">
        <v>3</v>
      </c>
      <c r="P20" s="565">
        <v>4</v>
      </c>
      <c r="Q20" s="565"/>
      <c r="S20" s="527" t="s">
        <v>439</v>
      </c>
      <c r="T20" s="522"/>
      <c r="U20" s="523"/>
      <c r="V20" s="523"/>
      <c r="W20" s="523"/>
      <c r="X20" s="524"/>
      <c r="Y20" s="525">
        <v>5</v>
      </c>
      <c r="Z20" s="526">
        <v>2</v>
      </c>
      <c r="AA20" s="526">
        <v>2</v>
      </c>
      <c r="AB20" s="526">
        <v>2</v>
      </c>
      <c r="AC20" s="526"/>
      <c r="AD20" s="526">
        <v>2</v>
      </c>
      <c r="AE20" s="526"/>
      <c r="AF20" s="526">
        <v>4</v>
      </c>
      <c r="AG20" s="526">
        <v>3</v>
      </c>
      <c r="AH20" s="526">
        <v>4</v>
      </c>
      <c r="AI20" s="526"/>
    </row>
    <row r="21" spans="1:35" s="472" customFormat="1" ht="15.75" x14ac:dyDescent="0.25">
      <c r="A21" s="555" t="s">
        <v>119</v>
      </c>
      <c r="B21" s="555"/>
      <c r="C21" s="556"/>
      <c r="D21" s="556"/>
      <c r="E21" s="556"/>
      <c r="F21" s="557"/>
      <c r="G21" s="558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S21" s="527" t="s">
        <v>438</v>
      </c>
      <c r="T21" s="522"/>
      <c r="U21" s="523"/>
      <c r="V21" s="523"/>
      <c r="W21" s="523"/>
      <c r="X21" s="524"/>
      <c r="Y21" s="525">
        <v>5</v>
      </c>
      <c r="Z21" s="526">
        <v>3</v>
      </c>
      <c r="AA21" s="526">
        <v>3</v>
      </c>
      <c r="AB21" s="526">
        <v>3</v>
      </c>
      <c r="AC21" s="526"/>
      <c r="AD21" s="526">
        <v>3</v>
      </c>
      <c r="AE21" s="526"/>
      <c r="AF21" s="526">
        <v>4</v>
      </c>
      <c r="AG21" s="526">
        <v>3</v>
      </c>
      <c r="AH21" s="526">
        <v>4</v>
      </c>
      <c r="AI21" s="526"/>
    </row>
    <row r="22" spans="1:35" s="461" customFormat="1" ht="30" x14ac:dyDescent="0.25">
      <c r="A22" s="566" t="s">
        <v>364</v>
      </c>
      <c r="B22" s="567"/>
      <c r="C22" s="551"/>
      <c r="D22" s="568" t="s">
        <v>126</v>
      </c>
      <c r="E22" s="501" t="s">
        <v>360</v>
      </c>
      <c r="F22" s="569"/>
      <c r="G22" s="570">
        <v>1</v>
      </c>
      <c r="H22" s="571"/>
      <c r="I22" s="571"/>
      <c r="J22" s="571">
        <v>1</v>
      </c>
      <c r="K22" s="571"/>
      <c r="L22" s="572"/>
      <c r="M22" s="571"/>
      <c r="N22" s="571">
        <v>1</v>
      </c>
      <c r="O22" s="571"/>
      <c r="P22" s="571"/>
      <c r="Q22" s="571">
        <v>1</v>
      </c>
      <c r="S22" s="555" t="s">
        <v>119</v>
      </c>
      <c r="T22" s="555"/>
      <c r="U22" s="556"/>
      <c r="V22" s="556"/>
      <c r="W22" s="556"/>
      <c r="X22" s="557"/>
      <c r="Y22" s="558"/>
      <c r="Z22" s="559"/>
      <c r="AA22" s="559"/>
      <c r="AB22" s="559"/>
      <c r="AC22" s="559"/>
      <c r="AD22" s="559"/>
      <c r="AE22" s="559"/>
      <c r="AF22" s="559"/>
      <c r="AG22" s="559"/>
      <c r="AH22" s="559"/>
      <c r="AI22" s="559"/>
    </row>
    <row r="23" spans="1:35" ht="45" x14ac:dyDescent="0.25">
      <c r="A23" s="573" t="s">
        <v>417</v>
      </c>
      <c r="B23" s="567"/>
      <c r="C23" s="551"/>
      <c r="D23" s="552" t="s">
        <v>126</v>
      </c>
      <c r="E23" s="501" t="s">
        <v>418</v>
      </c>
      <c r="F23" s="574"/>
      <c r="G23" s="571">
        <v>1</v>
      </c>
      <c r="H23" s="571"/>
      <c r="I23" s="571"/>
      <c r="J23" s="571"/>
      <c r="K23" s="571"/>
      <c r="L23" s="572"/>
      <c r="M23" s="571"/>
      <c r="N23" s="572"/>
      <c r="O23" s="571"/>
      <c r="P23" s="571"/>
      <c r="Q23" s="571">
        <v>1</v>
      </c>
      <c r="S23" s="509" t="s">
        <v>364</v>
      </c>
      <c r="T23" s="528"/>
      <c r="U23" s="519"/>
      <c r="V23" s="529" t="s">
        <v>126</v>
      </c>
      <c r="W23" s="521" t="s">
        <v>360</v>
      </c>
      <c r="X23" s="530"/>
      <c r="Y23" s="531">
        <v>1</v>
      </c>
      <c r="Z23" s="530"/>
      <c r="AA23" s="530"/>
      <c r="AB23" s="530">
        <v>1</v>
      </c>
      <c r="AC23" s="530"/>
      <c r="AD23" s="532"/>
      <c r="AE23" s="530"/>
      <c r="AF23" s="530">
        <v>1</v>
      </c>
      <c r="AG23" s="530"/>
      <c r="AH23" s="530"/>
      <c r="AI23" s="530">
        <v>1</v>
      </c>
    </row>
    <row r="24" spans="1:35" x14ac:dyDescent="0.25">
      <c r="A24" s="573" t="s">
        <v>417</v>
      </c>
      <c r="B24" s="567"/>
      <c r="C24" s="551"/>
      <c r="D24" s="552" t="s">
        <v>126</v>
      </c>
      <c r="E24" s="501" t="s">
        <v>419</v>
      </c>
      <c r="F24" s="574"/>
      <c r="G24" s="571">
        <v>1</v>
      </c>
      <c r="H24" s="571"/>
      <c r="I24" s="571"/>
      <c r="J24" s="571"/>
      <c r="K24" s="571"/>
      <c r="L24" s="572"/>
      <c r="M24" s="571"/>
      <c r="N24" s="572"/>
      <c r="O24" s="571"/>
      <c r="P24" s="571"/>
      <c r="Q24" s="571">
        <v>1</v>
      </c>
      <c r="S24" s="528" t="s">
        <v>417</v>
      </c>
      <c r="T24" s="528"/>
      <c r="U24" s="519"/>
      <c r="V24" s="520" t="s">
        <v>126</v>
      </c>
      <c r="W24" s="521" t="s">
        <v>418</v>
      </c>
      <c r="X24" s="533"/>
      <c r="Y24" s="530">
        <v>1</v>
      </c>
      <c r="Z24" s="530"/>
      <c r="AA24" s="530"/>
      <c r="AB24" s="530"/>
      <c r="AC24" s="530"/>
      <c r="AD24" s="532"/>
      <c r="AE24" s="530"/>
      <c r="AF24" s="532"/>
      <c r="AG24" s="530"/>
      <c r="AH24" s="530"/>
      <c r="AI24" s="530">
        <v>1</v>
      </c>
    </row>
    <row r="25" spans="1:35" x14ac:dyDescent="0.25">
      <c r="A25" s="573" t="s">
        <v>417</v>
      </c>
      <c r="B25" s="567"/>
      <c r="C25" s="551"/>
      <c r="D25" s="552" t="s">
        <v>126</v>
      </c>
      <c r="E25" s="501" t="s">
        <v>420</v>
      </c>
      <c r="F25" s="574"/>
      <c r="G25" s="571">
        <v>1</v>
      </c>
      <c r="H25" s="571"/>
      <c r="I25" s="571"/>
      <c r="J25" s="571"/>
      <c r="K25" s="571"/>
      <c r="L25" s="572"/>
      <c r="M25" s="571"/>
      <c r="N25" s="572"/>
      <c r="O25" s="571"/>
      <c r="P25" s="571"/>
      <c r="Q25" s="571">
        <v>1</v>
      </c>
      <c r="S25" s="528" t="s">
        <v>417</v>
      </c>
      <c r="T25" s="528"/>
      <c r="U25" s="519"/>
      <c r="V25" s="520" t="s">
        <v>126</v>
      </c>
      <c r="W25" s="521" t="s">
        <v>419</v>
      </c>
      <c r="X25" s="533"/>
      <c r="Y25" s="530">
        <v>1</v>
      </c>
      <c r="Z25" s="530"/>
      <c r="AA25" s="530"/>
      <c r="AB25" s="530"/>
      <c r="AC25" s="530"/>
      <c r="AD25" s="532"/>
      <c r="AE25" s="530"/>
      <c r="AF25" s="532"/>
      <c r="AG25" s="530"/>
      <c r="AH25" s="530"/>
      <c r="AI25" s="530">
        <v>1</v>
      </c>
    </row>
    <row r="26" spans="1:35" ht="30" x14ac:dyDescent="0.25">
      <c r="A26" s="573" t="s">
        <v>421</v>
      </c>
      <c r="B26" s="567"/>
      <c r="C26" s="551"/>
      <c r="D26" s="552" t="s">
        <v>126</v>
      </c>
      <c r="E26" s="501" t="s">
        <v>423</v>
      </c>
      <c r="F26" s="574"/>
      <c r="G26" s="571">
        <v>1</v>
      </c>
      <c r="H26" s="571"/>
      <c r="I26" s="571"/>
      <c r="J26" s="571">
        <v>1</v>
      </c>
      <c r="K26" s="571"/>
      <c r="L26" s="572">
        <v>2</v>
      </c>
      <c r="M26" s="571"/>
      <c r="N26" s="572"/>
      <c r="O26" s="571"/>
      <c r="P26" s="571"/>
      <c r="Q26" s="571"/>
      <c r="S26" s="528" t="s">
        <v>417</v>
      </c>
      <c r="T26" s="528"/>
      <c r="U26" s="519"/>
      <c r="V26" s="520" t="s">
        <v>126</v>
      </c>
      <c r="W26" s="521" t="s">
        <v>420</v>
      </c>
      <c r="X26" s="533"/>
      <c r="Y26" s="530">
        <v>1</v>
      </c>
      <c r="Z26" s="530"/>
      <c r="AA26" s="530"/>
      <c r="AB26" s="530"/>
      <c r="AC26" s="530"/>
      <c r="AD26" s="532"/>
      <c r="AE26" s="530"/>
      <c r="AF26" s="532"/>
      <c r="AG26" s="530"/>
      <c r="AH26" s="530"/>
      <c r="AI26" s="530">
        <v>1</v>
      </c>
    </row>
    <row r="27" spans="1:35" ht="30" x14ac:dyDescent="0.25">
      <c r="A27" s="573" t="s">
        <v>424</v>
      </c>
      <c r="B27" s="567"/>
      <c r="C27" s="551"/>
      <c r="D27" s="552" t="s">
        <v>126</v>
      </c>
      <c r="E27" s="501" t="s">
        <v>422</v>
      </c>
      <c r="F27" s="574"/>
      <c r="G27" s="571">
        <v>1</v>
      </c>
      <c r="H27" s="571"/>
      <c r="I27" s="571"/>
      <c r="J27" s="571">
        <v>1</v>
      </c>
      <c r="K27" s="571"/>
      <c r="L27" s="572">
        <v>2</v>
      </c>
      <c r="M27" s="571"/>
      <c r="N27" s="572"/>
      <c r="O27" s="571"/>
      <c r="P27" s="571"/>
      <c r="Q27" s="571"/>
      <c r="S27" s="528" t="s">
        <v>421</v>
      </c>
      <c r="T27" s="528"/>
      <c r="U27" s="519"/>
      <c r="V27" s="520" t="s">
        <v>126</v>
      </c>
      <c r="W27" s="521" t="s">
        <v>423</v>
      </c>
      <c r="X27" s="533"/>
      <c r="Y27" s="530">
        <v>1</v>
      </c>
      <c r="Z27" s="530"/>
      <c r="AA27" s="530"/>
      <c r="AB27" s="530">
        <v>1</v>
      </c>
      <c r="AC27" s="530"/>
      <c r="AD27" s="532">
        <v>2</v>
      </c>
      <c r="AE27" s="530"/>
      <c r="AF27" s="532"/>
      <c r="AG27" s="530"/>
      <c r="AH27" s="530"/>
      <c r="AI27" s="530"/>
    </row>
    <row r="28" spans="1:35" ht="30" x14ac:dyDescent="0.25">
      <c r="A28" s="573" t="s">
        <v>426</v>
      </c>
      <c r="B28" s="567"/>
      <c r="C28" s="551"/>
      <c r="D28" s="552" t="s">
        <v>126</v>
      </c>
      <c r="E28" s="501" t="s">
        <v>425</v>
      </c>
      <c r="F28" s="574"/>
      <c r="G28" s="571">
        <v>1</v>
      </c>
      <c r="H28" s="571"/>
      <c r="I28" s="571"/>
      <c r="J28" s="571">
        <v>1</v>
      </c>
      <c r="K28" s="571"/>
      <c r="L28" s="572">
        <v>2</v>
      </c>
      <c r="M28" s="571"/>
      <c r="N28" s="572"/>
      <c r="O28" s="571"/>
      <c r="P28" s="571"/>
      <c r="Q28" s="571"/>
      <c r="S28" s="528" t="s">
        <v>424</v>
      </c>
      <c r="T28" s="528"/>
      <c r="U28" s="519"/>
      <c r="V28" s="520" t="s">
        <v>126</v>
      </c>
      <c r="W28" s="521" t="s">
        <v>422</v>
      </c>
      <c r="X28" s="533"/>
      <c r="Y28" s="530">
        <v>1</v>
      </c>
      <c r="Z28" s="530"/>
      <c r="AA28" s="530"/>
      <c r="AB28" s="530">
        <v>1</v>
      </c>
      <c r="AC28" s="530"/>
      <c r="AD28" s="532">
        <v>2</v>
      </c>
      <c r="AE28" s="530"/>
      <c r="AF28" s="532"/>
      <c r="AG28" s="530"/>
      <c r="AH28" s="530"/>
      <c r="AI28" s="530"/>
    </row>
    <row r="29" spans="1:35" ht="45" x14ac:dyDescent="0.25">
      <c r="A29" s="580"/>
      <c r="B29" s="580"/>
      <c r="C29" s="581"/>
      <c r="D29" s="581"/>
      <c r="E29" s="580" t="s">
        <v>196</v>
      </c>
      <c r="F29" s="581"/>
      <c r="G29" s="544">
        <v>62</v>
      </c>
      <c r="H29" s="544">
        <v>62</v>
      </c>
      <c r="I29" s="544">
        <v>20</v>
      </c>
      <c r="J29" s="582">
        <v>62</v>
      </c>
      <c r="K29" s="582">
        <v>20</v>
      </c>
      <c r="L29" s="582">
        <v>62</v>
      </c>
      <c r="M29" s="582">
        <v>20</v>
      </c>
      <c r="N29" s="582">
        <v>62</v>
      </c>
      <c r="O29" s="582">
        <v>20</v>
      </c>
      <c r="P29" s="582">
        <v>62</v>
      </c>
      <c r="Q29" s="582">
        <v>62</v>
      </c>
      <c r="S29" s="528" t="s">
        <v>426</v>
      </c>
      <c r="T29" s="528"/>
      <c r="U29" s="519"/>
      <c r="V29" s="520" t="s">
        <v>126</v>
      </c>
      <c r="W29" s="521" t="s">
        <v>425</v>
      </c>
      <c r="X29" s="533"/>
      <c r="Y29" s="530">
        <v>1</v>
      </c>
      <c r="Z29" s="530"/>
      <c r="AA29" s="530"/>
      <c r="AB29" s="530">
        <v>1</v>
      </c>
      <c r="AC29" s="530"/>
      <c r="AD29" s="532">
        <v>2</v>
      </c>
      <c r="AE29" s="530"/>
      <c r="AF29" s="532"/>
      <c r="AG29" s="530"/>
      <c r="AH29" s="530"/>
      <c r="AI29" s="530"/>
    </row>
    <row r="30" spans="1:35" x14ac:dyDescent="0.25">
      <c r="A30" s="580"/>
      <c r="B30" s="580"/>
      <c r="C30" s="581"/>
      <c r="D30" s="581"/>
      <c r="E30" s="580" t="s">
        <v>377</v>
      </c>
      <c r="F30" s="581"/>
      <c r="G30" s="583">
        <v>10</v>
      </c>
      <c r="H30" s="544">
        <v>5</v>
      </c>
      <c r="I30" s="544">
        <v>4</v>
      </c>
      <c r="J30" s="582">
        <v>5</v>
      </c>
      <c r="K30" s="582">
        <v>9</v>
      </c>
      <c r="L30" s="582">
        <v>5</v>
      </c>
      <c r="M30" s="582">
        <v>0</v>
      </c>
      <c r="N30" s="582">
        <v>5</v>
      </c>
      <c r="O30" s="582">
        <v>4</v>
      </c>
      <c r="P30" s="582">
        <v>10</v>
      </c>
      <c r="Q30" s="582">
        <v>10</v>
      </c>
      <c r="S30" s="534"/>
      <c r="T30" s="534"/>
      <c r="U30" s="535"/>
      <c r="V30" s="535"/>
      <c r="W30" s="534" t="s">
        <v>196</v>
      </c>
      <c r="X30" s="535"/>
      <c r="Y30" s="536">
        <v>62</v>
      </c>
      <c r="Z30" s="536">
        <v>62</v>
      </c>
      <c r="AA30" s="536">
        <v>20</v>
      </c>
      <c r="AB30" s="537">
        <v>62</v>
      </c>
      <c r="AC30" s="537">
        <v>20</v>
      </c>
      <c r="AD30" s="537">
        <v>62</v>
      </c>
      <c r="AE30" s="537">
        <v>20</v>
      </c>
      <c r="AF30" s="537">
        <v>62</v>
      </c>
      <c r="AG30" s="537">
        <v>20</v>
      </c>
      <c r="AH30" s="537">
        <v>62</v>
      </c>
      <c r="AI30" s="537">
        <v>62</v>
      </c>
    </row>
    <row r="31" spans="1:35" x14ac:dyDescent="0.25">
      <c r="A31" s="580"/>
      <c r="B31" s="580"/>
      <c r="C31" s="581"/>
      <c r="D31" s="581"/>
      <c r="E31" s="580" t="s">
        <v>378</v>
      </c>
      <c r="F31" s="581"/>
      <c r="G31" s="544">
        <f>19-G30</f>
        <v>9</v>
      </c>
      <c r="H31" s="544">
        <f t="shared" ref="H31:Q31" si="0">19-H30</f>
        <v>14</v>
      </c>
      <c r="I31" s="544">
        <v>2</v>
      </c>
      <c r="J31" s="544">
        <f t="shared" si="0"/>
        <v>14</v>
      </c>
      <c r="K31" s="544">
        <v>0</v>
      </c>
      <c r="L31" s="544">
        <f t="shared" si="0"/>
        <v>14</v>
      </c>
      <c r="M31" s="544">
        <v>6</v>
      </c>
      <c r="N31" s="544">
        <f t="shared" si="0"/>
        <v>14</v>
      </c>
      <c r="O31" s="544">
        <v>2</v>
      </c>
      <c r="P31" s="544">
        <f t="shared" ref="P31" si="1">19-P30</f>
        <v>9</v>
      </c>
      <c r="Q31" s="544">
        <f t="shared" si="0"/>
        <v>9</v>
      </c>
      <c r="S31" s="534"/>
      <c r="T31" s="534"/>
      <c r="U31" s="535"/>
      <c r="V31" s="535"/>
      <c r="W31" s="534" t="s">
        <v>377</v>
      </c>
      <c r="X31" s="535"/>
      <c r="Y31" s="538">
        <v>10</v>
      </c>
      <c r="Z31" s="536">
        <v>5</v>
      </c>
      <c r="AA31" s="536">
        <v>4</v>
      </c>
      <c r="AB31" s="537">
        <v>5</v>
      </c>
      <c r="AC31" s="537">
        <v>9</v>
      </c>
      <c r="AD31" s="537">
        <v>5</v>
      </c>
      <c r="AE31" s="537">
        <v>0</v>
      </c>
      <c r="AF31" s="537">
        <v>5</v>
      </c>
      <c r="AG31" s="537">
        <v>4</v>
      </c>
      <c r="AH31" s="537">
        <v>10</v>
      </c>
      <c r="AI31" s="537">
        <v>10</v>
      </c>
    </row>
    <row r="32" spans="1:35" x14ac:dyDescent="0.25">
      <c r="A32" s="580"/>
      <c r="B32" s="580"/>
      <c r="C32" s="581"/>
      <c r="D32" s="581"/>
      <c r="E32" s="584" t="s">
        <v>252</v>
      </c>
      <c r="F32" s="581"/>
      <c r="G32" s="582">
        <f t="shared" ref="G32:Q32" si="2">SUM(G6:G28)</f>
        <v>53</v>
      </c>
      <c r="H32" s="582">
        <f t="shared" si="2"/>
        <v>48</v>
      </c>
      <c r="I32" s="582">
        <f t="shared" si="2"/>
        <v>13</v>
      </c>
      <c r="J32" s="582">
        <f t="shared" si="2"/>
        <v>99</v>
      </c>
      <c r="K32" s="582">
        <f t="shared" si="2"/>
        <v>10</v>
      </c>
      <c r="L32" s="582">
        <f t="shared" si="2"/>
        <v>60</v>
      </c>
      <c r="M32" s="582">
        <f t="shared" si="2"/>
        <v>15</v>
      </c>
      <c r="N32" s="582">
        <f t="shared" si="2"/>
        <v>53</v>
      </c>
      <c r="O32" s="582">
        <f t="shared" si="2"/>
        <v>11</v>
      </c>
      <c r="P32" s="582">
        <f t="shared" si="2"/>
        <v>43</v>
      </c>
      <c r="Q32" s="582">
        <f t="shared" si="2"/>
        <v>80</v>
      </c>
      <c r="S32" s="534"/>
      <c r="T32" s="534"/>
      <c r="U32" s="535"/>
      <c r="V32" s="535"/>
      <c r="W32" s="534" t="s">
        <v>378</v>
      </c>
      <c r="X32" s="535"/>
      <c r="Y32" s="536">
        <f>19-Y31</f>
        <v>9</v>
      </c>
      <c r="Z32" s="536">
        <f t="shared" ref="Z32" si="3">19-Z31</f>
        <v>14</v>
      </c>
      <c r="AA32" s="536">
        <v>2</v>
      </c>
      <c r="AB32" s="536">
        <f t="shared" ref="AB32" si="4">19-AB31</f>
        <v>14</v>
      </c>
      <c r="AC32" s="536">
        <v>0</v>
      </c>
      <c r="AD32" s="536">
        <f t="shared" ref="AD32" si="5">19-AD31</f>
        <v>14</v>
      </c>
      <c r="AE32" s="536">
        <v>6</v>
      </c>
      <c r="AF32" s="536">
        <f t="shared" ref="AF32" si="6">19-AF31</f>
        <v>14</v>
      </c>
      <c r="AG32" s="536">
        <v>2</v>
      </c>
      <c r="AH32" s="536">
        <f t="shared" ref="AH32:AI32" si="7">19-AH31</f>
        <v>9</v>
      </c>
      <c r="AI32" s="536">
        <f t="shared" si="7"/>
        <v>9</v>
      </c>
    </row>
    <row r="33" spans="1:35" x14ac:dyDescent="0.25">
      <c r="A33" s="580"/>
      <c r="B33" s="580"/>
      <c r="C33" s="581"/>
      <c r="D33" s="581"/>
      <c r="E33" s="580" t="s">
        <v>197</v>
      </c>
      <c r="F33" s="581"/>
      <c r="G33" s="585">
        <f>G29-(G30+G31+G32)</f>
        <v>-10</v>
      </c>
      <c r="H33" s="585">
        <f t="shared" ref="H33:Q33" si="8">H29-(H30+H31+H32)</f>
        <v>-5</v>
      </c>
      <c r="I33" s="585">
        <f t="shared" si="8"/>
        <v>1</v>
      </c>
      <c r="J33" s="585">
        <f>J29-(J30+J31+J32)</f>
        <v>-56</v>
      </c>
      <c r="K33" s="585">
        <f t="shared" si="8"/>
        <v>1</v>
      </c>
      <c r="L33" s="585">
        <f>L29-(L30+L31+L32)</f>
        <v>-17</v>
      </c>
      <c r="M33" s="585">
        <f t="shared" si="8"/>
        <v>-1</v>
      </c>
      <c r="N33" s="585">
        <f t="shared" si="8"/>
        <v>-10</v>
      </c>
      <c r="O33" s="585">
        <f t="shared" si="8"/>
        <v>3</v>
      </c>
      <c r="P33" s="585">
        <f t="shared" si="8"/>
        <v>0</v>
      </c>
      <c r="Q33" s="585">
        <f t="shared" si="8"/>
        <v>-37</v>
      </c>
      <c r="S33" s="534"/>
      <c r="T33" s="534"/>
      <c r="U33" s="535"/>
      <c r="V33" s="535"/>
      <c r="W33" s="539" t="s">
        <v>252</v>
      </c>
      <c r="X33" s="535"/>
      <c r="Y33" s="537">
        <f t="shared" ref="Y33:AC33" si="9">SUM(Y6:Y29)</f>
        <v>68</v>
      </c>
      <c r="Z33" s="537">
        <f t="shared" si="9"/>
        <v>58</v>
      </c>
      <c r="AA33" s="537">
        <f t="shared" si="9"/>
        <v>29</v>
      </c>
      <c r="AB33" s="537">
        <f t="shared" si="9"/>
        <v>81</v>
      </c>
      <c r="AC33" s="537">
        <f t="shared" si="9"/>
        <v>10</v>
      </c>
      <c r="AD33" s="537">
        <f>SUM(AD6:AD29)</f>
        <v>47</v>
      </c>
      <c r="AE33" s="537">
        <f t="shared" ref="AE33:AI33" si="10">SUM(AE6:AE29)</f>
        <v>15</v>
      </c>
      <c r="AF33" s="537">
        <f t="shared" si="10"/>
        <v>41</v>
      </c>
      <c r="AG33" s="537">
        <f t="shared" si="10"/>
        <v>11</v>
      </c>
      <c r="AH33" s="537">
        <f t="shared" si="10"/>
        <v>13</v>
      </c>
      <c r="AI33" s="537">
        <f t="shared" si="10"/>
        <v>80</v>
      </c>
    </row>
    <row r="34" spans="1:35" x14ac:dyDescent="0.25">
      <c r="S34" s="534"/>
      <c r="T34" s="534"/>
      <c r="U34" s="535"/>
      <c r="V34" s="535"/>
      <c r="W34" s="534" t="s">
        <v>197</v>
      </c>
      <c r="X34" s="535"/>
      <c r="Y34" s="540">
        <f>Y30-(Y31+Y32+Y33)</f>
        <v>-25</v>
      </c>
      <c r="Z34" s="540">
        <f t="shared" ref="Z34:AA34" si="11">Z30-(Z31+Z32+Z33)</f>
        <v>-15</v>
      </c>
      <c r="AA34" s="540">
        <f t="shared" si="11"/>
        <v>-15</v>
      </c>
      <c r="AB34" s="540">
        <f>AB30-(AB31+AB32+AB33)</f>
        <v>-38</v>
      </c>
      <c r="AC34" s="540">
        <f t="shared" ref="AC34" si="12">AC30-(AC31+AC32+AC33)</f>
        <v>1</v>
      </c>
      <c r="AD34" s="540">
        <f>AD30-(AD31+AD32+AD33)</f>
        <v>-4</v>
      </c>
      <c r="AE34" s="540">
        <f t="shared" ref="AE34:AH34" si="13">AE30-(AE31+AE32+AE33)</f>
        <v>-1</v>
      </c>
      <c r="AF34" s="540">
        <f t="shared" si="13"/>
        <v>2</v>
      </c>
      <c r="AG34" s="540">
        <f t="shared" si="13"/>
        <v>3</v>
      </c>
      <c r="AH34" s="540">
        <f t="shared" si="13"/>
        <v>30</v>
      </c>
      <c r="AI34" s="540">
        <f>AI30-(AI31+AI32+AI33)</f>
        <v>-37</v>
      </c>
    </row>
    <row r="37" spans="1:35" ht="63.75" x14ac:dyDescent="0.25">
      <c r="A37" s="494" t="s">
        <v>437</v>
      </c>
      <c r="B37" s="495" t="s">
        <v>379</v>
      </c>
      <c r="C37" s="497" t="s">
        <v>309</v>
      </c>
      <c r="D37" s="497" t="s">
        <v>308</v>
      </c>
      <c r="E37" s="496" t="s">
        <v>367</v>
      </c>
      <c r="F37" s="545">
        <v>3.57</v>
      </c>
      <c r="G37" s="505">
        <v>5</v>
      </c>
      <c r="H37" s="499">
        <v>10</v>
      </c>
      <c r="I37" s="505">
        <v>10</v>
      </c>
      <c r="J37" s="499">
        <v>10</v>
      </c>
      <c r="K37" s="505"/>
      <c r="L37" s="505"/>
      <c r="M37" s="505"/>
      <c r="N37" s="505"/>
      <c r="O37" s="505"/>
      <c r="P37" s="505"/>
      <c r="Q37" s="505"/>
    </row>
  </sheetData>
  <hyperlinks>
    <hyperlink ref="D37" r:id="rId1" display="https://jira.megafon.ru/browse/B2CPROD-849" xr:uid="{85DCA7D9-6B19-4137-84B9-8DC472E93872}"/>
    <hyperlink ref="C37" r:id="rId2" display="https://jira.megafon.ru/browse/B2CPROD-111" xr:uid="{31193C34-D233-4631-BD8C-6185CC201F38}"/>
    <hyperlink ref="E37" r:id="rId3" xr:uid="{18B53D23-303C-409F-B56E-A6D3A1F3692C}"/>
    <hyperlink ref="D7" r:id="rId4" xr:uid="{C1A50C55-0319-4428-BBA6-9F8142820411}"/>
    <hyperlink ref="D6" r:id="rId5" display="https://jira.megafon.ru/browse/B2CPROD-1177" xr:uid="{F8450B3E-C367-4274-8E84-4270D990314A}"/>
    <hyperlink ref="C6" r:id="rId6" xr:uid="{D988DAB3-EB44-4100-9C60-5359161F5BB3}"/>
    <hyperlink ref="E6" r:id="rId7" xr:uid="{F2027371-E0BD-4D17-A894-6F9054936780}"/>
    <hyperlink ref="E14" r:id="rId8" xr:uid="{1DF06BFC-FD8C-4140-BCF9-5861BD815542}"/>
    <hyperlink ref="E16" r:id="rId9" xr:uid="{75A6AAE4-B362-4BEB-AEB1-698027F345DE}"/>
    <hyperlink ref="E22" r:id="rId10" xr:uid="{921DB3D8-CFCB-4113-8C33-BC43669BB382}"/>
    <hyperlink ref="E17" r:id="rId11" xr:uid="{C5EF96A0-225A-4D04-B731-50794EDA5466}"/>
    <hyperlink ref="C15" r:id="rId12" xr:uid="{64C96AC1-564D-4534-816D-01BAD7C3934E}"/>
    <hyperlink ref="D13" r:id="rId13" xr:uid="{184E94A7-270D-4E11-AF3B-D94CDEA6DCCE}"/>
    <hyperlink ref="E15" r:id="rId14" xr:uid="{D8F95DAC-F0FA-437F-A5E7-95648A3E60F8}"/>
    <hyperlink ref="E7" r:id="rId15" display="https://jira.megafon.ru/browse/CKO-56696" xr:uid="{915E4922-A291-4977-8DB1-764D0568CEBC}"/>
    <hyperlink ref="C7" r:id="rId16" xr:uid="{7CA9256C-1942-438B-B995-7890177FE7AE}"/>
    <hyperlink ref="C9" r:id="rId17" xr:uid="{08E48BFA-4924-4E78-9987-9B5EB5C92063}"/>
    <hyperlink ref="D15" r:id="rId18" xr:uid="{1101ACFF-7F49-48A4-B239-5D8C4C66470C}"/>
    <hyperlink ref="D9" r:id="rId19" xr:uid="{A6E1B8EF-8181-4EC6-965A-FA50844E9EEC}"/>
    <hyperlink ref="D14" r:id="rId20" xr:uid="{CB43ADBE-C0B9-433C-B7AC-C0755F47B800}"/>
    <hyperlink ref="E23" r:id="rId21" xr:uid="{D655D6B6-9137-409B-A723-5CC7C41276A0}"/>
    <hyperlink ref="E24" r:id="rId22" xr:uid="{6EDDA04E-4ED6-45B3-8C6F-9CB4486526F5}"/>
    <hyperlink ref="E25" r:id="rId23" xr:uid="{02DD2B4F-5FB3-4BE3-BA1F-FC15DB81222F}"/>
    <hyperlink ref="E26" r:id="rId24" xr:uid="{707D2CEF-D658-4FA6-8F0F-E3EF53999418}"/>
    <hyperlink ref="E27" r:id="rId25" xr:uid="{9D64FDB0-F81C-470D-9CED-999689D50C50}"/>
    <hyperlink ref="E28" r:id="rId26" xr:uid="{F1560C24-F73E-46AA-8373-A14304804B4C}"/>
    <hyperlink ref="E10" r:id="rId27" xr:uid="{EEC47E9B-C3C9-4069-ABBA-EACA1ECBE193}"/>
    <hyperlink ref="E11" r:id="rId28" xr:uid="{4B3CB1C4-F0C3-43A5-9FA9-9B6E0087D8C9}"/>
    <hyperlink ref="E12" r:id="rId29" xr:uid="{2F82DA17-DE20-4865-B558-29F5029C98B8}"/>
    <hyperlink ref="V7" r:id="rId30" xr:uid="{1DA865C2-516E-47E1-965D-895B7F272C23}"/>
    <hyperlink ref="V6" r:id="rId31" display="https://jira.megafon.ru/browse/B2CPROD-1177" xr:uid="{FEF47C9A-7CF7-4C7C-8E97-F37A7AE0E013}"/>
    <hyperlink ref="U6" r:id="rId32" xr:uid="{ADC97C4C-D12D-4154-A641-B8F1E9CCE52F}"/>
    <hyperlink ref="W6" r:id="rId33" xr:uid="{354C3425-66EF-4FC9-8F71-9D62BA11F612}"/>
    <hyperlink ref="W7" r:id="rId34" xr:uid="{0AD61842-B852-45CA-BF92-34284F5E1992}"/>
    <hyperlink ref="U7" r:id="rId35" xr:uid="{F6CA43DF-541B-4F2A-82C1-16E1C84E626F}"/>
    <hyperlink ref="U9" r:id="rId36" xr:uid="{0299D77D-6F27-4B97-BD9A-239453D8D8EA}"/>
    <hyperlink ref="V9" r:id="rId37" xr:uid="{C374C965-FFB9-483E-A993-830638132337}"/>
    <hyperlink ref="W10" r:id="rId38" xr:uid="{AF8BC044-4ABE-46CE-929E-BAEE4F642E5F}"/>
    <hyperlink ref="W11" r:id="rId39" xr:uid="{0F50BD71-81F6-43D4-AF46-3F7E3E7804C3}"/>
    <hyperlink ref="W12" r:id="rId40" xr:uid="{09541A21-99E2-472F-81EB-9375EA2A4826}"/>
    <hyperlink ref="V13" r:id="rId41" display="https://jira.megafon.ru/browse/B2CPROD-849" xr:uid="{5B66A3B4-84A8-430D-BEA2-F49D103EBF69}"/>
    <hyperlink ref="U13" r:id="rId42" display="https://jira.megafon.ru/browse/B2CPROD-111" xr:uid="{C74873CB-D43A-45DB-9531-E29D2A25DC32}"/>
    <hyperlink ref="W13" r:id="rId43" xr:uid="{114AA202-AAEE-49DE-9C62-0E503F214ECF}"/>
    <hyperlink ref="W15" r:id="rId44" xr:uid="{2364300D-0A43-4EBB-A231-0F2E7E6E1439}"/>
    <hyperlink ref="W17" r:id="rId45" xr:uid="{CCE32214-E9B5-4424-B7CD-3FFD289DF01A}"/>
    <hyperlink ref="W23" r:id="rId46" xr:uid="{B9D78EAF-5362-410F-AD61-EA1C59FC0F9E}"/>
    <hyperlink ref="W18" r:id="rId47" xr:uid="{F4138BC1-9E07-4B1C-9C3C-48E1AD650E9A}"/>
    <hyperlink ref="U16" r:id="rId48" xr:uid="{6EED843B-B852-4906-9D4F-642897102124}"/>
    <hyperlink ref="W14" r:id="rId49" xr:uid="{A4E0596E-F412-4FB7-847B-D319C1AEBAA8}"/>
    <hyperlink ref="V14" r:id="rId50" xr:uid="{399EAF9F-A651-4081-A482-02D703E8AD86}"/>
    <hyperlink ref="W16" r:id="rId51" xr:uid="{33A0756F-61D4-438F-9C1B-90E545B6E669}"/>
    <hyperlink ref="V16" r:id="rId52" xr:uid="{0E202D71-3EDE-457A-8F4B-A40B1014D7D4}"/>
    <hyperlink ref="V15" r:id="rId53" xr:uid="{35D55B4E-BABB-4641-B77D-C1C260133DC6}"/>
    <hyperlink ref="W24" r:id="rId54" xr:uid="{E18F2448-BB26-4609-AEE6-2B77D5D547B3}"/>
    <hyperlink ref="W25" r:id="rId55" xr:uid="{34B951D2-88FB-4D56-B5A5-CA3EAF8347F0}"/>
    <hyperlink ref="W26" r:id="rId56" xr:uid="{7F9CD77C-56EF-4056-9623-1D428A22EC4E}"/>
    <hyperlink ref="W27" r:id="rId57" xr:uid="{D465077F-834C-42E7-A072-0AEBD2DCC7C9}"/>
    <hyperlink ref="W28" r:id="rId58" xr:uid="{45AE9C4B-D2F8-4BB3-B9A2-3EE9286C4DAE}"/>
    <hyperlink ref="W29" r:id="rId59" xr:uid="{7801375A-9275-4787-9442-56D5E938D067}"/>
    <hyperlink ref="E13" r:id="rId60" xr:uid="{582DC0CE-CC91-4E80-A86A-94BB5E24A7BE}"/>
  </hyperlinks>
  <pageMargins left="0.7" right="0.7" top="0.75" bottom="0.75" header="0.3" footer="0.3"/>
  <pageSetup paperSize="9" orientation="portrait" r:id="rId61"/>
  <drawing r:id="rId62"/>
  <legacyDrawing r:id="rId6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D2CD-6698-4732-9AAD-3BAA6BE35E14}">
  <dimension ref="A2:AC35"/>
  <sheetViews>
    <sheetView zoomScale="60" zoomScaleNormal="60" workbookViewId="0">
      <pane ySplit="4" topLeftCell="A14" activePane="bottomLeft" state="frozen"/>
      <selection pane="bottomLeft" activeCell="E33" sqref="E33"/>
    </sheetView>
  </sheetViews>
  <sheetFormatPr defaultColWidth="8.85546875" defaultRowHeight="18.75" outlineLevelCol="1" x14ac:dyDescent="0.25"/>
  <cols>
    <col min="1" max="1" width="3.7109375" style="336" customWidth="1"/>
    <col min="2" max="2" width="7.28515625" style="337" customWidth="1"/>
    <col min="3" max="3" width="13.5703125" style="337" customWidth="1"/>
    <col min="4" max="4" width="37.140625" style="986" customWidth="1"/>
    <col min="5" max="5" width="64" style="1157" customWidth="1"/>
    <col min="6" max="6" width="17.5703125" style="339" customWidth="1"/>
    <col min="7" max="7" width="59.28515625" style="1083" customWidth="1"/>
    <col min="8" max="8" width="0.28515625" style="1084" customWidth="1"/>
    <col min="9" max="9" width="10.7109375" style="1084" customWidth="1"/>
    <col min="10" max="11" width="10.7109375" style="1084" hidden="1" customWidth="1"/>
    <col min="12" max="12" width="10.7109375" style="1084" hidden="1" customWidth="1" outlineLevel="1"/>
    <col min="13" max="13" width="13.28515625" style="1084" customWidth="1" outlineLevel="1"/>
    <col min="14" max="14" width="80.7109375" style="1104" customWidth="1" outlineLevel="1"/>
    <col min="15" max="19" width="8.42578125" style="341" hidden="1" customWidth="1" outlineLevel="1"/>
    <col min="20" max="20" width="8.42578125" style="988" hidden="1" customWidth="1" outlineLevel="1"/>
    <col min="21" max="26" width="8.42578125" style="341" hidden="1" customWidth="1" outlineLevel="1"/>
    <col min="27" max="27" width="10.7109375" style="341" customWidth="1"/>
    <col min="28" max="28" width="22.7109375" style="336" customWidth="1"/>
    <col min="29" max="31" width="10.7109375" style="336" customWidth="1"/>
    <col min="32" max="16384" width="8.85546875" style="336"/>
  </cols>
  <sheetData>
    <row r="2" spans="1:29" ht="21" x14ac:dyDescent="0.25">
      <c r="B2" s="426" t="s">
        <v>357</v>
      </c>
      <c r="C2" s="426"/>
      <c r="D2" s="983"/>
      <c r="E2" s="1156" t="s">
        <v>664</v>
      </c>
      <c r="F2" s="1079"/>
      <c r="G2" s="1080"/>
      <c r="H2" s="1081"/>
      <c r="I2" s="1081"/>
      <c r="J2" s="1081"/>
      <c r="K2" s="1081"/>
      <c r="L2" s="1081"/>
      <c r="M2" s="1081"/>
      <c r="N2" s="1082"/>
      <c r="O2" s="420"/>
      <c r="P2" s="420"/>
      <c r="Q2" s="420"/>
      <c r="R2" s="420"/>
      <c r="S2" s="420"/>
      <c r="T2" s="984"/>
      <c r="U2" s="420"/>
      <c r="V2" s="420"/>
      <c r="W2" s="420"/>
      <c r="X2" s="420"/>
      <c r="Y2" s="420"/>
      <c r="Z2" s="420"/>
      <c r="AA2" s="985" t="s">
        <v>356</v>
      </c>
    </row>
    <row r="3" spans="1:29" x14ac:dyDescent="0.25">
      <c r="N3" s="1085" t="s">
        <v>665</v>
      </c>
      <c r="X3" s="989" t="s">
        <v>666</v>
      </c>
      <c r="Y3" s="341" t="s">
        <v>667</v>
      </c>
    </row>
    <row r="4" spans="1:29" ht="27.4" customHeight="1" thickBot="1" x14ac:dyDescent="0.3">
      <c r="B4" s="412" t="s">
        <v>355</v>
      </c>
      <c r="C4" s="415" t="s">
        <v>1</v>
      </c>
      <c r="D4" s="990" t="s">
        <v>2</v>
      </c>
      <c r="E4" s="1158" t="s">
        <v>3</v>
      </c>
      <c r="F4" s="416" t="s">
        <v>354</v>
      </c>
      <c r="G4" s="1086" t="s">
        <v>353</v>
      </c>
      <c r="H4" s="1087"/>
      <c r="I4" s="1087" t="s">
        <v>350</v>
      </c>
      <c r="J4" s="1087" t="s">
        <v>349</v>
      </c>
      <c r="K4" s="1087" t="s">
        <v>348</v>
      </c>
      <c r="L4" s="1088" t="s">
        <v>347</v>
      </c>
      <c r="M4" s="1088" t="s">
        <v>305</v>
      </c>
      <c r="N4" s="1089" t="s">
        <v>346</v>
      </c>
      <c r="O4" s="413" t="s">
        <v>58</v>
      </c>
      <c r="P4" s="413" t="s">
        <v>345</v>
      </c>
      <c r="Q4" s="413" t="s">
        <v>344</v>
      </c>
      <c r="R4" s="413" t="s">
        <v>668</v>
      </c>
      <c r="S4" s="413" t="s">
        <v>343</v>
      </c>
      <c r="T4" s="991" t="s">
        <v>43</v>
      </c>
      <c r="U4" s="413" t="s">
        <v>342</v>
      </c>
      <c r="V4" s="413" t="s">
        <v>35</v>
      </c>
      <c r="W4" s="413" t="s">
        <v>341</v>
      </c>
      <c r="X4" s="413" t="s">
        <v>68</v>
      </c>
      <c r="Y4" s="413" t="s">
        <v>340</v>
      </c>
      <c r="Z4" s="413" t="s">
        <v>99</v>
      </c>
      <c r="AA4" s="412" t="s">
        <v>278</v>
      </c>
    </row>
    <row r="5" spans="1:29" s="337" customFormat="1" ht="27.4" customHeight="1" thickTop="1" x14ac:dyDescent="0.25">
      <c r="B5" s="371">
        <v>1</v>
      </c>
      <c r="C5" s="370" t="s">
        <v>339</v>
      </c>
      <c r="D5" s="992"/>
      <c r="E5" s="1159"/>
      <c r="F5" s="993"/>
      <c r="G5" s="1090"/>
      <c r="H5" s="1091"/>
      <c r="I5" s="1091"/>
      <c r="J5" s="1091"/>
      <c r="K5" s="1091"/>
      <c r="L5" s="1091"/>
      <c r="M5" s="1091"/>
      <c r="N5" s="1092"/>
      <c r="O5" s="995"/>
      <c r="P5" s="995"/>
      <c r="Q5" s="995"/>
      <c r="R5" s="995"/>
      <c r="S5" s="995"/>
      <c r="T5" s="994"/>
      <c r="U5" s="995"/>
      <c r="V5" s="995"/>
      <c r="W5" s="995"/>
      <c r="X5" s="995"/>
      <c r="Y5" s="995"/>
      <c r="Z5" s="995"/>
      <c r="AA5" s="996" t="s">
        <v>278</v>
      </c>
    </row>
    <row r="6" spans="1:29" s="406" customFormat="1" ht="102.6" customHeight="1" x14ac:dyDescent="0.25">
      <c r="A6" s="341"/>
      <c r="B6" s="997">
        <v>1</v>
      </c>
      <c r="C6" s="998" t="s">
        <v>339</v>
      </c>
      <c r="D6" s="999" t="s">
        <v>669</v>
      </c>
      <c r="E6" s="1093" t="s">
        <v>670</v>
      </c>
      <c r="F6" s="1094" t="s">
        <v>671</v>
      </c>
      <c r="G6" s="1095" t="s">
        <v>793</v>
      </c>
      <c r="H6" s="1096" t="s">
        <v>672</v>
      </c>
      <c r="I6" s="1084" t="s">
        <v>673</v>
      </c>
      <c r="J6" s="1084" t="s">
        <v>337</v>
      </c>
      <c r="K6" s="1097"/>
      <c r="L6" s="1097"/>
      <c r="M6" s="1097"/>
      <c r="N6" s="1098" t="s">
        <v>674</v>
      </c>
      <c r="O6" s="411" t="s">
        <v>675</v>
      </c>
      <c r="P6" s="411" t="s">
        <v>676</v>
      </c>
      <c r="Q6" s="411"/>
      <c r="R6" s="1000" t="s">
        <v>677</v>
      </c>
      <c r="S6" s="411"/>
      <c r="T6" s="988"/>
      <c r="U6" s="411"/>
      <c r="V6" s="411"/>
      <c r="W6" s="411"/>
      <c r="X6" s="411"/>
      <c r="Y6" s="411"/>
      <c r="Z6" s="411"/>
      <c r="AA6" s="411"/>
    </row>
    <row r="7" spans="1:29" s="406" customFormat="1" ht="109.15" customHeight="1" x14ac:dyDescent="0.3">
      <c r="A7" s="341"/>
      <c r="B7" s="997">
        <v>2</v>
      </c>
      <c r="C7" s="998" t="s">
        <v>339</v>
      </c>
      <c r="D7" s="390" t="s">
        <v>678</v>
      </c>
      <c r="E7" s="1099" t="s">
        <v>679</v>
      </c>
      <c r="F7" s="1094" t="s">
        <v>671</v>
      </c>
      <c r="G7" s="1095" t="s">
        <v>680</v>
      </c>
      <c r="H7" s="1096" t="s">
        <v>681</v>
      </c>
      <c r="I7" s="1084" t="s">
        <v>673</v>
      </c>
      <c r="J7" s="1084"/>
      <c r="K7" s="1097"/>
      <c r="L7" s="1097"/>
      <c r="M7" s="1097"/>
      <c r="N7" s="1098" t="s">
        <v>674</v>
      </c>
      <c r="O7" s="411" t="s">
        <v>675</v>
      </c>
      <c r="P7" s="411" t="s">
        <v>676</v>
      </c>
      <c r="Q7" s="411"/>
      <c r="R7" s="1000" t="s">
        <v>677</v>
      </c>
      <c r="S7" s="411"/>
      <c r="T7" s="988"/>
      <c r="U7" s="411"/>
      <c r="V7" s="411"/>
      <c r="W7" s="411"/>
      <c r="X7" s="411"/>
      <c r="Y7" s="411"/>
      <c r="Z7" s="411"/>
      <c r="AA7" s="411"/>
    </row>
    <row r="8" spans="1:29" s="406" customFormat="1" ht="101.45" customHeight="1" x14ac:dyDescent="0.3">
      <c r="A8" s="341"/>
      <c r="B8" s="997">
        <v>3</v>
      </c>
      <c r="C8" s="998" t="s">
        <v>339</v>
      </c>
      <c r="D8" s="390" t="s">
        <v>682</v>
      </c>
      <c r="E8" s="1099" t="s">
        <v>683</v>
      </c>
      <c r="F8" s="1094" t="s">
        <v>671</v>
      </c>
      <c r="G8" s="1095"/>
      <c r="H8" s="1096"/>
      <c r="I8" s="1084" t="s">
        <v>673</v>
      </c>
      <c r="J8" s="1084"/>
      <c r="K8" s="1097"/>
      <c r="L8" s="1097"/>
      <c r="M8" s="1097"/>
      <c r="N8" s="1098" t="s">
        <v>674</v>
      </c>
      <c r="O8" s="411" t="s">
        <v>675</v>
      </c>
      <c r="P8" s="411" t="s">
        <v>676</v>
      </c>
      <c r="Q8" s="411"/>
      <c r="R8" s="1000" t="s">
        <v>677</v>
      </c>
      <c r="S8" s="411"/>
      <c r="T8" s="988"/>
      <c r="U8" s="411"/>
      <c r="V8" s="411"/>
      <c r="W8" s="411"/>
      <c r="X8" s="411"/>
      <c r="Y8" s="411"/>
      <c r="Z8" s="411"/>
      <c r="AA8" s="411"/>
    </row>
    <row r="9" spans="1:29" s="406" customFormat="1" ht="55.5" customHeight="1" x14ac:dyDescent="0.25">
      <c r="A9" s="341"/>
      <c r="B9" s="997">
        <v>4</v>
      </c>
      <c r="C9" s="998" t="s">
        <v>339</v>
      </c>
      <c r="D9" s="351" t="s">
        <v>319</v>
      </c>
      <c r="E9" s="1093" t="s">
        <v>684</v>
      </c>
      <c r="F9" s="1094" t="s">
        <v>671</v>
      </c>
      <c r="G9" s="1095" t="s">
        <v>685</v>
      </c>
      <c r="H9" s="1096"/>
      <c r="I9" s="1084" t="s">
        <v>673</v>
      </c>
      <c r="J9" s="1084" t="s">
        <v>330</v>
      </c>
      <c r="K9" s="1097"/>
      <c r="L9" s="1097"/>
      <c r="M9" s="1097"/>
      <c r="N9" s="1100" t="s">
        <v>686</v>
      </c>
      <c r="O9" s="411" t="s">
        <v>687</v>
      </c>
      <c r="P9" s="411"/>
      <c r="Q9" s="411"/>
      <c r="R9" s="1001" t="s">
        <v>688</v>
      </c>
      <c r="S9" s="411"/>
      <c r="T9" s="988"/>
      <c r="U9" s="411"/>
      <c r="V9" s="411"/>
      <c r="W9" s="411"/>
      <c r="X9" s="411"/>
      <c r="Y9" s="411"/>
      <c r="Z9" s="411"/>
      <c r="AA9" s="411"/>
    </row>
    <row r="10" spans="1:29" s="406" customFormat="1" ht="90" customHeight="1" x14ac:dyDescent="0.25">
      <c r="A10" s="341"/>
      <c r="B10" s="997">
        <v>5</v>
      </c>
      <c r="C10" s="998" t="s">
        <v>339</v>
      </c>
      <c r="D10" s="351" t="s">
        <v>319</v>
      </c>
      <c r="E10" s="1093" t="s">
        <v>689</v>
      </c>
      <c r="F10" s="1094" t="s">
        <v>671</v>
      </c>
      <c r="G10" s="1095" t="s">
        <v>690</v>
      </c>
      <c r="H10" s="1096"/>
      <c r="I10" s="1084" t="s">
        <v>673</v>
      </c>
      <c r="J10" s="1084" t="s">
        <v>691</v>
      </c>
      <c r="K10" s="1097"/>
      <c r="L10" s="1097"/>
      <c r="M10" s="1097"/>
      <c r="N10" s="1128" t="s">
        <v>794</v>
      </c>
      <c r="O10" s="1000" t="s">
        <v>692</v>
      </c>
      <c r="P10" s="411"/>
      <c r="Q10" s="411"/>
      <c r="R10" s="1001" t="s">
        <v>688</v>
      </c>
      <c r="S10" s="411"/>
      <c r="T10" s="988"/>
      <c r="U10" s="411"/>
      <c r="V10" s="411"/>
      <c r="W10" s="411"/>
      <c r="X10" s="411"/>
      <c r="Y10" s="411"/>
      <c r="Z10" s="411"/>
      <c r="AA10" s="411"/>
    </row>
    <row r="11" spans="1:29" s="406" customFormat="1" ht="74.45" customHeight="1" x14ac:dyDescent="0.25">
      <c r="A11" s="341"/>
      <c r="B11" s="997">
        <v>6</v>
      </c>
      <c r="C11" s="998" t="s">
        <v>339</v>
      </c>
      <c r="D11" s="1002" t="s">
        <v>693</v>
      </c>
      <c r="E11" s="1102" t="s">
        <v>694</v>
      </c>
      <c r="F11" s="362" t="s">
        <v>269</v>
      </c>
      <c r="G11" s="1103" t="s">
        <v>697</v>
      </c>
      <c r="H11" s="339"/>
      <c r="I11" s="339" t="s">
        <v>282</v>
      </c>
      <c r="J11" s="339" t="s">
        <v>321</v>
      </c>
      <c r="K11" s="339"/>
      <c r="L11" s="339"/>
      <c r="M11" s="339"/>
      <c r="N11" s="1104" t="s">
        <v>698</v>
      </c>
      <c r="O11" s="411" t="s">
        <v>695</v>
      </c>
      <c r="P11" s="411" t="s">
        <v>696</v>
      </c>
      <c r="Q11" s="411"/>
      <c r="R11" s="1000" t="s">
        <v>677</v>
      </c>
      <c r="S11" s="411"/>
      <c r="T11" s="988"/>
      <c r="U11" s="411"/>
      <c r="V11" s="411"/>
      <c r="W11" s="411"/>
      <c r="X11" s="411"/>
      <c r="Y11" s="411"/>
      <c r="Z11" s="411"/>
      <c r="AA11" s="411"/>
    </row>
    <row r="12" spans="1:29" s="1006" customFormat="1" ht="58.9" customHeight="1" x14ac:dyDescent="0.2">
      <c r="A12" s="1001"/>
      <c r="B12" s="997">
        <v>7</v>
      </c>
      <c r="C12" s="1003" t="s">
        <v>339</v>
      </c>
      <c r="D12" s="1004" t="s">
        <v>327</v>
      </c>
      <c r="E12" s="1105" t="s">
        <v>326</v>
      </c>
      <c r="F12" s="362" t="s">
        <v>269</v>
      </c>
      <c r="G12" s="1103" t="s">
        <v>699</v>
      </c>
      <c r="H12" s="339"/>
      <c r="I12" s="339" t="s">
        <v>282</v>
      </c>
      <c r="J12" s="339" t="s">
        <v>321</v>
      </c>
      <c r="K12" s="339"/>
      <c r="L12" s="339"/>
      <c r="M12" s="339"/>
      <c r="N12" s="1104" t="s">
        <v>698</v>
      </c>
      <c r="O12" s="1005" t="s">
        <v>688</v>
      </c>
      <c r="P12" s="1005"/>
      <c r="Q12" s="1005"/>
      <c r="R12" s="1001" t="s">
        <v>688</v>
      </c>
      <c r="S12" s="1005"/>
      <c r="T12" s="1005"/>
      <c r="U12" s="1005"/>
      <c r="V12" s="1005"/>
      <c r="W12" s="1005"/>
      <c r="X12" s="1005"/>
      <c r="Y12" s="1005"/>
      <c r="Z12" s="1005"/>
    </row>
    <row r="13" spans="1:29" s="1006" customFormat="1" ht="102.6" customHeight="1" x14ac:dyDescent="0.2">
      <c r="A13" s="1001"/>
      <c r="B13" s="997">
        <v>8</v>
      </c>
      <c r="C13" s="1003" t="s">
        <v>339</v>
      </c>
      <c r="D13" s="1007" t="s">
        <v>324</v>
      </c>
      <c r="E13" s="1105" t="s">
        <v>323</v>
      </c>
      <c r="F13" s="1094" t="s">
        <v>671</v>
      </c>
      <c r="H13" s="1096" t="s">
        <v>709</v>
      </c>
      <c r="I13" s="1084" t="s">
        <v>673</v>
      </c>
      <c r="J13" s="1084" t="s">
        <v>337</v>
      </c>
      <c r="K13" s="1097"/>
      <c r="L13" s="1097"/>
      <c r="M13" s="1097"/>
      <c r="N13" s="1128" t="s">
        <v>795</v>
      </c>
      <c r="O13" s="1005" t="s">
        <v>688</v>
      </c>
      <c r="P13" s="1005"/>
      <c r="Q13" s="1005"/>
      <c r="R13" s="1001" t="s">
        <v>700</v>
      </c>
      <c r="S13" s="1005"/>
      <c r="T13" s="1005"/>
      <c r="U13" s="1005"/>
      <c r="V13" s="1005"/>
      <c r="W13" s="1005"/>
      <c r="X13" s="1005"/>
      <c r="Y13" s="1005"/>
      <c r="Z13" s="1005"/>
    </row>
    <row r="14" spans="1:29" ht="141.6" customHeight="1" x14ac:dyDescent="0.25">
      <c r="A14" s="341"/>
      <c r="B14" s="997">
        <v>9</v>
      </c>
      <c r="C14" s="1003" t="s">
        <v>339</v>
      </c>
      <c r="D14" s="1008" t="s">
        <v>701</v>
      </c>
      <c r="E14" s="1093" t="s">
        <v>707</v>
      </c>
      <c r="F14" s="362" t="s">
        <v>269</v>
      </c>
      <c r="G14" s="1095" t="s">
        <v>708</v>
      </c>
      <c r="H14" s="1096"/>
      <c r="I14" s="339" t="s">
        <v>282</v>
      </c>
      <c r="J14" s="1084" t="s">
        <v>716</v>
      </c>
      <c r="K14" s="1097"/>
      <c r="L14" s="1097"/>
      <c r="M14" s="1097"/>
      <c r="N14" s="1128"/>
      <c r="O14" s="337" t="s">
        <v>702</v>
      </c>
      <c r="P14" s="337"/>
      <c r="Q14" s="337"/>
      <c r="R14" s="341" t="s">
        <v>703</v>
      </c>
      <c r="S14" s="337"/>
      <c r="T14" s="337"/>
      <c r="U14" s="337"/>
      <c r="V14" s="338"/>
      <c r="W14" s="337"/>
      <c r="X14" s="337"/>
      <c r="Y14" s="337"/>
      <c r="Z14" s="337"/>
      <c r="AA14" s="336"/>
      <c r="AC14" s="1095" t="s">
        <v>715</v>
      </c>
    </row>
    <row r="15" spans="1:29" ht="118.9" customHeight="1" x14ac:dyDescent="0.25">
      <c r="A15" s="341"/>
      <c r="B15" s="997">
        <v>10</v>
      </c>
      <c r="C15" s="1003" t="s">
        <v>339</v>
      </c>
      <c r="D15" s="1008" t="s">
        <v>701</v>
      </c>
      <c r="E15" s="1093" t="s">
        <v>714</v>
      </c>
      <c r="F15" s="362" t="s">
        <v>269</v>
      </c>
      <c r="G15" s="1095" t="s">
        <v>720</v>
      </c>
      <c r="H15" s="1096"/>
      <c r="I15" s="339" t="s">
        <v>282</v>
      </c>
      <c r="J15" s="1084" t="s">
        <v>716</v>
      </c>
      <c r="K15" s="1097"/>
      <c r="L15" s="1097"/>
      <c r="M15" s="1097"/>
      <c r="N15" s="1129" t="s">
        <v>796</v>
      </c>
      <c r="O15" s="337" t="s">
        <v>688</v>
      </c>
      <c r="P15" s="337"/>
      <c r="Q15" s="337"/>
      <c r="R15" s="341" t="s">
        <v>688</v>
      </c>
      <c r="S15" s="337"/>
      <c r="T15" s="337"/>
      <c r="U15" s="337"/>
      <c r="V15" s="338"/>
      <c r="W15" s="337"/>
      <c r="X15" s="337"/>
      <c r="Y15" s="337"/>
      <c r="Z15" s="337"/>
      <c r="AA15" s="336"/>
    </row>
    <row r="16" spans="1:29" s="1015" customFormat="1" ht="41.65" hidden="1" customHeight="1" x14ac:dyDescent="0.25">
      <c r="A16" s="1009"/>
      <c r="B16" s="1010"/>
      <c r="C16" s="1011" t="s">
        <v>339</v>
      </c>
      <c r="D16" s="1012" t="s">
        <v>701</v>
      </c>
      <c r="E16" s="1093" t="s">
        <v>719</v>
      </c>
      <c r="F16" s="368"/>
      <c r="G16" s="1106"/>
      <c r="H16" s="1107"/>
      <c r="I16" s="1108"/>
      <c r="J16" s="1108"/>
      <c r="K16" s="1108"/>
      <c r="L16" s="1108"/>
      <c r="M16" s="1108"/>
      <c r="N16" s="1089"/>
      <c r="O16" s="1013"/>
      <c r="P16" s="1013"/>
      <c r="Q16" s="1013"/>
      <c r="R16" s="1009"/>
      <c r="S16" s="1013"/>
      <c r="T16" s="1013"/>
      <c r="U16" s="1013"/>
      <c r="V16" s="1014"/>
      <c r="W16" s="1013"/>
      <c r="X16" s="1013"/>
      <c r="Y16" s="1013"/>
      <c r="Z16" s="1013"/>
    </row>
    <row r="17" spans="1:27" ht="76.150000000000006" customHeight="1" x14ac:dyDescent="0.25">
      <c r="A17" s="341"/>
      <c r="B17" s="997">
        <v>11</v>
      </c>
      <c r="C17" s="1003" t="s">
        <v>339</v>
      </c>
      <c r="D17" s="1008" t="s">
        <v>701</v>
      </c>
      <c r="E17" s="1159"/>
      <c r="F17" s="362" t="s">
        <v>671</v>
      </c>
      <c r="G17" s="1109" t="s">
        <v>722</v>
      </c>
      <c r="H17" s="1110"/>
      <c r="J17" s="1111"/>
      <c r="O17" s="337" t="s">
        <v>704</v>
      </c>
      <c r="P17" s="337"/>
      <c r="Q17" s="337"/>
      <c r="R17" s="341" t="s">
        <v>705</v>
      </c>
      <c r="S17" s="338"/>
      <c r="T17" s="337"/>
      <c r="U17" s="337"/>
      <c r="V17" s="337"/>
      <c r="W17" s="337"/>
      <c r="X17" s="337"/>
      <c r="Y17" s="337"/>
      <c r="Z17" s="337"/>
      <c r="AA17" s="336"/>
    </row>
    <row r="18" spans="1:27" s="407" customFormat="1" ht="142.9" customHeight="1" x14ac:dyDescent="0.25">
      <c r="A18" s="341"/>
      <c r="B18" s="997">
        <v>12</v>
      </c>
      <c r="C18" s="998" t="s">
        <v>339</v>
      </c>
      <c r="D18" s="999" t="s">
        <v>706</v>
      </c>
      <c r="E18" s="1112" t="s">
        <v>286</v>
      </c>
      <c r="F18" s="362" t="s">
        <v>671</v>
      </c>
      <c r="G18" s="1109" t="s">
        <v>724</v>
      </c>
      <c r="H18" s="1110"/>
      <c r="I18" s="1084"/>
      <c r="J18" s="1111"/>
      <c r="K18" s="1084"/>
      <c r="L18" s="1084"/>
      <c r="M18" s="1084"/>
      <c r="N18" s="1128" t="s">
        <v>797</v>
      </c>
      <c r="O18" s="411" t="s">
        <v>710</v>
      </c>
      <c r="P18" s="411" t="s">
        <v>711</v>
      </c>
      <c r="Q18" s="411"/>
      <c r="R18" s="411" t="s">
        <v>703</v>
      </c>
      <c r="S18" s="1000" t="s">
        <v>712</v>
      </c>
      <c r="T18" s="988"/>
      <c r="U18" s="411"/>
      <c r="V18" s="411"/>
      <c r="W18" s="411"/>
      <c r="X18" s="411"/>
      <c r="Y18" s="411"/>
      <c r="Z18" s="411"/>
      <c r="AA18" s="411"/>
    </row>
    <row r="19" spans="1:27" s="406" customFormat="1" ht="51.6" customHeight="1" x14ac:dyDescent="0.25">
      <c r="A19" s="341"/>
      <c r="B19" s="997">
        <v>13</v>
      </c>
      <c r="C19" s="998" t="s">
        <v>339</v>
      </c>
      <c r="D19" s="1557" t="s">
        <v>713</v>
      </c>
      <c r="E19" s="1112" t="s">
        <v>723</v>
      </c>
      <c r="F19" s="362" t="s">
        <v>671</v>
      </c>
      <c r="G19" s="1109" t="s">
        <v>728</v>
      </c>
      <c r="H19" s="1110"/>
      <c r="I19" s="1084"/>
      <c r="J19" s="1111"/>
      <c r="K19" s="1084"/>
      <c r="L19" s="1084"/>
      <c r="M19" s="1084"/>
      <c r="N19" s="1128" t="s">
        <v>798</v>
      </c>
      <c r="O19" s="411"/>
      <c r="P19" s="411" t="s">
        <v>717</v>
      </c>
      <c r="Q19" s="411"/>
      <c r="R19" s="418" t="s">
        <v>718</v>
      </c>
      <c r="S19" s="411"/>
      <c r="T19" s="988"/>
      <c r="U19" s="411"/>
      <c r="V19" s="411"/>
      <c r="W19" s="411"/>
      <c r="X19" s="411"/>
      <c r="Y19" s="411"/>
      <c r="Z19" s="411"/>
      <c r="AA19" s="411"/>
    </row>
    <row r="20" spans="1:27" s="406" customFormat="1" ht="94.15" customHeight="1" x14ac:dyDescent="0.3">
      <c r="A20" s="341"/>
      <c r="B20" s="997">
        <v>14</v>
      </c>
      <c r="C20" s="998" t="s">
        <v>339</v>
      </c>
      <c r="D20" s="1557"/>
      <c r="E20" s="1099" t="s">
        <v>727</v>
      </c>
      <c r="F20" s="1113" t="s">
        <v>671</v>
      </c>
      <c r="G20" s="1114" t="s">
        <v>731</v>
      </c>
      <c r="H20" s="1115"/>
      <c r="I20" s="1116"/>
      <c r="J20" s="1117"/>
      <c r="K20" s="1116"/>
      <c r="L20" s="1116"/>
      <c r="M20" s="1116"/>
      <c r="N20" s="1104"/>
      <c r="O20" s="411" t="s">
        <v>717</v>
      </c>
      <c r="P20" s="1000" t="s">
        <v>721</v>
      </c>
      <c r="Q20" s="411"/>
      <c r="R20" s="411" t="s">
        <v>688</v>
      </c>
      <c r="S20" s="411"/>
      <c r="T20" s="988"/>
      <c r="U20" s="411"/>
      <c r="V20" s="411"/>
      <c r="W20" s="411"/>
      <c r="X20" s="411"/>
      <c r="Y20" s="411"/>
      <c r="Z20" s="411"/>
      <c r="AA20" s="411"/>
    </row>
    <row r="21" spans="1:27" s="337" customFormat="1" ht="56.25" x14ac:dyDescent="0.3">
      <c r="A21" s="341"/>
      <c r="B21" s="371">
        <v>2</v>
      </c>
      <c r="C21" s="370" t="s">
        <v>255</v>
      </c>
      <c r="D21" s="992"/>
      <c r="E21" s="1099" t="s">
        <v>730</v>
      </c>
      <c r="F21" s="362" t="s">
        <v>671</v>
      </c>
      <c r="G21" s="1109" t="s">
        <v>733</v>
      </c>
      <c r="H21" s="1110"/>
      <c r="I21" s="1084"/>
      <c r="J21" s="1111"/>
      <c r="K21" s="1084"/>
      <c r="L21" s="1084"/>
      <c r="M21" s="1084"/>
      <c r="N21" s="1128" t="s">
        <v>799</v>
      </c>
      <c r="O21" s="1016"/>
      <c r="P21" s="1016"/>
      <c r="Q21" s="1016"/>
      <c r="R21" s="1016"/>
      <c r="S21" s="1016"/>
      <c r="T21" s="1016"/>
      <c r="U21" s="1016"/>
      <c r="V21" s="1016"/>
      <c r="W21" s="1016"/>
      <c r="X21" s="1016"/>
      <c r="Y21" s="1016"/>
      <c r="Z21" s="1016"/>
      <c r="AA21" s="364" t="s">
        <v>278</v>
      </c>
    </row>
    <row r="22" spans="1:27" ht="1.1499999999999999" customHeight="1" x14ac:dyDescent="0.3">
      <c r="A22" s="341"/>
      <c r="C22" s="998" t="s">
        <v>255</v>
      </c>
      <c r="D22" s="1017" t="s">
        <v>72</v>
      </c>
      <c r="E22" s="1099" t="s">
        <v>732</v>
      </c>
      <c r="F22" s="1118" t="s">
        <v>671</v>
      </c>
      <c r="G22" s="1119" t="s">
        <v>737</v>
      </c>
      <c r="H22" s="1120"/>
      <c r="I22" s="1120"/>
      <c r="J22" s="1120"/>
      <c r="K22" s="1120"/>
      <c r="L22" s="1120"/>
      <c r="M22" s="1120"/>
      <c r="N22" s="1121" t="s">
        <v>800</v>
      </c>
      <c r="O22" s="418"/>
      <c r="S22" s="418"/>
      <c r="V22" s="418"/>
    </row>
    <row r="23" spans="1:27" ht="103.15" customHeight="1" x14ac:dyDescent="0.25">
      <c r="A23" s="341"/>
      <c r="B23" s="337">
        <v>15</v>
      </c>
      <c r="C23" s="998" t="s">
        <v>255</v>
      </c>
      <c r="D23" s="1017" t="s">
        <v>72</v>
      </c>
      <c r="E23" s="1118" t="s">
        <v>736</v>
      </c>
      <c r="F23" s="362" t="s">
        <v>671</v>
      </c>
      <c r="G23" s="1109" t="s">
        <v>740</v>
      </c>
      <c r="H23" s="1110"/>
      <c r="J23" s="1111"/>
      <c r="N23" s="1128" t="s">
        <v>799</v>
      </c>
      <c r="O23" s="418" t="s">
        <v>725</v>
      </c>
      <c r="R23" s="418" t="s">
        <v>726</v>
      </c>
      <c r="S23" s="418"/>
      <c r="V23" s="418"/>
    </row>
    <row r="24" spans="1:27" ht="85.9" customHeight="1" x14ac:dyDescent="0.25">
      <c r="A24" s="341"/>
      <c r="B24" s="337">
        <v>16</v>
      </c>
      <c r="C24" s="998" t="s">
        <v>255</v>
      </c>
      <c r="D24" s="1017" t="s">
        <v>72</v>
      </c>
      <c r="E24" s="1155" t="s">
        <v>739</v>
      </c>
      <c r="F24" s="1113" t="s">
        <v>671</v>
      </c>
      <c r="G24" s="1114" t="s">
        <v>743</v>
      </c>
      <c r="H24" s="1115"/>
      <c r="I24" s="1116"/>
      <c r="J24" s="1117"/>
      <c r="K24" s="1116"/>
      <c r="L24" s="1116"/>
      <c r="M24" s="1116"/>
      <c r="N24" s="1104" t="s">
        <v>445</v>
      </c>
      <c r="O24" s="418" t="s">
        <v>729</v>
      </c>
      <c r="R24" s="341" t="s">
        <v>729</v>
      </c>
      <c r="S24" s="418"/>
      <c r="V24" s="418"/>
    </row>
    <row r="25" spans="1:27" s="1015" customFormat="1" ht="3" customHeight="1" x14ac:dyDescent="0.25">
      <c r="A25" s="1009"/>
      <c r="B25" s="1013"/>
      <c r="C25" s="1018" t="s">
        <v>255</v>
      </c>
      <c r="D25" s="1019" t="s">
        <v>72</v>
      </c>
      <c r="E25" s="1112" t="s">
        <v>742</v>
      </c>
      <c r="F25" s="1122" t="s">
        <v>671</v>
      </c>
      <c r="G25" s="1109" t="s">
        <v>745</v>
      </c>
      <c r="H25" s="1109"/>
      <c r="I25" s="1083"/>
      <c r="J25" s="1123"/>
      <c r="K25" s="1083"/>
      <c r="L25" s="1083"/>
      <c r="M25" s="1083"/>
      <c r="N25" s="1104" t="s">
        <v>698</v>
      </c>
      <c r="O25" s="1020"/>
      <c r="P25" s="1009"/>
      <c r="Q25" s="1009"/>
      <c r="R25" s="1009"/>
      <c r="S25" s="1020"/>
      <c r="T25" s="1021"/>
      <c r="U25" s="1009"/>
      <c r="V25" s="1020"/>
      <c r="W25" s="1009"/>
      <c r="X25" s="1009"/>
      <c r="Y25" s="1009"/>
      <c r="Z25" s="1009"/>
      <c r="AA25" s="1009"/>
    </row>
    <row r="26" spans="1:27" ht="65.45" customHeight="1" x14ac:dyDescent="0.25">
      <c r="A26" s="341"/>
      <c r="B26" s="337">
        <v>17</v>
      </c>
      <c r="C26" s="998" t="s">
        <v>255</v>
      </c>
      <c r="D26" s="1017" t="s">
        <v>72</v>
      </c>
      <c r="E26" s="1124" t="s">
        <v>744</v>
      </c>
      <c r="F26" s="1113" t="s">
        <v>671</v>
      </c>
      <c r="G26" s="1114" t="s">
        <v>747</v>
      </c>
      <c r="H26" s="1115"/>
      <c r="I26" s="1116"/>
      <c r="J26" s="1117"/>
      <c r="K26" s="1116"/>
      <c r="L26" s="1116"/>
      <c r="M26" s="1116"/>
      <c r="N26" s="1104" t="s">
        <v>445</v>
      </c>
      <c r="O26" s="418" t="s">
        <v>734</v>
      </c>
      <c r="R26" s="418" t="s">
        <v>735</v>
      </c>
      <c r="S26" s="418"/>
      <c r="V26" s="418"/>
    </row>
    <row r="27" spans="1:27" ht="79.5" customHeight="1" x14ac:dyDescent="0.3">
      <c r="A27" s="341"/>
      <c r="B27" s="337">
        <v>18</v>
      </c>
      <c r="C27" s="998" t="s">
        <v>255</v>
      </c>
      <c r="D27" s="1022" t="s">
        <v>72</v>
      </c>
      <c r="E27" s="1099" t="s">
        <v>746</v>
      </c>
      <c r="F27" s="362" t="s">
        <v>671</v>
      </c>
      <c r="G27" s="1109" t="s">
        <v>749</v>
      </c>
      <c r="H27" s="1110"/>
      <c r="J27" s="1111"/>
      <c r="N27" s="1104" t="s">
        <v>698</v>
      </c>
      <c r="O27" s="418" t="s">
        <v>734</v>
      </c>
      <c r="R27" s="418" t="s">
        <v>738</v>
      </c>
      <c r="S27" s="418"/>
      <c r="V27" s="418"/>
    </row>
    <row r="28" spans="1:27" ht="64.900000000000006" customHeight="1" x14ac:dyDescent="0.25">
      <c r="A28" s="341"/>
      <c r="B28" s="337">
        <v>19</v>
      </c>
      <c r="C28" s="998" t="s">
        <v>255</v>
      </c>
      <c r="D28" s="1017" t="s">
        <v>72</v>
      </c>
      <c r="E28" s="1112" t="s">
        <v>748</v>
      </c>
      <c r="F28" s="362" t="s">
        <v>671</v>
      </c>
      <c r="G28" s="1109" t="s">
        <v>752</v>
      </c>
      <c r="H28" s="1110"/>
      <c r="J28" s="1111"/>
      <c r="N28" s="1101" t="s">
        <v>753</v>
      </c>
      <c r="O28" s="418" t="s">
        <v>734</v>
      </c>
      <c r="R28" s="418" t="s">
        <v>738</v>
      </c>
      <c r="S28" s="418" t="s">
        <v>741</v>
      </c>
      <c r="V28" s="418"/>
    </row>
    <row r="29" spans="1:27" s="1015" customFormat="1" ht="1.1499999999999999" customHeight="1" x14ac:dyDescent="0.25">
      <c r="A29" s="1009"/>
      <c r="B29" s="1013"/>
      <c r="C29" s="1018" t="s">
        <v>255</v>
      </c>
      <c r="D29" s="1019" t="s">
        <v>72</v>
      </c>
      <c r="E29" s="1112" t="s">
        <v>751</v>
      </c>
      <c r="F29" s="1122" t="s">
        <v>671</v>
      </c>
      <c r="G29" s="1109" t="s">
        <v>756</v>
      </c>
      <c r="H29" s="1109"/>
      <c r="I29" s="1124"/>
      <c r="J29" s="1124"/>
      <c r="K29" s="1124"/>
      <c r="L29" s="1124"/>
      <c r="M29" s="1124"/>
      <c r="N29" s="1104" t="s">
        <v>698</v>
      </c>
      <c r="O29" s="1020"/>
      <c r="P29" s="1009"/>
      <c r="Q29" s="1009"/>
      <c r="R29" s="1009"/>
      <c r="S29" s="1020"/>
      <c r="T29" s="1021"/>
      <c r="U29" s="1009"/>
      <c r="V29" s="1020"/>
      <c r="W29" s="1009"/>
      <c r="X29" s="1009"/>
      <c r="Y29" s="1009"/>
      <c r="Z29" s="1009"/>
      <c r="AA29" s="1009"/>
    </row>
    <row r="30" spans="1:27" s="1023" customFormat="1" ht="82.15" customHeight="1" x14ac:dyDescent="0.25">
      <c r="A30" s="987"/>
      <c r="B30" s="1023">
        <v>20</v>
      </c>
      <c r="C30" s="1024" t="s">
        <v>255</v>
      </c>
      <c r="D30" s="1025" t="s">
        <v>72</v>
      </c>
      <c r="E30" s="1124" t="s">
        <v>755</v>
      </c>
      <c r="F30" s="362" t="s">
        <v>671</v>
      </c>
      <c r="G30" s="1109" t="s">
        <v>758</v>
      </c>
      <c r="H30" s="1110"/>
      <c r="I30" s="1112"/>
      <c r="J30" s="1112"/>
      <c r="K30" s="1112"/>
      <c r="L30" s="1112"/>
      <c r="M30" s="1112"/>
      <c r="N30" s="1104" t="s">
        <v>698</v>
      </c>
      <c r="O30" s="1026" t="s">
        <v>688</v>
      </c>
      <c r="P30" s="987"/>
      <c r="Q30" s="987"/>
      <c r="R30" s="987" t="s">
        <v>688</v>
      </c>
      <c r="S30" s="1026"/>
      <c r="T30" s="1027"/>
      <c r="U30" s="987"/>
      <c r="V30" s="1026"/>
      <c r="W30" s="987"/>
      <c r="X30" s="987"/>
      <c r="Y30" s="987"/>
      <c r="Z30" s="987"/>
      <c r="AA30" s="987"/>
    </row>
    <row r="31" spans="1:27" s="1015" customFormat="1" ht="4.5" customHeight="1" x14ac:dyDescent="0.25">
      <c r="A31" s="1009"/>
      <c r="B31" s="1013"/>
      <c r="C31" s="1018" t="s">
        <v>255</v>
      </c>
      <c r="D31" s="1019" t="s">
        <v>72</v>
      </c>
      <c r="E31" s="1112" t="s">
        <v>757</v>
      </c>
      <c r="F31" s="362" t="s">
        <v>671</v>
      </c>
      <c r="G31" s="1109" t="s">
        <v>760</v>
      </c>
      <c r="H31" s="1110"/>
      <c r="I31" s="1112"/>
      <c r="J31" s="1112"/>
      <c r="K31" s="1112"/>
      <c r="L31" s="1112"/>
      <c r="M31" s="1112"/>
      <c r="N31" s="1101" t="s">
        <v>801</v>
      </c>
      <c r="O31" s="1020"/>
      <c r="P31" s="1009"/>
      <c r="Q31" s="1009"/>
      <c r="R31" s="1009"/>
      <c r="S31" s="1020"/>
      <c r="T31" s="1021"/>
      <c r="U31" s="1009"/>
      <c r="V31" s="1020"/>
      <c r="W31" s="1009"/>
      <c r="X31" s="1009"/>
      <c r="Y31" s="1009"/>
      <c r="Z31" s="1009"/>
      <c r="AA31" s="1009"/>
    </row>
    <row r="32" spans="1:27" ht="91.9" customHeight="1" x14ac:dyDescent="0.25">
      <c r="A32" s="341"/>
      <c r="B32" s="337">
        <v>21</v>
      </c>
      <c r="C32" s="998" t="s">
        <v>255</v>
      </c>
      <c r="D32" s="1017" t="s">
        <v>72</v>
      </c>
      <c r="E32" s="1112" t="s">
        <v>759</v>
      </c>
      <c r="F32" s="362" t="s">
        <v>671</v>
      </c>
      <c r="G32" s="1109"/>
      <c r="H32" s="1110"/>
      <c r="I32" s="1112"/>
      <c r="J32" s="1112"/>
      <c r="K32" s="1112"/>
      <c r="L32" s="1112"/>
      <c r="M32" s="1112"/>
      <c r="N32" s="1128" t="s">
        <v>802</v>
      </c>
      <c r="O32" s="418" t="s">
        <v>750</v>
      </c>
      <c r="S32" s="418"/>
      <c r="V32" s="418"/>
    </row>
    <row r="33" spans="1:22" ht="99.6" customHeight="1" x14ac:dyDescent="0.25">
      <c r="A33" s="341"/>
      <c r="B33" s="337">
        <v>22</v>
      </c>
      <c r="C33" s="998" t="s">
        <v>255</v>
      </c>
      <c r="D33" s="1017" t="s">
        <v>72</v>
      </c>
      <c r="E33" s="1161" t="s">
        <v>828</v>
      </c>
      <c r="F33" s="362" t="s">
        <v>671</v>
      </c>
      <c r="G33" s="1109" t="s">
        <v>762</v>
      </c>
      <c r="H33" s="1110" t="s">
        <v>763</v>
      </c>
      <c r="I33" s="1112" t="s">
        <v>764</v>
      </c>
      <c r="J33" s="1112"/>
      <c r="K33" s="1112"/>
      <c r="L33" s="1112"/>
      <c r="M33" s="1112"/>
      <c r="N33" s="1125" t="s">
        <v>803</v>
      </c>
      <c r="O33" s="418" t="s">
        <v>754</v>
      </c>
      <c r="R33" s="418" t="s">
        <v>754</v>
      </c>
      <c r="S33" s="418"/>
      <c r="V33" s="418"/>
    </row>
    <row r="34" spans="1:22" s="1028" customFormat="1" ht="87.6" customHeight="1" x14ac:dyDescent="0.25">
      <c r="B34" s="1023">
        <v>23</v>
      </c>
      <c r="C34" s="1024" t="s">
        <v>255</v>
      </c>
      <c r="D34" s="1025" t="s">
        <v>72</v>
      </c>
      <c r="E34" s="1160" t="s">
        <v>790</v>
      </c>
      <c r="F34" s="339"/>
      <c r="G34" s="1126" t="s">
        <v>792</v>
      </c>
      <c r="H34" s="1127"/>
      <c r="I34" s="1084"/>
      <c r="J34" s="1084"/>
      <c r="K34" s="1084"/>
      <c r="L34" s="1084"/>
      <c r="M34" s="1084"/>
      <c r="N34" s="1104" t="s">
        <v>791</v>
      </c>
      <c r="O34" s="1026" t="s">
        <v>688</v>
      </c>
      <c r="P34" s="1026"/>
      <c r="Q34" s="1026"/>
      <c r="R34" s="1026" t="s">
        <v>688</v>
      </c>
    </row>
    <row r="35" spans="1:22" ht="56.25" x14ac:dyDescent="0.3">
      <c r="E35" s="1099" t="s">
        <v>761</v>
      </c>
    </row>
  </sheetData>
  <mergeCells count="1">
    <mergeCell ref="D19:D20"/>
  </mergeCells>
  <hyperlinks>
    <hyperlink ref="D9" r:id="rId1" display="https://jira.megafon.ru/browse/B2CPROD-932" xr:uid="{E772204B-CC94-47A0-B9DE-F98957CE4CCD}"/>
    <hyperlink ref="D11" r:id="rId2" display="https://jira.megafon.ru/browse/B2CPROD-111" xr:uid="{442965DE-965F-4115-8E93-009263D5EF83}"/>
    <hyperlink ref="E11" r:id="rId3" xr:uid="{FF1BA074-C843-4C1E-AF9E-0A9608ACE467}"/>
    <hyperlink ref="E14" r:id="rId4" display="https://jira.megafon.ru/browse/B2CPROD-1390" xr:uid="{19FED000-81B5-46C8-B172-22C35B51F0D5}"/>
    <hyperlink ref="D18" r:id="rId5" display="https://jira.megafon.ru/browse/B2CPROD-1389" xr:uid="{E749D0C8-4D3C-4293-BA66-39A4CFECA87F}"/>
    <hyperlink ref="E10" r:id="rId6" display="https://jira.megafon.ru/browse/B2CPROD-1363" xr:uid="{5993B399-1B43-4E27-8C4F-3AE36DF378C0}"/>
    <hyperlink ref="E9" r:id="rId7" display="https://jira.megafon.ru/browse/B2CPROD-1362" xr:uid="{A86FF2E4-3012-4F56-BE20-DCE025B130E4}"/>
    <hyperlink ref="E6" r:id="rId8" display="https://jira.megafon.ru/browse/B2CPROD-1384" xr:uid="{0ED3FA86-7110-43C2-B144-28F09A8009DA}"/>
    <hyperlink ref="D6" r:id="rId9" display="https://jira.megafon.ru/browse/B2CPROD-1380" xr:uid="{8D1EE7D0-E8C2-4939-BB09-CF07DB629DCA}"/>
    <hyperlink ref="E18" r:id="rId10" xr:uid="{9FA688A2-F2BA-4ECA-90D3-3FF3669940F0}"/>
    <hyperlink ref="D22" r:id="rId11" xr:uid="{01B4263D-CCE8-4EBF-99A1-6555604280DC}"/>
    <hyperlink ref="E21" r:id="rId12" xr:uid="{F58E4D0B-C767-48A4-904D-F13F711D1CA3}"/>
    <hyperlink ref="E26" r:id="rId13" xr:uid="{76D8AD8B-369D-4E52-93A7-314BDFDC0C7A}"/>
    <hyperlink ref="E27" r:id="rId14" xr:uid="{1ECF462B-1155-4498-9CA7-841916D55C45}"/>
    <hyperlink ref="E24" r:id="rId15" xr:uid="{77CD2729-2326-4057-B063-ECB396D2CF4E}"/>
    <hyperlink ref="E28" r:id="rId16" xr:uid="{C9C35EDE-54F1-4DFC-9C67-A6FBA3516C9D}"/>
    <hyperlink ref="D12" r:id="rId17" display="https://jira.megafon.ru/browse/B2CPROD-937" xr:uid="{B51C9D6A-9B77-4EAD-A9F1-00D8357BE61E}"/>
    <hyperlink ref="E12" r:id="rId18" display="https://jira.megafon.ru/browse/B2CPROD-938" xr:uid="{5F73BAAA-7D2A-48ED-A47E-566EC2738FC1}"/>
    <hyperlink ref="E13" r:id="rId19" display="https://jira.megafon.ru/browse/B2CPROD-915" xr:uid="{C6D3B85B-E8ED-4C2C-9FF3-FB214ED3E33C}"/>
    <hyperlink ref="D13" r:id="rId20" display="https://jira.megafon.ru/browse/B2CPROD-914" xr:uid="{85B150D2-3125-4D55-9048-93CA93389013}"/>
    <hyperlink ref="D14" r:id="rId21" display="https://jira.megafon.ru/browse/B2CPROD-166" xr:uid="{A27BF3F2-E2AE-4B37-8996-A691296A4065}"/>
    <hyperlink ref="E15" r:id="rId22" display="https://jira.megafon.ru/browse/B2CPROD-1364" xr:uid="{8219EF8E-96B4-41D5-8D7F-ED9C7A9D9208}"/>
    <hyperlink ref="E16" r:id="rId23" display="https://jira.megafon.ru/browse/B2CPROD-1365" xr:uid="{38756B3C-A646-4EF0-AA44-09F4AE12E2E6}"/>
    <hyperlink ref="D19" r:id="rId24" display="https://jira.megafon.ru/browse/B2CPROD-14" xr:uid="{61A0D0E2-4657-4F36-8B3F-30DB9474BCE5}"/>
    <hyperlink ref="E23" r:id="rId25" display="https://jira.megafon.ru/browse/B2CPROD-1399" xr:uid="{D55881ED-D68A-4D91-B6F0-03EA5D1E0073}"/>
    <hyperlink ref="E22" r:id="rId26" display="https://jira.megafon.ru/browse/B2CPROD-1509" xr:uid="{F7799955-4A83-49A4-85F0-C91EF5D38A8A}"/>
    <hyperlink ref="D7" r:id="rId27" xr:uid="{322BCB4E-6E37-47B3-9F4F-45838F4B2843}"/>
    <hyperlink ref="E7" r:id="rId28" xr:uid="{C28963C6-3D6D-4D96-B162-C6F1963F8516}"/>
    <hyperlink ref="E29" r:id="rId29" xr:uid="{5487F303-B2D4-43D1-8CC6-5B9A5FA150A8}"/>
    <hyperlink ref="E31" r:id="rId30" display="https://jira.megafon.ru/browse/B2CPROD-1522" xr:uid="{1CC7D283-7D16-42EA-BE91-59390D0CBDEA}"/>
    <hyperlink ref="E32" r:id="rId31" display="https://jira.megafon.ru/browse/B2CPROD-1525" xr:uid="{0369478A-4430-4CF9-8E92-87076461DC4C}"/>
    <hyperlink ref="E8" r:id="rId32" xr:uid="{099CB523-559C-42DC-A1D5-5A05CD446F9E}"/>
    <hyperlink ref="D8" r:id="rId33" xr:uid="{88ED314A-1C58-41E8-A862-636F1A1E0097}"/>
    <hyperlink ref="E20" r:id="rId34" display="https://jira.megafon.ru/browse/B2CPROD-1387" xr:uid="{54403E8B-0BE8-4EC7-9951-159BD4428B64}"/>
    <hyperlink ref="D10" r:id="rId35" display="https://jira.megafon.ru/browse/B2CPROD-932" xr:uid="{5CF6929F-E095-4D25-AD9C-8A7653FE3003}"/>
    <hyperlink ref="D15" r:id="rId36" display="https://jira.megafon.ru/browse/B2CPROD-166" xr:uid="{4F4AFD01-9324-4362-993C-93D6C473748E}"/>
    <hyperlink ref="D16" r:id="rId37" display="https://jira.megafon.ru/browse/B2CPROD-166" xr:uid="{3307BE25-225E-4A06-8857-E06C8CFA3A8F}"/>
    <hyperlink ref="D17" r:id="rId38" display="https://jira.megafon.ru/browse/B2CPROD-166" xr:uid="{F09FAC5B-6628-4B04-9D29-E222636D9044}"/>
    <hyperlink ref="D23" r:id="rId39" xr:uid="{7EAFADA0-FFBC-43B1-B947-D419DB583CB9}"/>
    <hyperlink ref="D24" r:id="rId40" xr:uid="{59595D00-FA51-4BEE-AE12-83D140CA02D8}"/>
    <hyperlink ref="D25" r:id="rId41" xr:uid="{B82C2E1A-F6C4-41BE-A3A9-1561FA778F92}"/>
    <hyperlink ref="D26" r:id="rId42" xr:uid="{E7D7A59A-D96F-4F11-BC03-EAD78307EFE3}"/>
    <hyperlink ref="D27" r:id="rId43" xr:uid="{5BD2EFF5-E25B-44D3-A997-79AD1C318F06}"/>
    <hyperlink ref="D28" r:id="rId44" xr:uid="{9735EB43-1A24-4203-A29A-9F61201BD2B5}"/>
    <hyperlink ref="D29" r:id="rId45" xr:uid="{8ACDBBC9-90DF-42A1-9991-D2DFE72099E8}"/>
    <hyperlink ref="D30" r:id="rId46" xr:uid="{A0AFCA13-4C21-4311-B68E-7A355210B3C5}"/>
    <hyperlink ref="D31" r:id="rId47" xr:uid="{3022BF1A-59CA-4CFA-A157-F6DBB1808258}"/>
    <hyperlink ref="D32" r:id="rId48" xr:uid="{AD9363A4-C664-4863-9884-1831A295169B}"/>
    <hyperlink ref="D33" r:id="rId49" xr:uid="{0204BFAD-8B27-4CF7-A708-463682202F84}"/>
    <hyperlink ref="D34" r:id="rId50" xr:uid="{3C4916B1-1FBB-43D8-A4ED-6CABD4881EDB}"/>
    <hyperlink ref="E35" r:id="rId51" display="https://jira.megafon.ru/browse/B2CPROD-1386" xr:uid="{ADE859E0-5B17-4850-951E-D6F8E2933AF7}"/>
    <hyperlink ref="E19" r:id="rId52" xr:uid="{2C56D6D0-DA2E-4269-A729-51C59CDF77A5}"/>
    <hyperlink ref="E30" r:id="rId53" display="https://jira.megafon.ru/browse/B2CPROD-1523" xr:uid="{DC988D84-D461-4CB4-AB85-11D4FA8D2E2A}"/>
    <hyperlink ref="E34" r:id="rId54" xr:uid="{C502C744-953C-4A0E-9B19-605CCC9230BB}"/>
    <hyperlink ref="E33" r:id="rId55" xr:uid="{7600F9D4-FAE5-41C5-A6C3-664FEA4E0170}"/>
  </hyperlinks>
  <pageMargins left="0.7" right="0.7" top="0.75" bottom="0.75" header="0.3" footer="0.3"/>
  <pageSetup paperSize="9" orientation="portrait" r:id="rId56"/>
  <drawing r:id="rId5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F9EB-F54F-416A-8631-917272C08486}">
  <dimension ref="B1:P29"/>
  <sheetViews>
    <sheetView zoomScale="90" zoomScaleNormal="90" workbookViewId="0">
      <pane ySplit="3" topLeftCell="A4" activePane="bottomLeft" state="frozen"/>
      <selection pane="bottomLeft" activeCell="D9" sqref="D9"/>
    </sheetView>
  </sheetViews>
  <sheetFormatPr defaultRowHeight="15" x14ac:dyDescent="0.25"/>
  <cols>
    <col min="2" max="2" width="35.42578125" style="61" customWidth="1"/>
    <col min="3" max="3" width="14.28515625" style="327" customWidth="1"/>
    <col min="4" max="4" width="15.28515625" style="327" customWidth="1"/>
    <col min="5" max="12" width="10.28515625" customWidth="1"/>
    <col min="13" max="13" width="15.42578125" customWidth="1"/>
    <col min="14" max="14" width="11" customWidth="1"/>
    <col min="16" max="16" width="23.7109375" customWidth="1"/>
  </cols>
  <sheetData>
    <row r="1" spans="2:16" x14ac:dyDescent="0.25">
      <c r="B1" s="1130" t="s">
        <v>804</v>
      </c>
      <c r="C1" s="1131"/>
      <c r="D1" s="1131"/>
      <c r="E1" s="1132"/>
      <c r="F1" s="1133" t="s">
        <v>448</v>
      </c>
      <c r="G1" s="1133" t="s">
        <v>448</v>
      </c>
      <c r="H1" s="1133" t="s">
        <v>448</v>
      </c>
      <c r="I1" s="1133" t="s">
        <v>448</v>
      </c>
      <c r="J1" s="1133" t="s">
        <v>448</v>
      </c>
      <c r="K1" s="1133" t="s">
        <v>448</v>
      </c>
      <c r="L1" s="1133" t="s">
        <v>448</v>
      </c>
      <c r="M1" s="1191"/>
    </row>
    <row r="2" spans="2:16" x14ac:dyDescent="0.25">
      <c r="B2" s="1134"/>
      <c r="C2" s="1135"/>
      <c r="D2" s="1135"/>
      <c r="E2" s="1136"/>
      <c r="F2" s="1137" t="s">
        <v>370</v>
      </c>
      <c r="G2" s="1138" t="s">
        <v>371</v>
      </c>
      <c r="H2" s="1137" t="s">
        <v>372</v>
      </c>
      <c r="I2" s="1137" t="s">
        <v>123</v>
      </c>
      <c r="J2" s="1137" t="s">
        <v>122</v>
      </c>
      <c r="K2" s="1137" t="s">
        <v>124</v>
      </c>
      <c r="L2" s="1137" t="s">
        <v>124</v>
      </c>
      <c r="M2" s="1192"/>
    </row>
    <row r="3" spans="2:16" x14ac:dyDescent="0.25">
      <c r="B3" s="1134"/>
      <c r="C3" s="1135"/>
      <c r="D3" s="1200"/>
      <c r="E3" s="1139"/>
      <c r="F3" s="1138" t="s">
        <v>190</v>
      </c>
      <c r="G3" s="1138" t="s">
        <v>251</v>
      </c>
      <c r="H3" s="1138" t="s">
        <v>163</v>
      </c>
      <c r="I3" s="1140" t="s">
        <v>244</v>
      </c>
      <c r="J3" s="1140" t="s">
        <v>188</v>
      </c>
      <c r="K3" s="1138" t="s">
        <v>193</v>
      </c>
      <c r="L3" s="1138" t="s">
        <v>162</v>
      </c>
      <c r="M3" s="1193"/>
    </row>
    <row r="4" spans="2:16" x14ac:dyDescent="0.25">
      <c r="B4" s="1162" t="s">
        <v>375</v>
      </c>
      <c r="C4" s="1181" t="s">
        <v>2</v>
      </c>
      <c r="D4" s="1163" t="s">
        <v>369</v>
      </c>
      <c r="E4" s="1164" t="s">
        <v>198</v>
      </c>
      <c r="F4" s="1165"/>
      <c r="G4" s="1165"/>
      <c r="H4" s="1165"/>
      <c r="I4" s="1165"/>
      <c r="J4" s="1165"/>
      <c r="K4" s="1165"/>
      <c r="L4" s="1165"/>
      <c r="M4" s="1194"/>
    </row>
    <row r="5" spans="2:16" ht="22.15" customHeight="1" x14ac:dyDescent="0.25">
      <c r="B5" s="1489" t="s">
        <v>811</v>
      </c>
      <c r="C5" s="1490"/>
      <c r="D5" s="1491" t="s">
        <v>790</v>
      </c>
      <c r="E5" s="1492">
        <v>4.5999999999999996</v>
      </c>
      <c r="F5" s="1493">
        <v>3</v>
      </c>
      <c r="G5" s="1494">
        <v>5</v>
      </c>
      <c r="H5" s="1494">
        <v>4</v>
      </c>
      <c r="I5" s="1495"/>
      <c r="J5" s="1495"/>
      <c r="K5" s="1495"/>
      <c r="L5" s="1495"/>
      <c r="M5" s="1494"/>
      <c r="O5" s="73"/>
      <c r="P5" t="s">
        <v>984</v>
      </c>
    </row>
    <row r="6" spans="2:16" ht="30" x14ac:dyDescent="0.25">
      <c r="B6" s="1229" t="s">
        <v>810</v>
      </c>
      <c r="C6" s="1233" t="s">
        <v>701</v>
      </c>
      <c r="D6" s="1230" t="s">
        <v>831</v>
      </c>
      <c r="E6" s="1226">
        <v>4</v>
      </c>
      <c r="F6" s="1234">
        <v>3</v>
      </c>
      <c r="G6" s="1235">
        <v>3</v>
      </c>
      <c r="H6" s="1235">
        <v>3</v>
      </c>
      <c r="I6" s="1235">
        <v>5</v>
      </c>
      <c r="J6" s="1235">
        <v>5</v>
      </c>
      <c r="K6" s="458"/>
      <c r="L6" s="1235">
        <v>8</v>
      </c>
      <c r="M6" s="1198" t="s">
        <v>858</v>
      </c>
      <c r="N6" t="s">
        <v>126</v>
      </c>
      <c r="O6" s="1184"/>
      <c r="P6" t="s">
        <v>983</v>
      </c>
    </row>
    <row r="7" spans="2:16" ht="45" x14ac:dyDescent="0.25">
      <c r="B7" s="1379" t="s">
        <v>707</v>
      </c>
      <c r="C7" s="1380" t="s">
        <v>126</v>
      </c>
      <c r="D7" s="1299" t="s">
        <v>850</v>
      </c>
      <c r="E7" s="1482">
        <v>3.57</v>
      </c>
      <c r="F7" s="1483">
        <v>4</v>
      </c>
      <c r="G7" s="1484">
        <v>7</v>
      </c>
      <c r="H7" s="1484">
        <v>3</v>
      </c>
      <c r="I7" s="73"/>
      <c r="J7" s="73"/>
      <c r="K7" s="73"/>
      <c r="L7" s="73"/>
      <c r="M7" s="1485" t="s">
        <v>857</v>
      </c>
      <c r="O7" s="447"/>
      <c r="P7" t="s">
        <v>856</v>
      </c>
    </row>
    <row r="8" spans="2:16" ht="30" x14ac:dyDescent="0.25">
      <c r="B8" s="1206" t="s">
        <v>812</v>
      </c>
      <c r="C8" s="1207" t="s">
        <v>72</v>
      </c>
      <c r="D8" s="1202" t="s">
        <v>825</v>
      </c>
      <c r="E8" s="1203">
        <v>3.43</v>
      </c>
      <c r="F8" s="1208">
        <v>5</v>
      </c>
      <c r="G8" s="1209">
        <v>10</v>
      </c>
      <c r="H8" s="1209">
        <v>12</v>
      </c>
      <c r="I8" s="1209"/>
      <c r="J8" s="1209"/>
      <c r="K8" s="447"/>
      <c r="L8" s="1209"/>
      <c r="M8" s="1199" t="s">
        <v>849</v>
      </c>
      <c r="O8" s="458"/>
      <c r="P8" t="s">
        <v>517</v>
      </c>
    </row>
    <row r="9" spans="2:16" ht="72" x14ac:dyDescent="0.25">
      <c r="B9" s="1309" t="s">
        <v>807</v>
      </c>
      <c r="C9" s="1310" t="s">
        <v>706</v>
      </c>
      <c r="D9" s="1310" t="s">
        <v>382</v>
      </c>
      <c r="E9" s="1486">
        <v>3.33</v>
      </c>
      <c r="F9" s="1487">
        <v>5</v>
      </c>
      <c r="G9" s="1488">
        <v>15</v>
      </c>
      <c r="H9" s="1488">
        <v>25</v>
      </c>
      <c r="I9" s="1488">
        <v>15</v>
      </c>
      <c r="J9" s="1488">
        <v>20</v>
      </c>
      <c r="K9" s="73"/>
      <c r="L9" s="1488">
        <v>35</v>
      </c>
      <c r="M9" s="1485" t="s">
        <v>985</v>
      </c>
    </row>
    <row r="10" spans="2:16" ht="45" x14ac:dyDescent="0.25">
      <c r="B10" s="1225" t="s">
        <v>805</v>
      </c>
      <c r="C10" s="1231" t="s">
        <v>394</v>
      </c>
      <c r="D10" s="1232" t="s">
        <v>806</v>
      </c>
      <c r="E10" s="1226">
        <v>3.14</v>
      </c>
      <c r="F10" s="1227">
        <v>5</v>
      </c>
      <c r="G10" s="1228"/>
      <c r="H10" s="1228">
        <v>7</v>
      </c>
      <c r="I10" s="1228">
        <v>4</v>
      </c>
      <c r="J10" s="1228">
        <v>4</v>
      </c>
      <c r="K10" s="1228">
        <v>14</v>
      </c>
      <c r="L10" s="1228"/>
      <c r="M10" s="1198" t="s">
        <v>853</v>
      </c>
    </row>
    <row r="11" spans="2:16" x14ac:dyDescent="0.25">
      <c r="B11" s="1504" t="s">
        <v>813</v>
      </c>
      <c r="C11" s="1505" t="s">
        <v>394</v>
      </c>
      <c r="D11" s="1506" t="s">
        <v>824</v>
      </c>
      <c r="E11" s="1507">
        <v>3.14</v>
      </c>
      <c r="F11" s="1508">
        <v>3</v>
      </c>
      <c r="G11" s="1509">
        <v>5</v>
      </c>
      <c r="H11" s="1509">
        <v>5</v>
      </c>
      <c r="I11" s="1509"/>
      <c r="J11" s="1509"/>
      <c r="K11" s="1509"/>
      <c r="L11" s="1509"/>
      <c r="M11" s="1510" t="s">
        <v>851</v>
      </c>
    </row>
    <row r="12" spans="2:16" s="1141" customFormat="1" ht="48.75" thickBot="1" x14ac:dyDescent="0.3">
      <c r="B12" s="1298" t="s">
        <v>855</v>
      </c>
      <c r="C12" s="1299" t="s">
        <v>126</v>
      </c>
      <c r="D12" s="1299" t="s">
        <v>854</v>
      </c>
      <c r="E12" s="1486">
        <v>3.2</v>
      </c>
      <c r="F12" s="73"/>
      <c r="G12" s="73">
        <v>2</v>
      </c>
      <c r="H12" s="73">
        <v>1</v>
      </c>
      <c r="I12" s="73">
        <v>1</v>
      </c>
      <c r="J12" s="73">
        <v>1</v>
      </c>
      <c r="K12" s="73">
        <v>1</v>
      </c>
      <c r="L12" s="73"/>
      <c r="M12" s="1485" t="s">
        <v>987</v>
      </c>
      <c r="N12"/>
    </row>
    <row r="13" spans="2:16" s="148" customFormat="1" x14ac:dyDescent="0.25">
      <c r="B13" s="1201" t="s">
        <v>808</v>
      </c>
      <c r="C13" s="1202" t="s">
        <v>713</v>
      </c>
      <c r="D13" s="1202" t="s">
        <v>822</v>
      </c>
      <c r="E13" s="1203">
        <v>3</v>
      </c>
      <c r="F13" s="1204">
        <v>5</v>
      </c>
      <c r="G13" s="1205">
        <v>7</v>
      </c>
      <c r="H13" s="1205">
        <v>3</v>
      </c>
      <c r="I13" s="1205"/>
      <c r="J13" s="1205"/>
      <c r="K13" s="1205"/>
      <c r="L13" s="1205"/>
      <c r="M13" s="1199" t="s">
        <v>849</v>
      </c>
    </row>
    <row r="14" spans="2:16" ht="64.5" customHeight="1" x14ac:dyDescent="0.25">
      <c r="B14" s="1309" t="s">
        <v>809</v>
      </c>
      <c r="C14" s="1310"/>
      <c r="D14" s="1310" t="s">
        <v>411</v>
      </c>
      <c r="E14" s="1486">
        <v>3</v>
      </c>
      <c r="F14" s="1487">
        <v>5</v>
      </c>
      <c r="G14" s="1488">
        <v>15</v>
      </c>
      <c r="H14" s="1488">
        <v>12</v>
      </c>
      <c r="I14" s="1488"/>
      <c r="J14" s="1488"/>
      <c r="K14" s="1488"/>
      <c r="L14" s="1488"/>
      <c r="M14" s="1485" t="s">
        <v>986</v>
      </c>
    </row>
    <row r="15" spans="2:16" ht="60" x14ac:dyDescent="0.25">
      <c r="B15" s="1210" t="s">
        <v>820</v>
      </c>
      <c r="C15" s="1211" t="s">
        <v>72</v>
      </c>
      <c r="D15" s="1212" t="s">
        <v>823</v>
      </c>
      <c r="E15" s="1203">
        <v>3</v>
      </c>
      <c r="F15" s="1213">
        <v>5</v>
      </c>
      <c r="G15" s="1214">
        <v>5</v>
      </c>
      <c r="H15" s="1214">
        <v>12</v>
      </c>
      <c r="I15" s="450"/>
      <c r="J15" s="450"/>
      <c r="K15" s="450"/>
      <c r="L15" s="450"/>
      <c r="M15" s="1199" t="s">
        <v>849</v>
      </c>
    </row>
    <row r="16" spans="2:16" ht="45" x14ac:dyDescent="0.25">
      <c r="B16" s="1201" t="s">
        <v>815</v>
      </c>
      <c r="C16" s="1215" t="s">
        <v>72</v>
      </c>
      <c r="D16" s="1216" t="s">
        <v>826</v>
      </c>
      <c r="E16" s="1203">
        <v>2.9</v>
      </c>
      <c r="F16" s="1204">
        <v>5</v>
      </c>
      <c r="G16" s="1205">
        <v>7</v>
      </c>
      <c r="H16" s="1205">
        <v>12</v>
      </c>
      <c r="I16" s="1205"/>
      <c r="J16" s="1205"/>
      <c r="K16" s="1205"/>
      <c r="L16" s="1205"/>
      <c r="M16" s="1199" t="s">
        <v>849</v>
      </c>
    </row>
    <row r="17" spans="2:14" ht="30" x14ac:dyDescent="0.25">
      <c r="B17" s="1201" t="s">
        <v>816</v>
      </c>
      <c r="C17" s="1202" t="s">
        <v>324</v>
      </c>
      <c r="D17" s="1217" t="s">
        <v>827</v>
      </c>
      <c r="E17" s="1203">
        <v>2.86</v>
      </c>
      <c r="F17" s="1204">
        <v>7</v>
      </c>
      <c r="G17" s="1205">
        <v>14</v>
      </c>
      <c r="H17" s="1205">
        <v>14</v>
      </c>
      <c r="I17" s="1205"/>
      <c r="J17" s="1205"/>
      <c r="K17" s="1205"/>
      <c r="L17" s="1205"/>
      <c r="M17" s="1199" t="s">
        <v>988</v>
      </c>
    </row>
    <row r="18" spans="2:14" s="81" customFormat="1" ht="18" customHeight="1" x14ac:dyDescent="0.25">
      <c r="B18" s="1309" t="s">
        <v>814</v>
      </c>
      <c r="C18" s="1327" t="s">
        <v>72</v>
      </c>
      <c r="D18" s="1299" t="s">
        <v>828</v>
      </c>
      <c r="E18" s="1486">
        <v>2.75</v>
      </c>
      <c r="F18" s="1487">
        <v>10</v>
      </c>
      <c r="G18" s="1488"/>
      <c r="H18" s="1488">
        <v>5</v>
      </c>
      <c r="I18" s="1488">
        <v>10</v>
      </c>
      <c r="J18" s="1488">
        <v>10</v>
      </c>
      <c r="K18" s="1488">
        <v>18</v>
      </c>
      <c r="L18" s="1488"/>
      <c r="M18" s="1485" t="s">
        <v>989</v>
      </c>
      <c r="N18" s="81" t="s">
        <v>126</v>
      </c>
    </row>
    <row r="19" spans="2:14" ht="61.15" customHeight="1" x14ac:dyDescent="0.25">
      <c r="B19" s="1496" t="s">
        <v>830</v>
      </c>
      <c r="C19" s="1501"/>
      <c r="D19" s="1497" t="s">
        <v>829</v>
      </c>
      <c r="E19" s="1498">
        <v>2.75</v>
      </c>
      <c r="F19" s="1499">
        <v>5</v>
      </c>
      <c r="G19" s="1500">
        <v>7</v>
      </c>
      <c r="H19" s="1500">
        <v>10</v>
      </c>
      <c r="I19" s="1500"/>
      <c r="J19" s="1500"/>
      <c r="K19" s="1500"/>
      <c r="L19" s="1500"/>
      <c r="M19" s="1494" t="s">
        <v>990</v>
      </c>
      <c r="N19" t="s">
        <v>126</v>
      </c>
    </row>
    <row r="20" spans="2:14" ht="45" x14ac:dyDescent="0.25">
      <c r="B20" s="1496" t="s">
        <v>817</v>
      </c>
      <c r="C20" s="1502" t="s">
        <v>319</v>
      </c>
      <c r="D20" s="1502" t="s">
        <v>832</v>
      </c>
      <c r="E20" s="1503">
        <v>2</v>
      </c>
      <c r="F20" s="1499">
        <v>5</v>
      </c>
      <c r="G20" s="1500">
        <v>10</v>
      </c>
      <c r="H20" s="1500">
        <v>3</v>
      </c>
      <c r="I20" s="1500"/>
      <c r="J20" s="1500"/>
      <c r="K20" s="1500"/>
      <c r="L20" s="1500"/>
      <c r="M20" s="1494" t="s">
        <v>852</v>
      </c>
    </row>
    <row r="21" spans="2:14" x14ac:dyDescent="0.25">
      <c r="B21" s="1172" t="s">
        <v>196</v>
      </c>
      <c r="C21" s="1173"/>
      <c r="D21" s="1173"/>
      <c r="E21" s="290"/>
      <c r="F21" s="1218">
        <v>46</v>
      </c>
      <c r="G21" s="1219">
        <v>46</v>
      </c>
      <c r="H21" s="1219">
        <v>46</v>
      </c>
      <c r="I21" s="1220">
        <v>46</v>
      </c>
      <c r="J21" s="1220">
        <v>46</v>
      </c>
      <c r="K21" s="1220">
        <v>46</v>
      </c>
      <c r="L21" s="1220">
        <v>46</v>
      </c>
      <c r="M21" s="1174"/>
    </row>
    <row r="22" spans="2:14" x14ac:dyDescent="0.25">
      <c r="B22" s="1170" t="s">
        <v>833</v>
      </c>
      <c r="C22" s="1171"/>
      <c r="D22" s="1171"/>
      <c r="E22" s="1062"/>
      <c r="F22" s="1221">
        <f>F5+F6+F12+F10+F9+F14+F11+F18+F19+F20+F7</f>
        <v>48</v>
      </c>
      <c r="G22" s="1221">
        <f>G5+G6+G12+G10+G9+G14+G11+G18+G19+G20+G7</f>
        <v>69</v>
      </c>
      <c r="H22" s="1221">
        <f>H5+H6+H12+H10+H9+H14+H18+H7+H19+H20</f>
        <v>73</v>
      </c>
      <c r="I22" s="1221">
        <f>I5+I6+I12+I10+I9+I14+I11+I18+I19+I20+I7</f>
        <v>35</v>
      </c>
      <c r="J22" s="1221">
        <f>J5+J6+J12+J10+J9+J14+J11+J18+J19+J20+J7</f>
        <v>40</v>
      </c>
      <c r="K22" s="1221">
        <f>K5+K6+K12+K10+K9+K14+K11+K18+K19+K20+K7</f>
        <v>33</v>
      </c>
      <c r="L22" s="1221">
        <f>L5+L6+L12+L10+L9+L14+L11+L18+L19+L20+L7</f>
        <v>43</v>
      </c>
      <c r="M22" s="1062"/>
    </row>
    <row r="23" spans="2:14" x14ac:dyDescent="0.25">
      <c r="B23" s="1166" t="s">
        <v>197</v>
      </c>
      <c r="C23" s="1167"/>
      <c r="D23" s="1168"/>
      <c r="E23" s="1169"/>
      <c r="F23" s="1222">
        <f>F21-F22</f>
        <v>-2</v>
      </c>
      <c r="G23" s="1222">
        <f>G21-G22</f>
        <v>-23</v>
      </c>
      <c r="H23" s="1222">
        <f>H21-H22</f>
        <v>-27</v>
      </c>
      <c r="I23" s="1222">
        <f t="shared" ref="I23:L23" si="0">I21-I22</f>
        <v>11</v>
      </c>
      <c r="J23" s="1222">
        <f t="shared" si="0"/>
        <v>6</v>
      </c>
      <c r="K23" s="1222">
        <f t="shared" si="0"/>
        <v>13</v>
      </c>
      <c r="L23" s="1222">
        <f t="shared" si="0"/>
        <v>3</v>
      </c>
      <c r="M23" s="1195"/>
    </row>
    <row r="24" spans="2:14" x14ac:dyDescent="0.25">
      <c r="B24" s="580" t="s">
        <v>834</v>
      </c>
      <c r="C24" s="1131"/>
      <c r="D24" s="1131"/>
      <c r="E24" s="1145"/>
      <c r="F24" s="1223">
        <v>39</v>
      </c>
      <c r="G24" s="1223">
        <v>39</v>
      </c>
      <c r="H24" s="1223">
        <v>39</v>
      </c>
      <c r="I24" s="1223">
        <v>39</v>
      </c>
      <c r="J24" s="1223">
        <v>39</v>
      </c>
      <c r="K24" s="1223">
        <v>39</v>
      </c>
      <c r="L24" s="1223">
        <v>39</v>
      </c>
      <c r="M24" s="1196"/>
    </row>
    <row r="25" spans="2:14" x14ac:dyDescent="0.25">
      <c r="B25" s="580" t="s">
        <v>835</v>
      </c>
      <c r="C25" s="1131"/>
      <c r="D25" s="1131"/>
      <c r="E25" s="1145"/>
      <c r="F25" s="1223">
        <v>7</v>
      </c>
      <c r="G25" s="1223">
        <v>7</v>
      </c>
      <c r="H25" s="1223">
        <v>7</v>
      </c>
      <c r="I25" s="1223">
        <v>7</v>
      </c>
      <c r="J25" s="1223">
        <v>7</v>
      </c>
      <c r="K25" s="1223">
        <v>7</v>
      </c>
      <c r="L25" s="1223">
        <v>7</v>
      </c>
      <c r="M25" s="1196"/>
    </row>
    <row r="26" spans="2:14" x14ac:dyDescent="0.25">
      <c r="B26" s="1130"/>
      <c r="C26" s="1131"/>
      <c r="D26" s="1131"/>
      <c r="E26" s="1145"/>
      <c r="F26" s="1224"/>
      <c r="G26" s="1224"/>
      <c r="H26" s="1224"/>
      <c r="I26" s="1224"/>
      <c r="J26" s="1224"/>
      <c r="K26" s="1224"/>
      <c r="L26" s="1224"/>
      <c r="M26" s="1197"/>
    </row>
    <row r="29" spans="2:14" x14ac:dyDescent="0.25">
      <c r="B29" s="1142" t="s">
        <v>119</v>
      </c>
      <c r="C29" s="1143"/>
      <c r="D29" s="1143"/>
      <c r="E29" s="1144"/>
      <c r="F29" s="1137"/>
      <c r="G29" s="1137"/>
      <c r="H29" s="1137"/>
      <c r="I29" s="1137"/>
      <c r="J29" s="1137"/>
      <c r="K29" s="1137"/>
      <c r="L29" s="1137"/>
      <c r="M29" s="1192"/>
    </row>
  </sheetData>
  <hyperlinks>
    <hyperlink ref="C20" r:id="rId1" display="https://jira.megafon.ru/browse/B2CPROD-932" xr:uid="{364E4E2D-FE7E-45A3-A4BD-A8B4641D7BDB}"/>
    <hyperlink ref="C17" r:id="rId2" display="https://jira.megafon.ru/browse/B2CPROD-914" xr:uid="{3DF5BA44-103C-4F38-98FB-867E8C99A456}"/>
    <hyperlink ref="C6" r:id="rId3" display="https://jira.megafon.ru/browse/B2CPROD-166" xr:uid="{F6802EAE-84CF-4F37-A182-D4C505EDF361}"/>
    <hyperlink ref="C9" r:id="rId4" display="https://jira.megafon.ru/browse/B2CPROD-1389" xr:uid="{53C29481-930E-44B1-A9C5-A9A475B110E6}"/>
    <hyperlink ref="C13" r:id="rId5" display="https://jira.megafon.ru/browse/B2CPROD-14" xr:uid="{82DB554C-34E7-47E1-A510-2E3281A77119}"/>
    <hyperlink ref="C16" r:id="rId6" xr:uid="{C1E52639-F27C-4115-A6A4-37F354C3EC1B}"/>
    <hyperlink ref="C8" r:id="rId7" xr:uid="{73CF46A9-D7B7-4FA6-91EC-FBF6290E1C9E}"/>
    <hyperlink ref="C18" r:id="rId8" xr:uid="{DEE918AD-95B5-42B4-95AC-929143A7B8A7}"/>
    <hyperlink ref="C11" r:id="rId9" xr:uid="{3B794895-65B2-4315-9400-43960F6A7D4C}"/>
    <hyperlink ref="D10" r:id="rId10" xr:uid="{78B6A73C-B1E4-42C9-9635-52C3872E6AE1}"/>
    <hyperlink ref="C10" r:id="rId11" xr:uid="{90DF7BBD-4F1D-498A-BC3F-7AE8F424885C}"/>
    <hyperlink ref="D5" r:id="rId12" xr:uid="{1A475DEB-2038-4003-823C-9974CA583077}"/>
    <hyperlink ref="C15" r:id="rId13" xr:uid="{21A1C705-25A9-4DB8-B141-8F47D31DD77C}"/>
    <hyperlink ref="D19" r:id="rId14" xr:uid="{8AC0BEE0-B9CE-4764-9FEE-B71321DAD4D8}"/>
    <hyperlink ref="D12" r:id="rId15" xr:uid="{0C552D56-779A-416B-93F7-912C7BD8551B}"/>
    <hyperlink ref="D11" r:id="rId16" xr:uid="{9801A500-A8CC-44AB-831B-AB64EC6E9838}"/>
    <hyperlink ref="D7" r:id="rId17" xr:uid="{BC1A4271-B53D-453B-A1AF-D021C686E1FD}"/>
    <hyperlink ref="D6" r:id="rId18" xr:uid="{BB5BE902-2C65-4098-9150-8136953435B6}"/>
    <hyperlink ref="D18" r:id="rId19" xr:uid="{56568451-0574-4C87-BA26-711784D28C2F}"/>
  </hyperlinks>
  <pageMargins left="0.7" right="0.7" top="0.75" bottom="0.75" header="0.3" footer="0.3"/>
  <pageSetup paperSize="9" orientation="portrait" r:id="rId20"/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972A-7140-4958-89AF-6408E7B61579}">
  <dimension ref="A1:O26"/>
  <sheetViews>
    <sheetView topLeftCell="A5" zoomScale="80" zoomScaleNormal="80" workbookViewId="0">
      <selection activeCell="E8" sqref="E8"/>
    </sheetView>
  </sheetViews>
  <sheetFormatPr defaultRowHeight="15" x14ac:dyDescent="0.25"/>
  <cols>
    <col min="1" max="1" width="35.7109375" style="61" customWidth="1"/>
    <col min="4" max="4" width="31.28515625" style="1253" customWidth="1"/>
    <col min="5" max="5" width="20.28515625" customWidth="1"/>
    <col min="7" max="7" width="19.28515625" customWidth="1"/>
    <col min="8" max="8" width="10.28515625" customWidth="1"/>
    <col min="15" max="15" width="36.85546875" customWidth="1"/>
  </cols>
  <sheetData>
    <row r="1" spans="1:15" x14ac:dyDescent="0.25">
      <c r="A1" s="1130" t="s">
        <v>804</v>
      </c>
      <c r="B1" s="1131"/>
      <c r="C1" s="1131"/>
      <c r="D1" s="1246"/>
      <c r="E1" s="1131"/>
      <c r="F1" s="1132"/>
      <c r="G1" s="1132"/>
      <c r="H1" s="1133" t="s">
        <v>448</v>
      </c>
      <c r="I1" s="1133" t="s">
        <v>448</v>
      </c>
      <c r="J1" s="1133" t="s">
        <v>448</v>
      </c>
      <c r="K1" s="1133" t="s">
        <v>448</v>
      </c>
      <c r="L1" s="1133" t="s">
        <v>448</v>
      </c>
      <c r="M1" s="1133" t="s">
        <v>448</v>
      </c>
      <c r="N1" s="1133" t="s">
        <v>448</v>
      </c>
    </row>
    <row r="2" spans="1:15" x14ac:dyDescent="0.25">
      <c r="A2" s="1134"/>
      <c r="B2" s="1135"/>
      <c r="C2" s="1135"/>
      <c r="D2" s="1247"/>
      <c r="E2" s="1135"/>
      <c r="F2" s="1136"/>
      <c r="G2" s="1136"/>
      <c r="H2" s="1137" t="s">
        <v>370</v>
      </c>
      <c r="I2" s="1138" t="s">
        <v>371</v>
      </c>
      <c r="J2" s="1137" t="s">
        <v>372</v>
      </c>
      <c r="K2" s="1137" t="s">
        <v>123</v>
      </c>
      <c r="L2" s="1137" t="s">
        <v>122</v>
      </c>
      <c r="M2" s="1137" t="s">
        <v>124</v>
      </c>
      <c r="N2" s="1137" t="s">
        <v>124</v>
      </c>
    </row>
    <row r="3" spans="1:15" x14ac:dyDescent="0.25">
      <c r="A3" s="1134"/>
      <c r="B3" s="1135"/>
      <c r="C3" s="1200"/>
      <c r="D3" s="1248"/>
      <c r="E3" s="1200"/>
      <c r="F3" s="1139"/>
      <c r="G3" s="1139"/>
      <c r="H3" s="1305" t="s">
        <v>190</v>
      </c>
      <c r="I3" s="1305" t="s">
        <v>251</v>
      </c>
      <c r="J3" s="1305" t="s">
        <v>163</v>
      </c>
      <c r="K3" s="1306" t="s">
        <v>244</v>
      </c>
      <c r="L3" s="1306" t="s">
        <v>188</v>
      </c>
      <c r="M3" s="1305" t="s">
        <v>374</v>
      </c>
      <c r="N3" s="1305" t="s">
        <v>162</v>
      </c>
    </row>
    <row r="4" spans="1:15" x14ac:dyDescent="0.25">
      <c r="A4" s="1162" t="s">
        <v>375</v>
      </c>
      <c r="B4" s="1249" t="s">
        <v>2</v>
      </c>
      <c r="C4" s="1163" t="s">
        <v>369</v>
      </c>
      <c r="D4" s="1163" t="s">
        <v>870</v>
      </c>
      <c r="E4" s="1163" t="s">
        <v>871</v>
      </c>
      <c r="F4" s="1164" t="s">
        <v>198</v>
      </c>
      <c r="G4" s="1164" t="s">
        <v>872</v>
      </c>
      <c r="H4" s="1165"/>
      <c r="I4" s="1165"/>
      <c r="J4" s="1165"/>
      <c r="K4" s="1165"/>
      <c r="L4" s="1165"/>
      <c r="M4" s="1165"/>
      <c r="N4" s="1165"/>
    </row>
    <row r="5" spans="1:15" ht="96" x14ac:dyDescent="0.25">
      <c r="A5" s="1292" t="s">
        <v>811</v>
      </c>
      <c r="B5" s="1293"/>
      <c r="C5" s="1294" t="s">
        <v>790</v>
      </c>
      <c r="D5" s="1295" t="s">
        <v>878</v>
      </c>
      <c r="E5" s="1286" t="s">
        <v>877</v>
      </c>
      <c r="F5" s="1287">
        <v>4.5999999999999996</v>
      </c>
      <c r="G5" s="1288" t="s">
        <v>873</v>
      </c>
      <c r="H5" s="1328">
        <v>3</v>
      </c>
      <c r="I5" s="1329">
        <v>5</v>
      </c>
      <c r="J5" s="1329">
        <v>4</v>
      </c>
      <c r="K5" s="1307"/>
      <c r="L5" s="1307"/>
      <c r="M5" s="1307"/>
      <c r="N5" s="1307"/>
    </row>
    <row r="6" spans="1:15" ht="48" x14ac:dyDescent="0.25">
      <c r="A6" s="1369" t="s">
        <v>810</v>
      </c>
      <c r="B6" s="1370" t="s">
        <v>701</v>
      </c>
      <c r="C6" s="1371" t="s">
        <v>831</v>
      </c>
      <c r="D6" s="1317" t="s">
        <v>879</v>
      </c>
      <c r="E6" s="1318">
        <v>46212</v>
      </c>
      <c r="F6" s="1319">
        <v>4</v>
      </c>
      <c r="G6" s="1320" t="s">
        <v>874</v>
      </c>
      <c r="H6" s="1372">
        <v>3</v>
      </c>
      <c r="I6" s="1373">
        <v>3</v>
      </c>
      <c r="J6" s="1373">
        <v>3</v>
      </c>
      <c r="K6" s="1373">
        <v>5</v>
      </c>
      <c r="L6" s="1373">
        <v>5</v>
      </c>
      <c r="M6" s="1374"/>
      <c r="N6" s="1373">
        <v>8</v>
      </c>
    </row>
    <row r="7" spans="1:15" ht="72" x14ac:dyDescent="0.25">
      <c r="A7" s="1379" t="s">
        <v>707</v>
      </c>
      <c r="B7" s="1380" t="s">
        <v>126</v>
      </c>
      <c r="C7" s="1299" t="s">
        <v>850</v>
      </c>
      <c r="D7" s="1300" t="s">
        <v>890</v>
      </c>
      <c r="E7" s="1378" t="s">
        <v>876</v>
      </c>
      <c r="F7" s="1381">
        <v>3.57</v>
      </c>
      <c r="G7" s="1303" t="s">
        <v>874</v>
      </c>
      <c r="H7" s="1330">
        <v>5</v>
      </c>
      <c r="I7" s="1331">
        <v>15</v>
      </c>
      <c r="J7" s="1331">
        <v>15</v>
      </c>
      <c r="K7" s="1332"/>
      <c r="L7" s="1332"/>
      <c r="M7" s="1332"/>
      <c r="N7" s="1332"/>
    </row>
    <row r="8" spans="1:15" ht="60" x14ac:dyDescent="0.25">
      <c r="A8" s="1304" t="s">
        <v>812</v>
      </c>
      <c r="B8" s="1283" t="s">
        <v>72</v>
      </c>
      <c r="C8" s="1289" t="s">
        <v>825</v>
      </c>
      <c r="D8" s="1290" t="s">
        <v>891</v>
      </c>
      <c r="E8" s="1286" t="s">
        <v>877</v>
      </c>
      <c r="F8" s="1287">
        <v>3.43</v>
      </c>
      <c r="G8" s="1288" t="s">
        <v>875</v>
      </c>
      <c r="H8" s="1333">
        <v>2</v>
      </c>
      <c r="I8" s="1334"/>
      <c r="J8" s="1334">
        <v>1</v>
      </c>
      <c r="K8" s="1334"/>
      <c r="L8" s="1334"/>
      <c r="M8" s="1308">
        <v>1</v>
      </c>
      <c r="N8" s="1334"/>
    </row>
    <row r="9" spans="1:15" ht="96" x14ac:dyDescent="0.25">
      <c r="A9" s="1309" t="s">
        <v>807</v>
      </c>
      <c r="B9" s="1310" t="s">
        <v>706</v>
      </c>
      <c r="C9" s="1299" t="s">
        <v>382</v>
      </c>
      <c r="D9" s="1311" t="s">
        <v>880</v>
      </c>
      <c r="E9" s="1301">
        <v>46295</v>
      </c>
      <c r="F9" s="1302">
        <v>3.33</v>
      </c>
      <c r="G9" s="1303" t="s">
        <v>874</v>
      </c>
      <c r="H9" s="1335">
        <v>5</v>
      </c>
      <c r="I9" s="1312">
        <v>21</v>
      </c>
      <c r="J9" s="1312">
        <v>25</v>
      </c>
      <c r="K9" s="1312">
        <v>20</v>
      </c>
      <c r="L9" s="1312">
        <v>20</v>
      </c>
      <c r="M9" s="1313">
        <v>15</v>
      </c>
      <c r="N9" s="1312">
        <v>20</v>
      </c>
      <c r="O9" s="121" t="s">
        <v>946</v>
      </c>
    </row>
    <row r="10" spans="1:15" ht="45" x14ac:dyDescent="0.25">
      <c r="A10" s="1314" t="s">
        <v>805</v>
      </c>
      <c r="B10" s="1315" t="s">
        <v>394</v>
      </c>
      <c r="C10" s="1316" t="s">
        <v>806</v>
      </c>
      <c r="D10" s="1317" t="s">
        <v>881</v>
      </c>
      <c r="E10" s="1318">
        <v>46226</v>
      </c>
      <c r="F10" s="1319">
        <v>3.14</v>
      </c>
      <c r="G10" s="1320" t="s">
        <v>874</v>
      </c>
      <c r="H10" s="1336">
        <v>5</v>
      </c>
      <c r="I10" s="1337"/>
      <c r="J10" s="1337">
        <v>7</v>
      </c>
      <c r="K10" s="1337">
        <v>4</v>
      </c>
      <c r="L10" s="1337">
        <v>4</v>
      </c>
      <c r="M10" s="1337">
        <v>14</v>
      </c>
      <c r="N10" s="1337"/>
    </row>
    <row r="11" spans="1:15" ht="60" x14ac:dyDescent="0.25">
      <c r="A11" s="1282" t="s">
        <v>813</v>
      </c>
      <c r="B11" s="1296" t="s">
        <v>394</v>
      </c>
      <c r="C11" s="1284" t="s">
        <v>824</v>
      </c>
      <c r="D11" s="1285" t="s">
        <v>892</v>
      </c>
      <c r="E11" s="1297"/>
      <c r="F11" s="1287">
        <v>3.14</v>
      </c>
      <c r="G11" s="1288" t="s">
        <v>873</v>
      </c>
      <c r="H11" s="1338">
        <v>3</v>
      </c>
      <c r="I11" s="1339">
        <v>5</v>
      </c>
      <c r="J11" s="1339">
        <v>5</v>
      </c>
      <c r="K11" s="1339"/>
      <c r="L11" s="1339"/>
      <c r="M11" s="1339"/>
      <c r="N11" s="1339"/>
    </row>
    <row r="12" spans="1:15" ht="36" x14ac:dyDescent="0.25">
      <c r="A12" s="1298" t="s">
        <v>855</v>
      </c>
      <c r="B12" s="1299" t="s">
        <v>126</v>
      </c>
      <c r="C12" s="1299" t="s">
        <v>854</v>
      </c>
      <c r="D12" s="1300" t="s">
        <v>882</v>
      </c>
      <c r="E12" s="1301">
        <v>46295</v>
      </c>
      <c r="F12" s="1302">
        <v>3.2</v>
      </c>
      <c r="G12" s="1303" t="s">
        <v>874</v>
      </c>
      <c r="H12" s="1332"/>
      <c r="I12" s="1332">
        <v>2</v>
      </c>
      <c r="J12" s="1332">
        <v>1</v>
      </c>
      <c r="K12" s="1332">
        <v>1</v>
      </c>
      <c r="L12" s="1332">
        <v>1</v>
      </c>
      <c r="M12" s="1332">
        <v>1</v>
      </c>
      <c r="N12" s="1332"/>
    </row>
    <row r="13" spans="1:15" ht="60" x14ac:dyDescent="0.25">
      <c r="A13" s="1282" t="s">
        <v>808</v>
      </c>
      <c r="B13" s="1289" t="s">
        <v>713</v>
      </c>
      <c r="C13" s="1289" t="s">
        <v>822</v>
      </c>
      <c r="D13" s="1290" t="s">
        <v>883</v>
      </c>
      <c r="E13" s="1286" t="s">
        <v>877</v>
      </c>
      <c r="F13" s="1287">
        <v>3</v>
      </c>
      <c r="G13" s="1288" t="s">
        <v>875</v>
      </c>
      <c r="H13" s="1338">
        <v>5</v>
      </c>
      <c r="I13" s="1339">
        <v>7</v>
      </c>
      <c r="J13" s="1339">
        <v>3</v>
      </c>
      <c r="K13" s="1339"/>
      <c r="L13" s="1339"/>
      <c r="M13" s="1339"/>
      <c r="N13" s="1339"/>
    </row>
    <row r="14" spans="1:15" ht="36" x14ac:dyDescent="0.25">
      <c r="A14" s="1309" t="s">
        <v>809</v>
      </c>
      <c r="B14" s="1310"/>
      <c r="C14" s="1299" t="s">
        <v>411</v>
      </c>
      <c r="D14" s="1311" t="s">
        <v>884</v>
      </c>
      <c r="E14" s="1378" t="s">
        <v>877</v>
      </c>
      <c r="F14" s="1302">
        <v>3</v>
      </c>
      <c r="G14" s="1303" t="s">
        <v>874</v>
      </c>
      <c r="H14" s="1335">
        <v>5</v>
      </c>
      <c r="I14" s="1312">
        <v>7</v>
      </c>
      <c r="J14" s="1312">
        <v>15</v>
      </c>
      <c r="K14" s="1312"/>
      <c r="L14" s="1312"/>
      <c r="M14" s="1312"/>
      <c r="N14" s="1312"/>
      <c r="O14" s="62" t="s">
        <v>945</v>
      </c>
    </row>
    <row r="15" spans="1:15" ht="45" x14ac:dyDescent="0.25">
      <c r="A15" s="1321" t="s">
        <v>820</v>
      </c>
      <c r="B15" s="1322" t="s">
        <v>72</v>
      </c>
      <c r="C15" s="1323" t="s">
        <v>823</v>
      </c>
      <c r="D15" s="1324" t="s">
        <v>885</v>
      </c>
      <c r="E15" s="1286" t="s">
        <v>877</v>
      </c>
      <c r="F15" s="1287">
        <v>3</v>
      </c>
      <c r="G15" s="1288" t="s">
        <v>875</v>
      </c>
      <c r="H15" s="1340">
        <v>5</v>
      </c>
      <c r="I15" s="1341">
        <v>5</v>
      </c>
      <c r="J15" s="1341">
        <v>12</v>
      </c>
      <c r="K15" s="1307"/>
      <c r="L15" s="1307"/>
      <c r="M15" s="1307"/>
      <c r="N15" s="1307"/>
    </row>
    <row r="16" spans="1:15" ht="48" x14ac:dyDescent="0.25">
      <c r="A16" s="1282" t="s">
        <v>815</v>
      </c>
      <c r="B16" s="1322" t="s">
        <v>72</v>
      </c>
      <c r="C16" s="1325" t="s">
        <v>826</v>
      </c>
      <c r="D16" s="1290" t="s">
        <v>886</v>
      </c>
      <c r="E16" s="1286" t="s">
        <v>877</v>
      </c>
      <c r="F16" s="1287">
        <v>2.9</v>
      </c>
      <c r="G16" s="1288" t="s">
        <v>875</v>
      </c>
      <c r="H16" s="1338">
        <v>5</v>
      </c>
      <c r="I16" s="1339">
        <v>7</v>
      </c>
      <c r="J16" s="1339">
        <v>12</v>
      </c>
      <c r="K16" s="1339"/>
      <c r="L16" s="1339"/>
      <c r="M16" s="1339"/>
      <c r="N16" s="1339"/>
    </row>
    <row r="17" spans="1:14" ht="96" x14ac:dyDescent="0.25">
      <c r="A17" s="1282" t="s">
        <v>816</v>
      </c>
      <c r="B17" s="1289" t="s">
        <v>324</v>
      </c>
      <c r="C17" s="1326" t="s">
        <v>827</v>
      </c>
      <c r="D17" s="1290" t="s">
        <v>893</v>
      </c>
      <c r="E17" s="1286" t="s">
        <v>877</v>
      </c>
      <c r="F17" s="1287">
        <v>2.86</v>
      </c>
      <c r="G17" s="1288" t="s">
        <v>875</v>
      </c>
      <c r="H17" s="1338">
        <v>7</v>
      </c>
      <c r="I17" s="1339">
        <v>14</v>
      </c>
      <c r="J17" s="1339">
        <v>14</v>
      </c>
      <c r="K17" s="1339"/>
      <c r="L17" s="1339"/>
      <c r="M17" s="1339"/>
      <c r="N17" s="1339"/>
    </row>
    <row r="18" spans="1:14" ht="36" x14ac:dyDescent="0.25">
      <c r="A18" s="1309" t="s">
        <v>947</v>
      </c>
      <c r="B18" s="1327" t="s">
        <v>72</v>
      </c>
      <c r="C18" s="1310" t="s">
        <v>828</v>
      </c>
      <c r="D18" s="1311" t="s">
        <v>887</v>
      </c>
      <c r="E18" s="1301">
        <v>46226</v>
      </c>
      <c r="F18" s="1302">
        <v>2.75</v>
      </c>
      <c r="G18" s="1303" t="s">
        <v>874</v>
      </c>
      <c r="H18" s="1335">
        <v>10</v>
      </c>
      <c r="I18" s="1312"/>
      <c r="J18" s="1312">
        <v>15</v>
      </c>
      <c r="K18" s="1312">
        <v>10</v>
      </c>
      <c r="L18" s="1312">
        <v>10</v>
      </c>
      <c r="M18" s="1312">
        <v>20</v>
      </c>
      <c r="N18" s="1312">
        <v>20</v>
      </c>
    </row>
    <row r="19" spans="1:14" ht="48" x14ac:dyDescent="0.25">
      <c r="A19" s="1282" t="s">
        <v>830</v>
      </c>
      <c r="B19" s="1283"/>
      <c r="C19" s="1284" t="s">
        <v>829</v>
      </c>
      <c r="D19" s="1285" t="s">
        <v>888</v>
      </c>
      <c r="E19" s="1286" t="s">
        <v>877</v>
      </c>
      <c r="F19" s="1287">
        <v>2.75</v>
      </c>
      <c r="G19" s="1288" t="s">
        <v>873</v>
      </c>
      <c r="H19" s="1338">
        <v>5</v>
      </c>
      <c r="I19" s="1339">
        <v>7</v>
      </c>
      <c r="J19" s="1339">
        <v>10</v>
      </c>
      <c r="K19" s="1339"/>
      <c r="L19" s="1339"/>
      <c r="M19" s="1339"/>
      <c r="N19" s="1339"/>
    </row>
    <row r="20" spans="1:14" ht="45" x14ac:dyDescent="0.25">
      <c r="A20" s="1282" t="s">
        <v>817</v>
      </c>
      <c r="B20" s="1289" t="s">
        <v>319</v>
      </c>
      <c r="C20" s="1289" t="s">
        <v>832</v>
      </c>
      <c r="D20" s="1290" t="s">
        <v>889</v>
      </c>
      <c r="E20" s="1286" t="s">
        <v>877</v>
      </c>
      <c r="F20" s="1291">
        <v>2</v>
      </c>
      <c r="G20" s="1288" t="s">
        <v>873</v>
      </c>
      <c r="H20" s="1338">
        <v>5</v>
      </c>
      <c r="I20" s="1339">
        <v>10</v>
      </c>
      <c r="J20" s="1339">
        <v>3</v>
      </c>
      <c r="K20" s="1339"/>
      <c r="L20" s="1339"/>
      <c r="M20" s="1339"/>
      <c r="N20" s="1339"/>
    </row>
    <row r="21" spans="1:14" x14ac:dyDescent="0.25">
      <c r="A21" s="1172" t="s">
        <v>196</v>
      </c>
      <c r="B21" s="1173"/>
      <c r="C21" s="1173"/>
      <c r="D21" s="1250"/>
      <c r="E21" s="1173"/>
      <c r="F21" s="290"/>
      <c r="G21" s="290"/>
      <c r="H21" s="1218">
        <v>46</v>
      </c>
      <c r="I21" s="1219">
        <v>46</v>
      </c>
      <c r="J21" s="1219">
        <v>46</v>
      </c>
      <c r="K21" s="1220">
        <v>46</v>
      </c>
      <c r="L21" s="1220">
        <v>46</v>
      </c>
      <c r="M21" s="1220">
        <v>46</v>
      </c>
      <c r="N21" s="1220">
        <v>46</v>
      </c>
    </row>
    <row r="22" spans="1:14" x14ac:dyDescent="0.25">
      <c r="A22" s="1170" t="s">
        <v>833</v>
      </c>
      <c r="B22" s="1171"/>
      <c r="C22" s="1171"/>
      <c r="D22" s="1251"/>
      <c r="E22" s="1171"/>
      <c r="F22" s="1062"/>
      <c r="G22" s="1062"/>
      <c r="H22" s="1221">
        <f>H5+H6+H12+H10+H9+H14+H11+H18+H19+H20+H7</f>
        <v>49</v>
      </c>
      <c r="I22" s="1221">
        <f>I5+I6+I12+I10+I9+I14+I11+I18+I7</f>
        <v>58</v>
      </c>
      <c r="J22" s="1221">
        <f>J6+J12+J10+J9+J18+J7</f>
        <v>66</v>
      </c>
      <c r="K22" s="1221">
        <f>K5+K6+K12+K10+K9+K14+K11+K18+K19+K20+K7</f>
        <v>40</v>
      </c>
      <c r="L22" s="1221">
        <f>L5+L6+L12+L10+L9+L14+L11+L18+L19+L20+L7</f>
        <v>40</v>
      </c>
      <c r="M22" s="1221">
        <f>M5+M6+M12+M10+M9+M14+M11+M18+M19+M20+M7</f>
        <v>50</v>
      </c>
      <c r="N22" s="1221">
        <f>N5+N6+N12+N10+N9+N14+N11+N18+N19+N20+N7</f>
        <v>48</v>
      </c>
    </row>
    <row r="23" spans="1:14" x14ac:dyDescent="0.25">
      <c r="A23" s="1166" t="s">
        <v>197</v>
      </c>
      <c r="B23" s="1167"/>
      <c r="C23" s="1168"/>
      <c r="D23" s="1252"/>
      <c r="E23" s="1168"/>
      <c r="F23" s="1169"/>
      <c r="G23" s="1169"/>
      <c r="H23" s="1276">
        <f t="shared" ref="H23:N23" si="0">H21-H22</f>
        <v>-3</v>
      </c>
      <c r="I23" s="1276">
        <f t="shared" si="0"/>
        <v>-12</v>
      </c>
      <c r="J23" s="1276">
        <f t="shared" si="0"/>
        <v>-20</v>
      </c>
      <c r="K23" s="1276">
        <f t="shared" si="0"/>
        <v>6</v>
      </c>
      <c r="L23" s="1276">
        <f t="shared" si="0"/>
        <v>6</v>
      </c>
      <c r="M23" s="1276">
        <f t="shared" si="0"/>
        <v>-4</v>
      </c>
      <c r="N23" s="1276">
        <f t="shared" si="0"/>
        <v>-2</v>
      </c>
    </row>
    <row r="24" spans="1:14" x14ac:dyDescent="0.25">
      <c r="A24" s="580" t="s">
        <v>834</v>
      </c>
      <c r="B24" s="1131"/>
      <c r="C24" s="1131"/>
      <c r="D24" s="1246"/>
      <c r="E24" s="1131"/>
      <c r="F24" s="1145"/>
      <c r="G24" s="1145"/>
      <c r="H24" s="1223">
        <v>39</v>
      </c>
      <c r="I24" s="1223">
        <v>39</v>
      </c>
      <c r="J24" s="1223">
        <v>39</v>
      </c>
      <c r="K24" s="1223">
        <v>39</v>
      </c>
      <c r="L24" s="1223">
        <v>39</v>
      </c>
      <c r="M24" s="1223">
        <v>39</v>
      </c>
      <c r="N24" s="1223">
        <v>39</v>
      </c>
    </row>
    <row r="25" spans="1:14" x14ac:dyDescent="0.25">
      <c r="A25" s="580" t="s">
        <v>835</v>
      </c>
      <c r="B25" s="1131"/>
      <c r="C25" s="1131"/>
      <c r="D25" s="1246"/>
      <c r="E25" s="1131"/>
      <c r="F25" s="1145"/>
      <c r="G25" s="1145"/>
      <c r="H25" s="1223">
        <v>7</v>
      </c>
      <c r="I25" s="1223">
        <v>7</v>
      </c>
      <c r="J25" s="1223">
        <v>7</v>
      </c>
      <c r="K25" s="1223">
        <v>7</v>
      </c>
      <c r="L25" s="1223">
        <v>7</v>
      </c>
      <c r="M25" s="1223">
        <v>7</v>
      </c>
      <c r="N25" s="1223">
        <v>7</v>
      </c>
    </row>
    <row r="26" spans="1:14" x14ac:dyDescent="0.25">
      <c r="A26" s="1130"/>
      <c r="B26" s="1131"/>
      <c r="C26" s="1131"/>
      <c r="D26" s="1246"/>
      <c r="E26" s="1131"/>
      <c r="F26" s="1145"/>
      <c r="G26" s="1145"/>
      <c r="H26" s="1224"/>
      <c r="I26" s="1224"/>
      <c r="J26" s="1224"/>
      <c r="K26" s="1224"/>
      <c r="L26" s="1224"/>
      <c r="M26" s="1224"/>
      <c r="N26" s="1224"/>
    </row>
  </sheetData>
  <hyperlinks>
    <hyperlink ref="B20" r:id="rId1" display="https://jira.megafon.ru/browse/B2CPROD-932" xr:uid="{A0341B82-69D8-4EAD-9DA4-9031DD5BFE4F}"/>
    <hyperlink ref="B17" r:id="rId2" display="https://jira.megafon.ru/browse/B2CPROD-914" xr:uid="{DB00FB69-DB3B-4261-8696-10D36D2A6A2A}"/>
    <hyperlink ref="B6" r:id="rId3" display="https://jira.megafon.ru/browse/B2CPROD-166" xr:uid="{AA13E015-573B-4E77-8168-5F911AF9ED1C}"/>
    <hyperlink ref="B9" r:id="rId4" display="https://jira.megafon.ru/browse/B2CPROD-1389" xr:uid="{6E838D75-F614-4117-9145-162507C25E3C}"/>
    <hyperlink ref="B13" r:id="rId5" display="https://jira.megafon.ru/browse/B2CPROD-14" xr:uid="{32F4A5FB-7DC4-4683-A38F-28E79A388BD7}"/>
    <hyperlink ref="B16" r:id="rId6" xr:uid="{F16A58E1-5474-49AB-9292-90C6C700233D}"/>
    <hyperlink ref="B8" r:id="rId7" xr:uid="{2DFE04E4-3178-4DCC-A36B-B04E63F7F463}"/>
    <hyperlink ref="B18" r:id="rId8" xr:uid="{DE83EA29-A350-4B57-9A40-A7EE7F1B519D}"/>
    <hyperlink ref="B11" r:id="rId9" xr:uid="{8B9CAB6A-F84A-4151-816D-297916AB306A}"/>
    <hyperlink ref="C10" r:id="rId10" xr:uid="{51D7E9DB-6AD1-4056-BDFB-F871259EE82F}"/>
    <hyperlink ref="B10" r:id="rId11" xr:uid="{FC2BAB67-EDB7-4DDD-8D96-119AF2D0CF8B}"/>
    <hyperlink ref="C5" r:id="rId12" xr:uid="{CEB5E456-D0C9-42DD-9D4F-19B57898E3C6}"/>
    <hyperlink ref="B15" r:id="rId13" xr:uid="{484BE78D-E46C-4657-8715-D2555CB0DB71}"/>
    <hyperlink ref="C19" r:id="rId14" xr:uid="{5D102B66-7A0D-441D-9240-D0CC51D5EA95}"/>
    <hyperlink ref="C12" r:id="rId15" xr:uid="{860AC10C-D875-41BD-8C2E-8EF07E262D64}"/>
    <hyperlink ref="C11" r:id="rId16" xr:uid="{AAF87CCB-165B-4C54-B015-325335CF81D5}"/>
    <hyperlink ref="C7" r:id="rId17" xr:uid="{76591644-418F-4CCF-88A2-E1C8522EC6CF}"/>
    <hyperlink ref="C6" r:id="rId18" xr:uid="{783F2E89-5693-43D6-883E-52968750AF5E}"/>
    <hyperlink ref="C14" r:id="rId19" xr:uid="{B7403A98-C884-4ACA-846F-B14CCA467853}"/>
    <hyperlink ref="C9" r:id="rId20" xr:uid="{F9C9B496-D85C-4716-8CDA-68805F58585B}"/>
  </hyperlinks>
  <pageMargins left="0.7" right="0.7" top="0.75" bottom="0.75" header="0.3" footer="0.3"/>
  <pageSetup paperSize="9" orientation="portrait" r:id="rId21"/>
  <drawing r:id="rId2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3885-D34F-4C80-B8E7-1E25BD8FB7B2}">
  <dimension ref="A1:OV210"/>
  <sheetViews>
    <sheetView tabSelected="1" zoomScale="71" zoomScaleNormal="60" workbookViewId="0">
      <pane xSplit="76" ySplit="2" topLeftCell="EK11" activePane="bottomRight" state="frozen"/>
      <selection pane="topRight" activeCell="BY1" sqref="BY1"/>
      <selection pane="bottomLeft" activeCell="A3" sqref="A3"/>
      <selection pane="bottomRight" activeCell="FN34" sqref="FN34:FR34"/>
    </sheetView>
  </sheetViews>
  <sheetFormatPr defaultRowHeight="15" x14ac:dyDescent="0.25"/>
  <cols>
    <col min="1" max="1" width="29.7109375" customWidth="1"/>
    <col min="2" max="2" width="4.7109375" hidden="1" customWidth="1"/>
    <col min="3" max="6" width="3.28515625" hidden="1" customWidth="1"/>
    <col min="7" max="8" width="2.28515625" style="447" hidden="1" customWidth="1"/>
    <col min="9" max="9" width="3.7109375" hidden="1" customWidth="1"/>
    <col min="10" max="10" width="4.42578125" hidden="1" customWidth="1"/>
    <col min="11" max="11" width="3.7109375" hidden="1" customWidth="1"/>
    <col min="12" max="12" width="3.85546875" hidden="1" customWidth="1"/>
    <col min="13" max="13" width="3.28515625" hidden="1" customWidth="1"/>
    <col min="14" max="15" width="2.28515625" style="447" hidden="1" customWidth="1"/>
    <col min="16" max="17" width="3.85546875" hidden="1" customWidth="1"/>
    <col min="18" max="18" width="3.85546875" style="466" hidden="1" customWidth="1"/>
    <col min="19" max="19" width="4.5703125" hidden="1" customWidth="1"/>
    <col min="20" max="20" width="3.85546875" hidden="1" customWidth="1"/>
    <col min="21" max="22" width="1.5703125" style="447" hidden="1" customWidth="1"/>
    <col min="23" max="25" width="4.42578125" hidden="1" customWidth="1"/>
    <col min="26" max="26" width="4.85546875" hidden="1" customWidth="1"/>
    <col min="27" max="27" width="4.42578125" hidden="1" customWidth="1"/>
    <col min="28" max="29" width="2.28515625" style="447" hidden="1" customWidth="1"/>
    <col min="30" max="30" width="7" hidden="1" customWidth="1"/>
    <col min="31" max="31" width="5.28515625" hidden="1" customWidth="1"/>
    <col min="32" max="32" width="5.7109375" hidden="1" customWidth="1"/>
    <col min="33" max="33" width="4.85546875" hidden="1" customWidth="1"/>
    <col min="34" max="34" width="5.28515625" hidden="1" customWidth="1"/>
    <col min="35" max="35" width="2.28515625" style="447" hidden="1" customWidth="1"/>
    <col min="36" max="36" width="2.5703125" style="447" hidden="1" customWidth="1"/>
    <col min="37" max="37" width="5.7109375" hidden="1" customWidth="1"/>
    <col min="38" max="38" width="5.28515625" style="81" hidden="1" customWidth="1"/>
    <col min="39" max="39" width="6" style="81" hidden="1" customWidth="1"/>
    <col min="40" max="40" width="5.42578125" style="81" hidden="1" customWidth="1"/>
    <col min="41" max="41" width="6.7109375" style="81" hidden="1" customWidth="1"/>
    <col min="42" max="43" width="2.28515625" style="447" hidden="1" customWidth="1"/>
    <col min="44" max="44" width="5.42578125" style="81" hidden="1" customWidth="1"/>
    <col min="45" max="45" width="6.7109375" style="81" hidden="1" customWidth="1"/>
    <col min="46" max="46" width="7.28515625" style="81" hidden="1" customWidth="1"/>
    <col min="47" max="47" width="6.7109375" style="81" hidden="1" customWidth="1"/>
    <col min="48" max="48" width="1.5703125" style="468" hidden="1" customWidth="1"/>
    <col min="49" max="50" width="1.5703125" style="447" hidden="1" customWidth="1"/>
    <col min="51" max="51" width="6.28515625" style="452" hidden="1" customWidth="1"/>
    <col min="52" max="52" width="6.28515625" style="81" hidden="1" customWidth="1"/>
    <col min="53" max="53" width="6" hidden="1" customWidth="1"/>
    <col min="54" max="54" width="5" hidden="1" customWidth="1"/>
    <col min="55" max="55" width="5.7109375" hidden="1" customWidth="1"/>
    <col min="56" max="56" width="2.140625" style="447" hidden="1" customWidth="1"/>
    <col min="57" max="57" width="2.7109375" style="447" hidden="1" customWidth="1"/>
    <col min="58" max="58" width="2.28515625" style="447" hidden="1" customWidth="1"/>
    <col min="59" max="59" width="8.42578125" style="452" hidden="1" customWidth="1"/>
    <col min="60" max="60" width="6.28515625" hidden="1" customWidth="1"/>
    <col min="61" max="61" width="6.140625" hidden="1" customWidth="1"/>
    <col min="62" max="62" width="8.28515625" hidden="1" customWidth="1"/>
    <col min="63" max="63" width="2.28515625" style="447" hidden="1" customWidth="1"/>
    <col min="64" max="64" width="2.42578125" style="447" hidden="1" customWidth="1"/>
    <col min="65" max="66" width="4.28515625" style="81" hidden="1" customWidth="1"/>
    <col min="67" max="67" width="4.28515625" hidden="1" customWidth="1"/>
    <col min="68" max="69" width="4.28515625" style="81" hidden="1" customWidth="1"/>
    <col min="70" max="71" width="2.42578125" style="447" hidden="1" customWidth="1"/>
    <col min="72" max="72" width="10.28515625" style="81" hidden="1" customWidth="1"/>
    <col min="73" max="74" width="9.28515625" style="81" hidden="1" customWidth="1"/>
    <col min="75" max="75" width="9" style="81" hidden="1" customWidth="1"/>
    <col min="76" max="76" width="7.28515625" style="81" hidden="1" customWidth="1"/>
    <col min="77" max="78" width="2.28515625" style="447" hidden="1" customWidth="1"/>
    <col min="79" max="83" width="4.28515625" hidden="1" customWidth="1"/>
    <col min="84" max="84" width="2.28515625" style="447" hidden="1" customWidth="1"/>
    <col min="85" max="85" width="2.28515625" style="458" hidden="1" customWidth="1"/>
    <col min="86" max="88" width="3.7109375" hidden="1" customWidth="1"/>
    <col min="89" max="89" width="6.5703125" hidden="1" customWidth="1"/>
    <col min="90" max="90" width="3.42578125" style="447" hidden="1" customWidth="1"/>
    <col min="91" max="92" width="2.7109375" style="447" hidden="1" customWidth="1"/>
    <col min="93" max="97" width="7" hidden="1" customWidth="1"/>
    <col min="98" max="99" width="2.7109375" style="448" hidden="1" customWidth="1"/>
    <col min="100" max="100" width="14.42578125" hidden="1" customWidth="1"/>
    <col min="101" max="101" width="10" hidden="1" customWidth="1"/>
    <col min="102" max="104" width="8" hidden="1" customWidth="1"/>
    <col min="105" max="106" width="2.85546875" style="448" hidden="1" customWidth="1"/>
    <col min="107" max="107" width="9.85546875" hidden="1" customWidth="1"/>
    <col min="108" max="108" width="10.42578125" hidden="1" customWidth="1"/>
    <col min="109" max="109" width="10.5703125" style="466" hidden="1" customWidth="1"/>
    <col min="110" max="110" width="9.42578125" hidden="1" customWidth="1"/>
    <col min="111" max="111" width="9.28515625" hidden="1" customWidth="1"/>
    <col min="112" max="113" width="2.85546875" style="448" hidden="1" customWidth="1"/>
    <col min="114" max="118" width="3.85546875" style="81" hidden="1" customWidth="1"/>
    <col min="119" max="120" width="3.85546875" style="448" hidden="1" customWidth="1"/>
    <col min="121" max="123" width="3.85546875" style="81" hidden="1" customWidth="1"/>
    <col min="124" max="124" width="3.85546875" style="1184" hidden="1" customWidth="1"/>
    <col min="125" max="125" width="3.85546875" style="81" hidden="1" customWidth="1"/>
    <col min="126" max="127" width="3.85546875" style="448" hidden="1" customWidth="1"/>
    <col min="128" max="130" width="3.85546875" style="81" hidden="1" customWidth="1"/>
    <col min="131" max="131" width="3.85546875" style="1034" hidden="1" customWidth="1"/>
    <col min="132" max="132" width="3.85546875" style="81" hidden="1" customWidth="1"/>
    <col min="133" max="134" width="3.85546875" style="448" hidden="1" customWidth="1"/>
    <col min="135" max="136" width="3.85546875" style="81" hidden="1" customWidth="1"/>
    <col min="137" max="139" width="3.85546875" hidden="1" customWidth="1"/>
    <col min="140" max="140" width="3.85546875" style="450" customWidth="1"/>
    <col min="141" max="141" width="3.85546875" style="447" customWidth="1"/>
    <col min="142" max="146" width="3.85546875" customWidth="1"/>
    <col min="147" max="148" width="3.85546875" style="449" customWidth="1"/>
    <col min="149" max="153" width="3.85546875" customWidth="1"/>
    <col min="154" max="155" width="3.85546875" style="925" customWidth="1"/>
    <col min="156" max="160" width="3.85546875" customWidth="1"/>
    <col min="161" max="162" width="3.85546875" style="925" customWidth="1"/>
    <col min="163" max="167" width="3.85546875" customWidth="1"/>
    <col min="168" max="169" width="3.85546875" style="925" customWidth="1"/>
    <col min="170" max="170" width="3.85546875" style="1187" customWidth="1"/>
    <col min="171" max="174" width="3.85546875" style="81" customWidth="1"/>
    <col min="175" max="176" width="3.85546875" style="447" customWidth="1"/>
    <col min="177" max="181" width="3.85546875" style="81" customWidth="1"/>
    <col min="182" max="183" width="3.85546875" style="447" customWidth="1"/>
    <col min="184" max="188" width="3.85546875" style="81" customWidth="1"/>
    <col min="189" max="190" width="3.85546875" style="447" customWidth="1"/>
    <col min="191" max="192" width="3.85546875" style="81" customWidth="1"/>
    <col min="193" max="195" width="3.42578125" style="81" customWidth="1"/>
    <col min="196" max="197" width="3.42578125" style="447" customWidth="1"/>
    <col min="198" max="200" width="4.42578125" style="81" customWidth="1"/>
    <col min="201" max="202" width="4.42578125" customWidth="1"/>
    <col min="203" max="204" width="4.42578125" style="1462" customWidth="1"/>
    <col min="205" max="209" width="4.42578125" customWidth="1"/>
    <col min="210" max="211" width="3" style="447" customWidth="1"/>
    <col min="212" max="216" width="4.5703125" customWidth="1"/>
    <col min="217" max="218" width="2.28515625" style="449" customWidth="1"/>
    <col min="219" max="223" width="4.5703125" customWidth="1"/>
    <col min="224" max="225" width="2.42578125" style="447" customWidth="1"/>
    <col min="226" max="230" width="4.5703125" customWidth="1"/>
    <col min="231" max="232" width="2.28515625" style="449" customWidth="1"/>
    <col min="233" max="234" width="4.28515625" customWidth="1"/>
    <col min="235" max="235" width="4.28515625" style="447" customWidth="1"/>
    <col min="236" max="237" width="4.28515625" customWidth="1"/>
    <col min="238" max="239" width="2.28515625" style="449" customWidth="1"/>
    <col min="240" max="244" width="4.28515625" customWidth="1"/>
    <col min="245" max="246" width="2.28515625" style="449" customWidth="1"/>
    <col min="247" max="251" width="4.28515625" customWidth="1"/>
    <col min="252" max="253" width="2.28515625" style="449" customWidth="1"/>
    <col min="254" max="258" width="4.28515625" customWidth="1"/>
    <col min="259" max="260" width="2.28515625" style="447" customWidth="1"/>
    <col min="262" max="265" width="3.5703125" customWidth="1"/>
    <col min="266" max="267" width="2.140625" style="447" customWidth="1"/>
    <col min="268" max="272" width="3.5703125" customWidth="1"/>
    <col min="273" max="274" width="2.140625" style="447" customWidth="1"/>
    <col min="275" max="279" width="3.5703125" customWidth="1"/>
    <col min="280" max="281" width="2.140625" style="447" customWidth="1"/>
    <col min="282" max="286" width="3.5703125" customWidth="1"/>
    <col min="287" max="288" width="2.140625" style="448" customWidth="1"/>
    <col min="289" max="292" width="3.5703125" customWidth="1"/>
    <col min="293" max="293" width="2.85546875" customWidth="1"/>
    <col min="294" max="295" width="2.28515625" style="447" customWidth="1"/>
    <col min="296" max="296" width="2.85546875" customWidth="1"/>
    <col min="297" max="298" width="2.85546875" style="81" customWidth="1"/>
    <col min="299" max="300" width="2.85546875" customWidth="1"/>
    <col min="301" max="302" width="2.28515625" style="447" customWidth="1"/>
    <col min="303" max="303" width="2.85546875" customWidth="1"/>
    <col min="304" max="305" width="2.85546875" style="81" customWidth="1"/>
    <col min="306" max="307" width="2.85546875" customWidth="1"/>
    <col min="308" max="309" width="2.28515625" style="447" customWidth="1"/>
    <col min="310" max="310" width="2.85546875" customWidth="1"/>
    <col min="311" max="312" width="2.85546875" style="81" customWidth="1"/>
    <col min="313" max="314" width="2.85546875" customWidth="1"/>
    <col min="315" max="316" width="2.28515625" style="447" customWidth="1"/>
    <col min="317" max="317" width="2.85546875" customWidth="1"/>
    <col min="318" max="319" width="2.85546875" style="456" customWidth="1"/>
    <col min="320" max="321" width="2.85546875" customWidth="1"/>
    <col min="322" max="323" width="2.28515625" style="447" customWidth="1"/>
    <col min="324" max="328" width="4.42578125" customWidth="1"/>
    <col min="329" max="330" width="4.42578125" style="447" customWidth="1"/>
    <col min="331" max="335" width="4.42578125" customWidth="1"/>
    <col min="336" max="337" width="4.42578125" style="447" customWidth="1"/>
    <col min="338" max="342" width="4.42578125" customWidth="1"/>
    <col min="343" max="344" width="4.42578125" style="447" customWidth="1"/>
    <col min="345" max="349" width="4.42578125" customWidth="1"/>
    <col min="350" max="351" width="4.42578125" style="447" customWidth="1"/>
    <col min="352" max="356" width="4.42578125" customWidth="1"/>
    <col min="357" max="358" width="4.42578125" style="447" customWidth="1"/>
    <col min="359" max="363" width="4.42578125" customWidth="1"/>
    <col min="364" max="365" width="4.42578125" style="447" customWidth="1"/>
    <col min="366" max="370" width="4.42578125" customWidth="1"/>
    <col min="371" max="372" width="4.42578125" style="447" customWidth="1"/>
    <col min="373" max="377" width="4.42578125" customWidth="1"/>
    <col min="378" max="379" width="4.42578125" style="447" customWidth="1"/>
    <col min="380" max="412" width="4.42578125" customWidth="1"/>
  </cols>
  <sheetData>
    <row r="1" spans="1:412" s="1529" customFormat="1" ht="15.75" x14ac:dyDescent="0.25">
      <c r="A1" s="1528"/>
      <c r="R1" s="1530" t="s">
        <v>384</v>
      </c>
      <c r="S1" s="1531"/>
      <c r="T1" s="1531"/>
      <c r="U1" s="1531"/>
      <c r="V1" s="1531"/>
      <c r="W1" s="1531"/>
      <c r="X1" s="1531"/>
      <c r="Y1" s="1531"/>
      <c r="Z1" s="1531"/>
      <c r="AA1" s="1531"/>
      <c r="AB1" s="1531"/>
      <c r="AC1" s="1531"/>
      <c r="AD1" s="1531"/>
      <c r="AE1" s="1531"/>
      <c r="AF1" s="1531"/>
      <c r="AG1" s="1531"/>
      <c r="AH1" s="1531"/>
      <c r="AI1" s="1531"/>
      <c r="AJ1" s="1531"/>
      <c r="AK1" s="1531"/>
      <c r="AL1" s="1531"/>
      <c r="AM1" s="1531"/>
      <c r="AN1" s="1531"/>
      <c r="AO1" s="1531"/>
      <c r="AP1" s="1531"/>
      <c r="AQ1" s="1531"/>
      <c r="AR1" s="1531"/>
      <c r="AS1" s="1531"/>
      <c r="AT1" s="1531"/>
      <c r="AU1" s="1531"/>
      <c r="AV1" s="1532" t="s">
        <v>385</v>
      </c>
      <c r="CA1" s="1533" t="s">
        <v>406</v>
      </c>
      <c r="CB1" s="1531"/>
      <c r="CC1" s="1531"/>
      <c r="CD1" s="1531"/>
      <c r="CE1" s="1531"/>
      <c r="CF1" s="1531"/>
      <c r="CG1" s="1531"/>
      <c r="CH1" s="1531"/>
      <c r="CI1" s="1531"/>
      <c r="CJ1" s="1531"/>
      <c r="CK1" s="1531"/>
      <c r="CL1" s="1531"/>
      <c r="CM1" s="1531"/>
      <c r="CN1" s="1531"/>
      <c r="CO1" s="1531"/>
      <c r="CP1" s="1531"/>
      <c r="CQ1" s="1531"/>
      <c r="CR1" s="1531"/>
      <c r="CS1" s="1531"/>
      <c r="CT1" s="1531"/>
      <c r="CU1" s="1531"/>
      <c r="CV1" s="1531"/>
      <c r="CW1" s="1531"/>
      <c r="CX1" s="1531"/>
      <c r="CY1" s="1531"/>
      <c r="CZ1" s="1531"/>
      <c r="DA1" s="1531"/>
      <c r="DB1" s="1531"/>
      <c r="DC1" s="1531"/>
      <c r="DD1" s="1531"/>
      <c r="DE1" s="1534" t="s">
        <v>458</v>
      </c>
      <c r="DF1" s="1535"/>
      <c r="DG1" s="1535"/>
      <c r="DH1" s="1535"/>
      <c r="DI1" s="1535"/>
      <c r="DJ1" s="1535"/>
      <c r="DK1" s="1535"/>
      <c r="DL1" s="1535"/>
      <c r="DM1" s="1535"/>
      <c r="DN1" s="1535"/>
      <c r="DO1" s="1535"/>
      <c r="DP1" s="1535"/>
      <c r="DQ1" s="1535"/>
      <c r="DR1" s="1535"/>
      <c r="DS1" s="1535"/>
      <c r="DT1" s="1535"/>
      <c r="DU1" s="1535"/>
      <c r="DV1" s="1535"/>
      <c r="DW1" s="1535"/>
      <c r="DX1" s="1535"/>
      <c r="DY1" s="1535"/>
      <c r="DZ1" s="1535"/>
      <c r="EA1" s="1535"/>
      <c r="EB1" s="1535"/>
      <c r="EC1" s="1535"/>
      <c r="ED1" s="1535"/>
      <c r="EE1" s="1535"/>
      <c r="EF1" s="1535"/>
      <c r="EG1" s="1535"/>
      <c r="EH1" s="1535"/>
      <c r="EI1" s="1535"/>
      <c r="EJ1" s="1536" t="s">
        <v>606</v>
      </c>
      <c r="EK1" s="1537"/>
      <c r="EL1" s="1537"/>
      <c r="EM1" s="1537"/>
      <c r="EN1" s="1537"/>
      <c r="EO1" s="1537"/>
      <c r="EP1" s="1537"/>
      <c r="EQ1" s="1537"/>
      <c r="ER1" s="1537"/>
      <c r="ES1" s="1537"/>
      <c r="ET1" s="1537"/>
      <c r="EU1" s="1537"/>
      <c r="EV1" s="1537"/>
      <c r="EW1" s="1537"/>
      <c r="EX1" s="1537"/>
      <c r="EY1" s="1537"/>
      <c r="EZ1" s="1537"/>
      <c r="FA1" s="1537"/>
      <c r="FB1" s="1537"/>
      <c r="FC1" s="1537"/>
      <c r="FD1" s="1537"/>
      <c r="FE1" s="1537"/>
      <c r="FF1" s="1537"/>
      <c r="FG1" s="1537"/>
      <c r="FH1" s="1537"/>
      <c r="FI1" s="1537"/>
      <c r="FJ1" s="1537"/>
      <c r="FK1" s="1537"/>
      <c r="FL1" s="1537"/>
      <c r="FM1" s="1537"/>
      <c r="FN1" s="1538"/>
      <c r="FO1" s="1539" t="s">
        <v>845</v>
      </c>
      <c r="FP1" s="1540"/>
      <c r="FQ1" s="1540"/>
      <c r="FR1" s="1540"/>
      <c r="FS1" s="1540"/>
      <c r="FT1" s="1540"/>
      <c r="FU1" s="1540"/>
      <c r="FV1" s="1540"/>
      <c r="FW1" s="1540"/>
      <c r="FX1" s="1540"/>
      <c r="FY1" s="1540"/>
      <c r="FZ1" s="1540"/>
      <c r="GA1" s="1540"/>
      <c r="GB1" s="1540"/>
      <c r="GC1" s="1540"/>
      <c r="GD1" s="1540"/>
      <c r="GE1" s="1540"/>
      <c r="GF1" s="1540"/>
      <c r="GG1" s="1540"/>
      <c r="GH1" s="1540"/>
      <c r="GI1" s="1540"/>
      <c r="GJ1" s="1540"/>
      <c r="GK1" s="1540"/>
      <c r="GL1" s="1540"/>
      <c r="GM1" s="1540"/>
      <c r="GN1" s="1540"/>
      <c r="GO1" s="1540"/>
      <c r="GP1" s="1540"/>
      <c r="GQ1" s="1540"/>
      <c r="GR1" s="1540"/>
      <c r="GS1" s="1528" t="s">
        <v>977</v>
      </c>
      <c r="GU1" s="1521"/>
      <c r="GV1" s="1521"/>
      <c r="HB1" s="1520"/>
      <c r="HC1" s="1520"/>
      <c r="HI1" s="1520"/>
      <c r="HJ1" s="1520"/>
      <c r="HP1" s="1520"/>
      <c r="HQ1" s="1520"/>
      <c r="HW1" s="1520"/>
      <c r="HX1" s="1541" t="s">
        <v>981</v>
      </c>
      <c r="HY1" s="1519"/>
      <c r="HZ1" s="1519"/>
      <c r="IA1" s="1520"/>
      <c r="IB1" s="1519"/>
      <c r="IC1" s="1519"/>
      <c r="ID1" s="1519"/>
      <c r="IE1" s="1519"/>
      <c r="IF1" s="1519"/>
      <c r="IG1" s="1519"/>
      <c r="IH1" s="1519"/>
      <c r="II1" s="1519"/>
      <c r="IJ1" s="1519"/>
      <c r="IK1" s="1519"/>
      <c r="IL1" s="1519"/>
      <c r="IM1" s="1519"/>
      <c r="IN1" s="1519"/>
      <c r="IO1" s="1519"/>
      <c r="IP1" s="1519"/>
      <c r="IQ1" s="1519"/>
      <c r="IR1" s="1519"/>
      <c r="IS1" s="1519"/>
      <c r="IT1" s="1519"/>
      <c r="IU1" s="1519"/>
      <c r="IV1" s="1519"/>
      <c r="IW1" s="1519"/>
      <c r="IX1" s="1519"/>
      <c r="IY1" s="1519"/>
      <c r="IZ1" s="1519"/>
      <c r="JA1" s="1519"/>
      <c r="JB1" s="1542" t="s">
        <v>991</v>
      </c>
      <c r="JC1" s="1543"/>
      <c r="JD1" s="1543"/>
      <c r="JE1" s="1543"/>
      <c r="JF1" s="1543"/>
      <c r="JG1" s="1543"/>
      <c r="JH1" s="1543"/>
      <c r="JI1" s="1543"/>
      <c r="JJ1" s="1543"/>
      <c r="JK1" s="1543"/>
      <c r="JL1" s="1543"/>
      <c r="JM1" s="1543"/>
      <c r="JN1" s="1543"/>
      <c r="JO1" s="1543"/>
      <c r="JP1" s="1543"/>
      <c r="JQ1" s="1543"/>
      <c r="JR1" s="1543"/>
      <c r="JS1" s="1543"/>
      <c r="JT1" s="1543"/>
      <c r="JU1" s="1543"/>
      <c r="JV1" s="1543"/>
      <c r="JW1" s="1543"/>
      <c r="JX1" s="1543"/>
      <c r="JY1" s="1543"/>
      <c r="JZ1" s="1543"/>
      <c r="KA1" s="1543"/>
      <c r="KB1" s="1543"/>
      <c r="KC1" s="1543"/>
      <c r="KD1" s="1543"/>
      <c r="KE1" s="1543"/>
      <c r="KF1" s="1543"/>
      <c r="KG1" s="1544" t="s">
        <v>145</v>
      </c>
      <c r="KH1" s="1520"/>
      <c r="KI1" s="1520"/>
      <c r="KJ1" s="1545"/>
      <c r="KK1" s="472"/>
      <c r="KL1" s="472"/>
      <c r="KM1" s="1545"/>
      <c r="KN1" s="1545"/>
      <c r="KO1" s="1520"/>
      <c r="KP1" s="1520"/>
      <c r="KQ1" s="1545"/>
      <c r="KR1" s="472"/>
      <c r="KS1" s="472"/>
      <c r="KT1" s="1545"/>
      <c r="KU1" s="1545"/>
      <c r="KV1" s="1520"/>
      <c r="KW1" s="1520"/>
      <c r="KX1" s="1545"/>
      <c r="KY1" s="472"/>
      <c r="KZ1" s="472"/>
      <c r="LA1" s="1545"/>
      <c r="LB1" s="1545"/>
      <c r="LC1" s="1520"/>
      <c r="LD1" s="1520"/>
      <c r="LE1" s="1545"/>
      <c r="LF1" s="472"/>
      <c r="LG1" s="472"/>
      <c r="LH1" s="1545"/>
      <c r="LI1" s="1545"/>
      <c r="LJ1" s="1520"/>
      <c r="LK1" s="1520"/>
      <c r="LL1" s="1529" t="s">
        <v>151</v>
      </c>
      <c r="LQ1" s="1520"/>
      <c r="LR1" s="1520"/>
      <c r="LX1" s="1520"/>
      <c r="LY1" s="1520"/>
      <c r="ME1" s="1520"/>
      <c r="MF1" s="1520"/>
      <c r="ML1" s="1520"/>
      <c r="MM1" s="1520"/>
      <c r="MN1" s="1546" t="s">
        <v>152</v>
      </c>
      <c r="MO1" s="1537"/>
      <c r="MP1" s="1537"/>
      <c r="MQ1" s="1537"/>
      <c r="MR1" s="1537"/>
      <c r="MS1" s="1520"/>
      <c r="MT1" s="1520"/>
      <c r="MU1" s="1537"/>
      <c r="MV1" s="1537"/>
      <c r="MW1" s="1537"/>
      <c r="MX1" s="1537"/>
      <c r="MY1" s="1537"/>
      <c r="MZ1" s="1520"/>
      <c r="NA1" s="1520"/>
      <c r="NB1" s="1537"/>
      <c r="NC1" s="1537"/>
      <c r="ND1" s="1537"/>
      <c r="NE1" s="1537"/>
      <c r="NF1" s="1537"/>
      <c r="NG1" s="1520"/>
      <c r="NH1" s="1520"/>
      <c r="NI1" s="1537"/>
      <c r="NJ1" s="1537"/>
      <c r="NK1" s="1537"/>
      <c r="NL1" s="1537"/>
      <c r="NM1" s="1537"/>
      <c r="NN1" s="1520"/>
      <c r="NO1" s="1520"/>
      <c r="NP1" s="1537"/>
      <c r="NQ1" s="1537"/>
      <c r="NR1" s="1537"/>
      <c r="NS1" s="1547" t="s">
        <v>384</v>
      </c>
      <c r="NT1" s="1548"/>
      <c r="NU1" s="1548"/>
      <c r="NV1" s="1548"/>
      <c r="NW1" s="1548"/>
      <c r="NX1" s="1548"/>
      <c r="NY1" s="1548"/>
      <c r="NZ1" s="1548"/>
      <c r="OA1" s="1548"/>
      <c r="OB1" s="1548"/>
      <c r="OC1" s="1548"/>
      <c r="OD1" s="1548"/>
      <c r="OE1" s="1548"/>
      <c r="OF1" s="1548"/>
      <c r="OG1" s="1548"/>
      <c r="OH1" s="1548"/>
      <c r="OI1" s="1548"/>
      <c r="OJ1" s="1548"/>
      <c r="OK1" s="1548"/>
      <c r="OL1" s="1548"/>
      <c r="OM1" s="1548"/>
      <c r="ON1" s="1548"/>
      <c r="OO1" s="1548"/>
      <c r="OP1" s="1548"/>
      <c r="OQ1" s="1548"/>
      <c r="OR1" s="1548"/>
      <c r="OS1" s="1548"/>
      <c r="OT1" s="1548"/>
      <c r="OU1" s="1548"/>
      <c r="OV1" s="1548"/>
    </row>
    <row r="2" spans="1:412" x14ac:dyDescent="0.25">
      <c r="B2" s="586">
        <v>16</v>
      </c>
      <c r="C2" s="586">
        <v>17</v>
      </c>
      <c r="D2" s="586">
        <v>18</v>
      </c>
      <c r="E2" s="586">
        <v>19</v>
      </c>
      <c r="F2" s="586">
        <v>20</v>
      </c>
      <c r="G2" s="587">
        <v>21</v>
      </c>
      <c r="H2" s="587">
        <v>22</v>
      </c>
      <c r="I2" s="586">
        <v>23</v>
      </c>
      <c r="J2" s="586">
        <v>24</v>
      </c>
      <c r="K2" s="586">
        <v>25</v>
      </c>
      <c r="L2" s="586">
        <v>26</v>
      </c>
      <c r="M2" s="586">
        <v>27</v>
      </c>
      <c r="N2" s="587">
        <v>28</v>
      </c>
      <c r="O2" s="587">
        <v>29</v>
      </c>
      <c r="P2" s="586">
        <v>30</v>
      </c>
      <c r="Q2" s="586">
        <v>31</v>
      </c>
      <c r="R2" s="592">
        <v>1</v>
      </c>
      <c r="S2" s="586">
        <v>2</v>
      </c>
      <c r="T2" s="586">
        <v>3</v>
      </c>
      <c r="U2" s="588">
        <v>4</v>
      </c>
      <c r="V2" s="588">
        <v>5</v>
      </c>
      <c r="W2" s="586">
        <v>6</v>
      </c>
      <c r="X2" s="586">
        <v>7</v>
      </c>
      <c r="Y2" s="586">
        <v>8</v>
      </c>
      <c r="Z2" s="586">
        <v>9</v>
      </c>
      <c r="AA2" s="586">
        <v>10</v>
      </c>
      <c r="AB2" s="449">
        <v>11</v>
      </c>
      <c r="AC2" s="449">
        <v>12</v>
      </c>
      <c r="AD2" s="586">
        <v>13</v>
      </c>
      <c r="AE2" s="586">
        <v>14</v>
      </c>
      <c r="AF2" s="586">
        <v>15</v>
      </c>
      <c r="AG2" s="586">
        <v>16</v>
      </c>
      <c r="AH2" s="586">
        <v>17</v>
      </c>
      <c r="AI2" s="449">
        <v>18</v>
      </c>
      <c r="AJ2" s="449">
        <v>19</v>
      </c>
      <c r="AK2" s="586">
        <v>20</v>
      </c>
      <c r="AL2" s="586">
        <v>21</v>
      </c>
      <c r="AM2" s="586">
        <v>22</v>
      </c>
      <c r="AN2" s="586">
        <v>23</v>
      </c>
      <c r="AO2" s="586">
        <v>24</v>
      </c>
      <c r="AP2" s="449">
        <v>25</v>
      </c>
      <c r="AQ2" s="449">
        <v>26</v>
      </c>
      <c r="AR2" s="586">
        <v>27</v>
      </c>
      <c r="AS2" s="586">
        <v>28</v>
      </c>
      <c r="AT2" s="586">
        <v>29</v>
      </c>
      <c r="AU2" s="586">
        <v>30</v>
      </c>
      <c r="AV2" s="467">
        <v>1</v>
      </c>
      <c r="AW2" s="449">
        <v>2</v>
      </c>
      <c r="AX2" s="449">
        <v>3</v>
      </c>
      <c r="AY2" s="911">
        <v>4</v>
      </c>
      <c r="AZ2" s="586">
        <v>5</v>
      </c>
      <c r="BA2" s="586">
        <v>6</v>
      </c>
      <c r="BB2" s="586">
        <v>7</v>
      </c>
      <c r="BC2" s="586">
        <v>8</v>
      </c>
      <c r="BD2" s="449">
        <v>9</v>
      </c>
      <c r="BE2" s="449">
        <v>10</v>
      </c>
      <c r="BF2" s="449">
        <v>11</v>
      </c>
      <c r="BG2" s="911">
        <v>12</v>
      </c>
      <c r="BH2" s="586">
        <v>13</v>
      </c>
      <c r="BI2" s="586">
        <v>14</v>
      </c>
      <c r="BJ2" s="586">
        <v>15</v>
      </c>
      <c r="BK2" s="449">
        <v>16</v>
      </c>
      <c r="BL2" s="449">
        <v>17</v>
      </c>
      <c r="BM2" s="586">
        <v>18</v>
      </c>
      <c r="BN2" s="76">
        <v>19</v>
      </c>
      <c r="BO2" s="586">
        <v>20</v>
      </c>
      <c r="BP2" s="586">
        <v>21</v>
      </c>
      <c r="BQ2" s="586">
        <v>22</v>
      </c>
      <c r="BR2" s="449">
        <v>23</v>
      </c>
      <c r="BS2" s="449">
        <v>24</v>
      </c>
      <c r="BT2" s="586">
        <v>25</v>
      </c>
      <c r="BU2" s="586">
        <v>26</v>
      </c>
      <c r="BV2" s="76">
        <v>27</v>
      </c>
      <c r="BW2" s="76">
        <v>28</v>
      </c>
      <c r="BX2" s="76">
        <v>29</v>
      </c>
      <c r="BY2" s="108">
        <v>30</v>
      </c>
      <c r="BZ2" s="108">
        <v>31</v>
      </c>
      <c r="CA2" s="76">
        <v>1</v>
      </c>
      <c r="CB2" s="76">
        <v>2</v>
      </c>
      <c r="CC2" s="76">
        <v>3</v>
      </c>
      <c r="CD2" s="76">
        <v>4</v>
      </c>
      <c r="CE2" s="76">
        <v>5</v>
      </c>
      <c r="CF2" s="108">
        <v>6</v>
      </c>
      <c r="CG2" s="1042">
        <v>7</v>
      </c>
      <c r="CH2" s="76">
        <v>8</v>
      </c>
      <c r="CI2" s="76">
        <v>9</v>
      </c>
      <c r="CJ2" s="586">
        <v>10</v>
      </c>
      <c r="CK2" s="586">
        <v>11</v>
      </c>
      <c r="CL2" s="448">
        <v>12</v>
      </c>
      <c r="CM2" s="448">
        <v>13</v>
      </c>
      <c r="CN2" s="448">
        <v>14</v>
      </c>
      <c r="CO2" s="586">
        <v>15</v>
      </c>
      <c r="CP2" s="586">
        <v>16</v>
      </c>
      <c r="CQ2" s="911">
        <v>17</v>
      </c>
      <c r="CR2" s="911">
        <v>18</v>
      </c>
      <c r="CS2" s="911">
        <v>19</v>
      </c>
      <c r="CT2" s="448">
        <v>20</v>
      </c>
      <c r="CU2" s="448">
        <v>21</v>
      </c>
      <c r="CV2" s="911">
        <v>22</v>
      </c>
      <c r="CW2" s="911">
        <v>23</v>
      </c>
      <c r="CX2" s="911">
        <v>24</v>
      </c>
      <c r="CY2" s="911">
        <v>25</v>
      </c>
      <c r="CZ2" s="911">
        <v>26</v>
      </c>
      <c r="DA2" s="448">
        <v>27</v>
      </c>
      <c r="DB2" s="448">
        <v>28</v>
      </c>
      <c r="DC2" s="911">
        <v>29</v>
      </c>
      <c r="DD2" s="911">
        <v>30</v>
      </c>
      <c r="DE2" s="1265">
        <v>1</v>
      </c>
      <c r="DF2" s="911">
        <v>2</v>
      </c>
      <c r="DG2" s="911">
        <v>3</v>
      </c>
      <c r="DH2" s="448">
        <v>4</v>
      </c>
      <c r="DI2" s="448">
        <v>5</v>
      </c>
      <c r="DJ2" s="911">
        <v>6</v>
      </c>
      <c r="DK2" s="911">
        <v>7</v>
      </c>
      <c r="DL2" s="911">
        <v>8</v>
      </c>
      <c r="DM2" s="911">
        <v>9</v>
      </c>
      <c r="DN2" s="911">
        <v>10</v>
      </c>
      <c r="DO2" s="448">
        <v>11</v>
      </c>
      <c r="DP2" s="448">
        <v>12</v>
      </c>
      <c r="DQ2" s="1345">
        <v>13</v>
      </c>
      <c r="DR2" s="1345">
        <v>14</v>
      </c>
      <c r="DS2" s="1345">
        <v>15</v>
      </c>
      <c r="DT2" s="1345">
        <v>16</v>
      </c>
      <c r="DU2" s="1345">
        <v>17</v>
      </c>
      <c r="DV2" s="448">
        <v>18</v>
      </c>
      <c r="DW2" s="448">
        <v>19</v>
      </c>
      <c r="DX2" s="1345">
        <v>20</v>
      </c>
      <c r="DY2" s="1345">
        <v>21</v>
      </c>
      <c r="DZ2" s="1345">
        <v>22</v>
      </c>
      <c r="EA2" s="1345">
        <v>23</v>
      </c>
      <c r="EB2" s="1345">
        <v>24</v>
      </c>
      <c r="EC2" s="448">
        <v>25</v>
      </c>
      <c r="ED2" s="448">
        <v>26</v>
      </c>
      <c r="EE2" s="1345">
        <v>27</v>
      </c>
      <c r="EF2" s="1345">
        <v>28</v>
      </c>
      <c r="EG2" s="1345">
        <v>29</v>
      </c>
      <c r="EH2" s="1345">
        <v>30</v>
      </c>
      <c r="EI2" s="1345">
        <v>31</v>
      </c>
      <c r="EJ2" s="1456">
        <v>1</v>
      </c>
      <c r="EK2" s="1183">
        <v>2</v>
      </c>
      <c r="EL2" s="1345">
        <v>3</v>
      </c>
      <c r="EM2" s="1345">
        <v>4</v>
      </c>
      <c r="EN2" s="1345">
        <v>5</v>
      </c>
      <c r="EO2" s="460">
        <v>6</v>
      </c>
      <c r="EP2" s="460">
        <v>7</v>
      </c>
      <c r="EQ2" s="449">
        <v>8</v>
      </c>
      <c r="ER2" s="449">
        <v>9</v>
      </c>
      <c r="ES2" s="460">
        <v>10</v>
      </c>
      <c r="ET2" s="460">
        <v>11</v>
      </c>
      <c r="EU2" s="460">
        <v>12</v>
      </c>
      <c r="EV2" s="460">
        <v>13</v>
      </c>
      <c r="EW2" s="460">
        <v>14</v>
      </c>
      <c r="EX2" s="925">
        <v>15</v>
      </c>
      <c r="EY2" s="925">
        <v>16</v>
      </c>
      <c r="EZ2" s="460">
        <v>17</v>
      </c>
      <c r="FA2" s="460">
        <v>18</v>
      </c>
      <c r="FB2" s="460">
        <v>19</v>
      </c>
      <c r="FC2" s="460">
        <v>20</v>
      </c>
      <c r="FD2" s="1480">
        <v>21</v>
      </c>
      <c r="FE2" s="925">
        <v>22</v>
      </c>
      <c r="FF2" s="925">
        <v>23</v>
      </c>
      <c r="FG2" s="460">
        <v>24</v>
      </c>
      <c r="FH2" s="460">
        <v>25</v>
      </c>
      <c r="FI2" s="460">
        <v>26</v>
      </c>
      <c r="FJ2" s="460">
        <v>27</v>
      </c>
      <c r="FK2" s="460">
        <v>28</v>
      </c>
      <c r="FL2" s="925">
        <v>29</v>
      </c>
      <c r="FM2" s="925">
        <v>30</v>
      </c>
      <c r="FN2" s="1186">
        <v>31</v>
      </c>
      <c r="FO2" s="276">
        <v>1</v>
      </c>
      <c r="FP2" s="460">
        <v>2</v>
      </c>
      <c r="FQ2" s="460">
        <v>3</v>
      </c>
      <c r="FR2" s="460">
        <v>4</v>
      </c>
      <c r="FS2" s="1183">
        <v>5</v>
      </c>
      <c r="FT2" s="1183">
        <v>6</v>
      </c>
      <c r="FU2" s="460">
        <v>7</v>
      </c>
      <c r="FV2" s="460">
        <v>8</v>
      </c>
      <c r="FW2" s="460">
        <v>9</v>
      </c>
      <c r="FX2" s="460">
        <v>10</v>
      </c>
      <c r="FY2" s="460">
        <v>11</v>
      </c>
      <c r="FZ2" s="1183">
        <v>12</v>
      </c>
      <c r="GA2" s="1183">
        <v>13</v>
      </c>
      <c r="GB2" s="460">
        <v>14</v>
      </c>
      <c r="GC2" s="460">
        <v>15</v>
      </c>
      <c r="GD2" s="460">
        <v>16</v>
      </c>
      <c r="GE2" s="460">
        <v>17</v>
      </c>
      <c r="GF2" s="460">
        <v>18</v>
      </c>
      <c r="GG2" s="1183">
        <v>19</v>
      </c>
      <c r="GH2" s="1183">
        <v>20</v>
      </c>
      <c r="GI2" s="460">
        <v>21</v>
      </c>
      <c r="GJ2" s="460">
        <v>22</v>
      </c>
      <c r="GK2" s="460">
        <v>23</v>
      </c>
      <c r="GL2" s="460">
        <v>24</v>
      </c>
      <c r="GM2" s="460">
        <v>25</v>
      </c>
      <c r="GN2" s="1183">
        <v>26</v>
      </c>
      <c r="GO2" s="1183">
        <v>27</v>
      </c>
      <c r="GP2" s="460">
        <v>28</v>
      </c>
      <c r="GQ2" s="460">
        <v>29</v>
      </c>
      <c r="GR2" s="460">
        <v>30</v>
      </c>
      <c r="GS2" s="276">
        <v>1</v>
      </c>
      <c r="GT2" s="460">
        <v>2</v>
      </c>
      <c r="GU2" s="1462">
        <v>3</v>
      </c>
      <c r="GV2" s="1462">
        <v>4</v>
      </c>
      <c r="GW2" s="460">
        <v>5</v>
      </c>
      <c r="GX2" s="460">
        <v>6</v>
      </c>
      <c r="GY2" s="460">
        <v>7</v>
      </c>
      <c r="GZ2" s="460">
        <v>8</v>
      </c>
      <c r="HA2" s="460">
        <v>9</v>
      </c>
      <c r="HB2" s="1183">
        <v>10</v>
      </c>
      <c r="HC2" s="1183">
        <v>11</v>
      </c>
      <c r="HD2" s="460">
        <v>12</v>
      </c>
      <c r="HE2" s="460">
        <v>13</v>
      </c>
      <c r="HF2" s="460">
        <v>14</v>
      </c>
      <c r="HG2" s="460">
        <v>15</v>
      </c>
      <c r="HH2" s="460">
        <v>16</v>
      </c>
      <c r="HI2" s="449">
        <v>17</v>
      </c>
      <c r="HJ2" s="449">
        <v>18</v>
      </c>
      <c r="HK2" s="460">
        <v>19</v>
      </c>
      <c r="HL2" s="460">
        <v>20</v>
      </c>
      <c r="HM2" s="460">
        <v>21</v>
      </c>
      <c r="HN2" s="460">
        <v>22</v>
      </c>
      <c r="HO2" s="460">
        <v>23</v>
      </c>
      <c r="HP2" s="448">
        <v>24</v>
      </c>
      <c r="HQ2" s="448">
        <v>25</v>
      </c>
      <c r="HR2" s="460">
        <v>26</v>
      </c>
      <c r="HS2" s="460">
        <v>27</v>
      </c>
      <c r="HT2" s="460">
        <v>28</v>
      </c>
      <c r="HU2" s="460">
        <v>29</v>
      </c>
      <c r="HV2" s="460">
        <v>30</v>
      </c>
      <c r="HW2" s="449">
        <v>31</v>
      </c>
      <c r="HX2" s="449">
        <v>1</v>
      </c>
      <c r="HY2" s="460">
        <v>2</v>
      </c>
      <c r="HZ2" s="1069">
        <v>3</v>
      </c>
      <c r="IA2" s="1462">
        <v>4</v>
      </c>
      <c r="IB2" s="460">
        <v>5</v>
      </c>
      <c r="IC2" s="460">
        <v>6</v>
      </c>
      <c r="ID2" s="449">
        <v>7</v>
      </c>
      <c r="IE2" s="449">
        <v>8</v>
      </c>
      <c r="IF2" s="460">
        <v>9</v>
      </c>
      <c r="IG2" s="460">
        <v>10</v>
      </c>
      <c r="IH2" s="460">
        <v>11</v>
      </c>
      <c r="II2" s="460">
        <v>12</v>
      </c>
      <c r="IJ2" s="460">
        <v>13</v>
      </c>
      <c r="IK2" s="449">
        <v>14</v>
      </c>
      <c r="IL2" s="449">
        <v>15</v>
      </c>
      <c r="IM2" s="460">
        <v>16</v>
      </c>
      <c r="IN2" s="456">
        <v>17</v>
      </c>
      <c r="IO2" s="456">
        <v>18</v>
      </c>
      <c r="IP2" s="460">
        <v>19</v>
      </c>
      <c r="IQ2" s="460">
        <v>20</v>
      </c>
      <c r="IR2" s="449">
        <v>21</v>
      </c>
      <c r="IS2" s="449">
        <v>22</v>
      </c>
      <c r="IT2" s="460">
        <v>23</v>
      </c>
      <c r="IU2" s="456">
        <v>24</v>
      </c>
      <c r="IV2" s="456">
        <v>25</v>
      </c>
      <c r="IW2" s="460">
        <v>26</v>
      </c>
      <c r="IX2" s="460">
        <v>27</v>
      </c>
      <c r="IY2" s="449">
        <v>28</v>
      </c>
      <c r="IZ2" s="449">
        <v>29</v>
      </c>
      <c r="JA2" s="460">
        <v>30</v>
      </c>
      <c r="JB2" s="81">
        <v>1</v>
      </c>
      <c r="JC2" s="460">
        <v>2</v>
      </c>
      <c r="JD2" s="1069">
        <v>3</v>
      </c>
      <c r="JE2" s="1069">
        <v>4</v>
      </c>
      <c r="JF2" s="449">
        <v>5</v>
      </c>
      <c r="JG2" s="449">
        <v>6</v>
      </c>
      <c r="JH2" s="460">
        <v>7</v>
      </c>
      <c r="JI2" s="460">
        <v>8</v>
      </c>
      <c r="JJ2" s="460">
        <v>9</v>
      </c>
      <c r="JK2" s="460">
        <v>10</v>
      </c>
      <c r="JL2" s="460">
        <v>11</v>
      </c>
      <c r="JM2" s="449">
        <v>12</v>
      </c>
      <c r="JN2" s="449">
        <v>13</v>
      </c>
      <c r="JO2" s="460">
        <v>14</v>
      </c>
      <c r="JP2" s="460">
        <v>15</v>
      </c>
      <c r="JQ2" s="460">
        <v>16</v>
      </c>
      <c r="JR2" s="456">
        <v>17</v>
      </c>
      <c r="JS2" s="456">
        <v>18</v>
      </c>
      <c r="JT2" s="449">
        <v>19</v>
      </c>
      <c r="JU2" s="449">
        <v>20</v>
      </c>
      <c r="JV2" s="460">
        <v>21</v>
      </c>
      <c r="JW2" s="460">
        <v>22</v>
      </c>
      <c r="JX2" s="460">
        <v>23</v>
      </c>
      <c r="JY2" s="456">
        <v>24</v>
      </c>
      <c r="JZ2" s="456">
        <v>25</v>
      </c>
      <c r="KA2" s="448">
        <v>26</v>
      </c>
      <c r="KB2" s="448">
        <v>27</v>
      </c>
      <c r="KC2" s="1511">
        <v>28</v>
      </c>
      <c r="KD2" s="1511">
        <v>29</v>
      </c>
      <c r="KE2" s="460">
        <v>30</v>
      </c>
      <c r="KF2" s="460">
        <v>31</v>
      </c>
      <c r="KG2" s="729">
        <v>1</v>
      </c>
      <c r="KH2" s="702">
        <v>2</v>
      </c>
      <c r="KI2" s="1518">
        <v>3</v>
      </c>
      <c r="KJ2" s="1525">
        <v>4</v>
      </c>
      <c r="KK2" s="729">
        <v>5</v>
      </c>
      <c r="KL2" s="729">
        <v>6</v>
      </c>
      <c r="KM2" s="729">
        <v>7</v>
      </c>
      <c r="KN2" s="729">
        <v>8</v>
      </c>
      <c r="KO2" s="702">
        <v>9</v>
      </c>
      <c r="KP2" s="702">
        <v>10</v>
      </c>
      <c r="KQ2" s="729">
        <v>11</v>
      </c>
      <c r="KR2" s="729">
        <v>12</v>
      </c>
      <c r="KS2" s="729">
        <v>13</v>
      </c>
      <c r="KT2" s="729">
        <v>14</v>
      </c>
      <c r="KU2" s="729">
        <v>15</v>
      </c>
      <c r="KV2" s="702">
        <v>16</v>
      </c>
      <c r="KW2" s="702">
        <v>17</v>
      </c>
      <c r="KX2" s="729">
        <v>18</v>
      </c>
      <c r="KY2" s="729">
        <v>19</v>
      </c>
      <c r="KZ2" s="729">
        <v>20</v>
      </c>
      <c r="LA2" s="729">
        <v>21</v>
      </c>
      <c r="LB2" s="729">
        <v>22</v>
      </c>
      <c r="LC2" s="702">
        <v>23</v>
      </c>
      <c r="LD2" s="702">
        <v>24</v>
      </c>
      <c r="LE2" s="729">
        <v>25</v>
      </c>
      <c r="LF2" s="729">
        <v>26</v>
      </c>
      <c r="LG2" s="729">
        <v>27</v>
      </c>
      <c r="LH2" s="1526">
        <v>28</v>
      </c>
      <c r="LI2" s="1526">
        <v>29</v>
      </c>
      <c r="LJ2" s="702">
        <v>30</v>
      </c>
      <c r="LK2" s="702">
        <v>31</v>
      </c>
      <c r="LL2" s="460">
        <v>1</v>
      </c>
      <c r="LM2" s="460">
        <v>2</v>
      </c>
      <c r="LN2" s="1069">
        <v>3</v>
      </c>
      <c r="LO2" s="1069">
        <v>4</v>
      </c>
      <c r="LP2" s="460">
        <v>5</v>
      </c>
      <c r="LQ2" s="1183">
        <v>6</v>
      </c>
      <c r="LR2" s="1183">
        <v>7</v>
      </c>
      <c r="LS2" s="460">
        <v>8</v>
      </c>
      <c r="LT2" s="460">
        <v>9</v>
      </c>
      <c r="LU2" s="460">
        <v>10</v>
      </c>
      <c r="LV2" s="460">
        <v>11</v>
      </c>
      <c r="LW2" s="460">
        <v>12</v>
      </c>
      <c r="LX2" s="1183">
        <v>13</v>
      </c>
      <c r="LY2" s="1183">
        <v>14</v>
      </c>
      <c r="LZ2" s="460">
        <v>15</v>
      </c>
      <c r="MA2" s="460">
        <v>16</v>
      </c>
      <c r="MB2" s="460">
        <v>17</v>
      </c>
      <c r="MC2" s="460">
        <v>18</v>
      </c>
      <c r="MD2" s="460">
        <v>19</v>
      </c>
      <c r="ME2" s="1183">
        <v>20</v>
      </c>
      <c r="MF2" s="1183">
        <v>21</v>
      </c>
      <c r="MG2" s="460">
        <v>22</v>
      </c>
      <c r="MH2" s="460">
        <v>23</v>
      </c>
      <c r="MI2" s="460">
        <v>24</v>
      </c>
      <c r="MJ2" s="460">
        <v>25</v>
      </c>
      <c r="MK2" s="460">
        <v>26</v>
      </c>
      <c r="ML2" s="1183">
        <v>27</v>
      </c>
      <c r="MM2" s="1183">
        <v>28</v>
      </c>
      <c r="MN2" s="460">
        <v>1</v>
      </c>
      <c r="MO2" s="460">
        <v>2</v>
      </c>
      <c r="MP2" s="1069">
        <v>3</v>
      </c>
      <c r="MQ2" s="1069">
        <v>4</v>
      </c>
      <c r="MR2" s="460">
        <v>5</v>
      </c>
      <c r="MS2" s="1183">
        <v>6</v>
      </c>
      <c r="MT2" s="1183">
        <v>7</v>
      </c>
      <c r="MU2" s="460">
        <v>8</v>
      </c>
      <c r="MV2" s="460">
        <v>9</v>
      </c>
      <c r="MW2" s="460">
        <v>10</v>
      </c>
      <c r="MX2" s="460">
        <v>11</v>
      </c>
      <c r="MY2" s="460">
        <v>12</v>
      </c>
      <c r="MZ2" s="1183">
        <v>13</v>
      </c>
      <c r="NA2" s="1183">
        <v>14</v>
      </c>
      <c r="NB2" s="460">
        <v>15</v>
      </c>
      <c r="NC2" s="460">
        <v>16</v>
      </c>
      <c r="ND2" s="460">
        <v>17</v>
      </c>
      <c r="NE2" s="460">
        <v>18</v>
      </c>
      <c r="NF2" s="460">
        <v>19</v>
      </c>
      <c r="NG2" s="1183">
        <v>20</v>
      </c>
      <c r="NH2" s="1183">
        <v>21</v>
      </c>
      <c r="NI2" s="460">
        <v>22</v>
      </c>
      <c r="NJ2" s="460">
        <v>23</v>
      </c>
      <c r="NK2" s="460">
        <v>24</v>
      </c>
      <c r="NL2" s="460">
        <v>25</v>
      </c>
      <c r="NM2" s="460">
        <v>26</v>
      </c>
      <c r="NN2" s="1183">
        <v>27</v>
      </c>
      <c r="NO2" s="1183">
        <v>28</v>
      </c>
      <c r="NP2" s="460">
        <v>29</v>
      </c>
      <c r="NQ2" s="460">
        <v>30</v>
      </c>
      <c r="NR2" s="460">
        <v>31</v>
      </c>
      <c r="NS2" s="460">
        <v>1</v>
      </c>
      <c r="NT2" s="460">
        <v>2</v>
      </c>
      <c r="NU2" s="1069">
        <v>3</v>
      </c>
      <c r="NV2" s="1069">
        <v>4</v>
      </c>
      <c r="NW2" s="460">
        <v>5</v>
      </c>
      <c r="NX2" s="460">
        <v>6</v>
      </c>
      <c r="NY2" s="460">
        <v>7</v>
      </c>
      <c r="NZ2" s="460">
        <v>8</v>
      </c>
      <c r="OA2" s="460">
        <v>9</v>
      </c>
      <c r="OB2" s="460">
        <v>10</v>
      </c>
      <c r="OC2" s="460">
        <v>11</v>
      </c>
      <c r="OD2" s="460">
        <v>12</v>
      </c>
      <c r="OE2" s="460">
        <v>13</v>
      </c>
      <c r="OF2" s="460">
        <v>14</v>
      </c>
      <c r="OG2" s="460">
        <v>15</v>
      </c>
      <c r="OH2" s="460">
        <v>16</v>
      </c>
      <c r="OI2" s="460">
        <v>17</v>
      </c>
      <c r="OJ2" s="460">
        <v>18</v>
      </c>
      <c r="OK2" s="460">
        <v>19</v>
      </c>
      <c r="OL2" s="460">
        <v>20</v>
      </c>
      <c r="OM2" s="460">
        <v>21</v>
      </c>
      <c r="ON2" s="460">
        <v>22</v>
      </c>
      <c r="OO2" s="460">
        <v>23</v>
      </c>
      <c r="OP2" s="460">
        <v>24</v>
      </c>
      <c r="OQ2" s="460">
        <v>25</v>
      </c>
      <c r="OR2" s="460">
        <v>26</v>
      </c>
      <c r="OS2" s="460">
        <v>27</v>
      </c>
      <c r="OT2" s="460">
        <v>28</v>
      </c>
      <c r="OU2" s="460">
        <v>29</v>
      </c>
      <c r="OV2" s="460">
        <v>30</v>
      </c>
    </row>
    <row r="3" spans="1:412" ht="16.899999999999999" customHeight="1" x14ac:dyDescent="0.25">
      <c r="A3" t="s">
        <v>190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586"/>
      <c r="N3" s="586"/>
      <c r="O3" s="586"/>
      <c r="P3" s="586"/>
      <c r="Q3" s="586"/>
      <c r="R3" s="592"/>
      <c r="S3" s="586"/>
      <c r="T3" s="586"/>
      <c r="W3" s="586"/>
      <c r="X3" s="586"/>
      <c r="Y3" s="586"/>
      <c r="Z3" s="586"/>
      <c r="AA3" s="586"/>
      <c r="AD3" s="586"/>
      <c r="AE3" s="586"/>
      <c r="AF3" s="586"/>
      <c r="AG3" s="586"/>
      <c r="AH3" s="586"/>
      <c r="AK3" s="586"/>
      <c r="AL3" s="586"/>
      <c r="AM3" s="586"/>
      <c r="AN3" s="586"/>
      <c r="AO3" s="586"/>
      <c r="AR3" s="586"/>
      <c r="AS3" s="586"/>
      <c r="AT3" s="586"/>
      <c r="AU3" s="586"/>
      <c r="AY3" s="587"/>
      <c r="AZ3" s="586"/>
      <c r="BB3" s="912" t="s">
        <v>387</v>
      </c>
      <c r="BC3" s="913"/>
      <c r="BD3" s="913"/>
      <c r="BE3" s="913"/>
      <c r="BF3" s="913"/>
      <c r="BG3" s="914"/>
      <c r="BH3" s="913"/>
      <c r="BX3" s="912" t="s">
        <v>387</v>
      </c>
      <c r="BY3" s="913"/>
      <c r="BZ3" s="913"/>
      <c r="CA3" s="913"/>
      <c r="CB3" s="913"/>
      <c r="CC3" s="913"/>
      <c r="CD3" s="913"/>
      <c r="CE3" s="913"/>
      <c r="DT3" s="458"/>
      <c r="EA3" s="589"/>
      <c r="FD3" s="458"/>
      <c r="GF3" s="473" t="s">
        <v>387</v>
      </c>
      <c r="GG3" s="473"/>
      <c r="GH3" s="473"/>
      <c r="GI3" s="473"/>
      <c r="GJ3" s="473"/>
      <c r="GK3" s="473"/>
      <c r="GL3" s="473"/>
      <c r="GM3" s="473"/>
      <c r="GN3" s="473"/>
      <c r="GO3" s="473"/>
      <c r="GP3" s="473"/>
      <c r="GQ3" s="473"/>
      <c r="GR3" s="473"/>
      <c r="GS3" s="473"/>
      <c r="GT3" s="473"/>
      <c r="GU3" s="1479"/>
      <c r="GV3" s="1479"/>
    </row>
    <row r="4" spans="1:412" s="1057" customFormat="1" ht="32.450000000000003" customHeight="1" x14ac:dyDescent="0.25">
      <c r="A4" s="1388" t="s">
        <v>955</v>
      </c>
      <c r="R4" s="1383"/>
      <c r="AV4" s="1383"/>
      <c r="AY4" s="1384"/>
      <c r="BG4" s="1384"/>
      <c r="CT4" s="1385"/>
      <c r="CU4" s="1385"/>
      <c r="DA4" s="1385"/>
      <c r="DB4" s="1385"/>
      <c r="DE4" s="1383"/>
      <c r="DH4" s="1385"/>
      <c r="DI4" s="1385"/>
      <c r="DO4" s="1385"/>
      <c r="DP4" s="1385"/>
      <c r="DV4" s="1385"/>
      <c r="DW4" s="1385"/>
      <c r="EC4" s="1385"/>
      <c r="ED4" s="1385"/>
      <c r="EJ4" s="1457"/>
      <c r="EQ4" s="1384"/>
      <c r="ER4" s="1384"/>
      <c r="EX4" s="1386"/>
      <c r="EY4" s="1386"/>
      <c r="FD4" s="1045"/>
      <c r="FE4" s="1386"/>
      <c r="FF4" s="1386"/>
      <c r="FL4" s="1386"/>
      <c r="FM4" s="1386"/>
      <c r="FN4" s="1387"/>
      <c r="GU4" s="1462"/>
      <c r="GV4" s="1462"/>
      <c r="HB4" s="1462"/>
      <c r="HC4" s="1462"/>
      <c r="HI4" s="1515"/>
      <c r="HJ4" s="1515"/>
      <c r="HP4" s="1462"/>
      <c r="HQ4" s="1462"/>
      <c r="HW4" s="1515"/>
      <c r="HX4" s="1515"/>
      <c r="IA4" s="1462"/>
      <c r="ID4" s="1515"/>
      <c r="IE4" s="1515"/>
      <c r="IK4" s="1515"/>
      <c r="IL4" s="1515"/>
      <c r="IR4" s="1515"/>
      <c r="IS4" s="1515"/>
      <c r="IY4" s="1462"/>
      <c r="IZ4" s="1462"/>
      <c r="JF4" s="1462"/>
      <c r="JG4" s="1462"/>
      <c r="JM4" s="1462"/>
      <c r="JN4" s="1462"/>
      <c r="JT4" s="1462"/>
      <c r="JU4" s="1462"/>
      <c r="KA4" s="1512"/>
      <c r="KB4" s="1512"/>
      <c r="KH4" s="1462"/>
      <c r="KI4" s="1462"/>
      <c r="KO4" s="1462"/>
      <c r="KP4" s="1462"/>
      <c r="KV4" s="1462"/>
      <c r="KW4" s="1462"/>
      <c r="LC4" s="1462"/>
      <c r="LD4" s="1462"/>
      <c r="LJ4" s="1462"/>
      <c r="LK4" s="1462"/>
      <c r="LQ4" s="1462"/>
      <c r="LR4" s="1462"/>
      <c r="LX4" s="1462"/>
      <c r="LY4" s="1462"/>
      <c r="ME4" s="1462"/>
      <c r="MF4" s="1462"/>
      <c r="ML4" s="1462"/>
      <c r="MM4" s="1462"/>
      <c r="MS4" s="1462"/>
      <c r="MT4" s="1462"/>
      <c r="MZ4" s="1462"/>
      <c r="NA4" s="1462"/>
      <c r="NG4" s="1462"/>
      <c r="NH4" s="1462"/>
      <c r="NN4" s="1462"/>
      <c r="NO4" s="1462"/>
    </row>
    <row r="5" spans="1:412" ht="16.899999999999999" customHeight="1" x14ac:dyDescent="0.25">
      <c r="A5" s="69" t="s">
        <v>391</v>
      </c>
      <c r="DT5" s="458"/>
      <c r="EA5" s="589"/>
      <c r="FD5" s="458"/>
    </row>
    <row r="6" spans="1:412" ht="16.899999999999999" customHeight="1" x14ac:dyDescent="0.25">
      <c r="A6" t="s">
        <v>251</v>
      </c>
      <c r="G6" s="449"/>
      <c r="H6" s="449"/>
      <c r="I6" s="595" t="s">
        <v>393</v>
      </c>
      <c r="J6" s="595"/>
      <c r="K6" s="595"/>
      <c r="L6" s="595"/>
      <c r="M6" s="595"/>
      <c r="N6" s="449"/>
      <c r="O6" s="449"/>
      <c r="P6" s="595"/>
      <c r="Q6" s="600"/>
      <c r="R6" s="596" t="s">
        <v>388</v>
      </c>
      <c r="S6" s="596"/>
      <c r="T6" s="601"/>
      <c r="U6" s="449"/>
      <c r="V6" s="449"/>
      <c r="W6" s="595" t="s">
        <v>454</v>
      </c>
      <c r="X6" s="595"/>
      <c r="Y6" s="595"/>
      <c r="Z6" s="597" t="s">
        <v>126</v>
      </c>
      <c r="AA6" s="597"/>
      <c r="AB6" s="449"/>
      <c r="AC6" s="449"/>
      <c r="AD6" s="602" t="s">
        <v>387</v>
      </c>
      <c r="AE6" s="602"/>
      <c r="AF6" s="602"/>
      <c r="AG6" s="602"/>
      <c r="AH6" s="473"/>
      <c r="AK6" s="595" t="s">
        <v>531</v>
      </c>
      <c r="AL6" s="82"/>
      <c r="AM6" s="82"/>
      <c r="AN6" s="82"/>
      <c r="AO6" s="82"/>
      <c r="AP6" s="449"/>
      <c r="AQ6" s="449"/>
      <c r="AR6" s="596" t="s">
        <v>388</v>
      </c>
      <c r="AS6" s="596"/>
      <c r="AT6" s="457" t="s">
        <v>559</v>
      </c>
      <c r="AU6" s="82"/>
      <c r="AY6" s="457" t="s">
        <v>559</v>
      </c>
      <c r="AZ6" s="82"/>
      <c r="BA6" s="82"/>
      <c r="BB6" s="82"/>
      <c r="BC6" s="82"/>
      <c r="CH6" s="595" t="s">
        <v>392</v>
      </c>
      <c r="CI6" s="595"/>
      <c r="CJ6" s="595"/>
      <c r="CK6" s="595"/>
      <c r="CL6" s="449"/>
      <c r="DJ6" s="729"/>
      <c r="DK6" s="729"/>
      <c r="DL6" s="729"/>
      <c r="DM6" s="729"/>
      <c r="DN6" s="729"/>
      <c r="DO6" s="702"/>
      <c r="DP6" s="702"/>
      <c r="DQ6" s="729"/>
      <c r="DR6" s="729"/>
      <c r="DS6" s="729"/>
      <c r="DT6" s="1362"/>
      <c r="DU6" s="729"/>
      <c r="DV6" s="702"/>
      <c r="DW6" s="702"/>
      <c r="DX6" s="729"/>
      <c r="DY6" s="729"/>
      <c r="DZ6" s="729"/>
      <c r="EA6" s="1389"/>
      <c r="EB6" s="729"/>
      <c r="EC6" s="702"/>
      <c r="ED6" s="702"/>
      <c r="EE6" s="729"/>
      <c r="EF6" s="729"/>
      <c r="EG6" s="1267"/>
      <c r="EH6" s="1267"/>
      <c r="EI6" s="1267"/>
      <c r="EJ6" s="1406"/>
      <c r="EK6" s="702"/>
      <c r="EL6" s="1267"/>
      <c r="EM6" s="1267"/>
      <c r="EN6" s="1267"/>
      <c r="EO6" s="1267"/>
      <c r="EP6" s="1267"/>
      <c r="EQ6" s="702"/>
      <c r="ER6" s="702"/>
      <c r="ES6" s="1390" t="s">
        <v>387</v>
      </c>
      <c r="ET6" s="1390"/>
      <c r="EU6" s="1390"/>
      <c r="EV6" s="1390"/>
      <c r="EW6" s="1390"/>
      <c r="FD6" s="458"/>
    </row>
    <row r="7" spans="1:412" ht="16.899999999999999" customHeight="1" x14ac:dyDescent="0.25">
      <c r="G7" s="449"/>
      <c r="H7" s="449"/>
      <c r="I7" s="597"/>
      <c r="J7" s="597"/>
      <c r="K7" s="597"/>
      <c r="L7" s="597"/>
      <c r="M7" s="597"/>
      <c r="N7" s="449"/>
      <c r="O7" s="449"/>
      <c r="P7" s="597"/>
      <c r="Q7" s="597"/>
      <c r="R7" s="603"/>
      <c r="S7" s="597"/>
      <c r="T7" s="597"/>
      <c r="U7" s="449"/>
      <c r="V7" s="449"/>
      <c r="W7" s="597"/>
      <c r="X7" s="597"/>
      <c r="Y7" s="597"/>
      <c r="Z7" s="597"/>
      <c r="AA7" s="597"/>
      <c r="AB7" s="449"/>
      <c r="AC7" s="449"/>
      <c r="AD7" s="597"/>
      <c r="AE7" s="597"/>
      <c r="AF7" s="597"/>
      <c r="AG7" s="597"/>
      <c r="AK7" s="597"/>
      <c r="AL7" s="452"/>
      <c r="AM7" s="452"/>
      <c r="AN7" s="452"/>
      <c r="AO7" s="452"/>
      <c r="AP7" s="449"/>
      <c r="AQ7" s="449"/>
      <c r="AR7" s="452"/>
      <c r="AS7" s="452"/>
      <c r="DJ7" s="729"/>
      <c r="DK7" s="729"/>
      <c r="DL7" s="729"/>
      <c r="DM7" s="729"/>
      <c r="DN7" s="729"/>
      <c r="DO7" s="702"/>
      <c r="DP7" s="702"/>
      <c r="DQ7" s="729"/>
      <c r="DR7" s="729"/>
      <c r="DS7" s="729"/>
      <c r="DT7" s="1362"/>
      <c r="DU7" s="729"/>
      <c r="DV7" s="702"/>
      <c r="DW7" s="702"/>
      <c r="DX7" s="729"/>
      <c r="DY7" s="729"/>
      <c r="DZ7" s="729"/>
      <c r="EA7" s="1389"/>
      <c r="EB7" s="729"/>
      <c r="EC7" s="702"/>
      <c r="ED7" s="702"/>
      <c r="EE7" s="729"/>
      <c r="EF7" s="729"/>
      <c r="EG7" s="1267"/>
      <c r="EH7" s="1267"/>
      <c r="EI7" s="1267"/>
      <c r="EJ7" s="1406"/>
      <c r="EK7" s="702"/>
      <c r="EL7" s="1267"/>
      <c r="EM7" s="1267"/>
      <c r="EN7" s="1267"/>
      <c r="EO7" s="1267"/>
      <c r="EP7" s="1267"/>
      <c r="EQ7" s="702"/>
      <c r="ER7" s="702"/>
      <c r="ES7" s="1267"/>
      <c r="ET7" s="1267"/>
      <c r="EU7" s="1267"/>
      <c r="EV7" s="1267"/>
      <c r="EW7" s="1267"/>
      <c r="FD7" s="458"/>
    </row>
    <row r="8" spans="1:412" ht="16.899999999999999" customHeight="1" x14ac:dyDescent="0.25">
      <c r="A8" s="69" t="s">
        <v>121</v>
      </c>
      <c r="G8" s="449"/>
      <c r="H8" s="449"/>
      <c r="I8" s="597"/>
      <c r="J8" s="597"/>
      <c r="K8" s="597"/>
      <c r="L8" s="597"/>
      <c r="M8" s="597"/>
      <c r="N8" s="449"/>
      <c r="O8" s="449"/>
      <c r="P8" s="597"/>
      <c r="Q8" s="597"/>
      <c r="R8" s="603"/>
      <c r="S8" s="597"/>
      <c r="T8" s="597"/>
      <c r="U8" s="449"/>
      <c r="V8" s="449"/>
      <c r="W8" s="597"/>
      <c r="X8" s="597"/>
      <c r="Y8" s="597"/>
      <c r="Z8" s="452"/>
      <c r="AA8" s="452"/>
      <c r="AB8" s="449"/>
      <c r="AC8" s="449"/>
      <c r="AD8" s="597"/>
      <c r="AE8" s="597"/>
      <c r="AG8" s="452"/>
      <c r="AH8" s="81"/>
      <c r="AK8" s="597"/>
      <c r="AL8" s="452"/>
      <c r="AM8" s="452"/>
      <c r="AN8" s="452"/>
      <c r="AO8" s="452"/>
      <c r="AP8" s="449"/>
      <c r="AQ8" s="449"/>
      <c r="AR8" s="452"/>
      <c r="AT8" s="614"/>
      <c r="BH8" s="597"/>
      <c r="BI8" s="452"/>
      <c r="BJ8" s="597"/>
      <c r="BK8" s="449"/>
      <c r="BL8" s="449"/>
      <c r="BM8" s="452"/>
      <c r="BN8" s="452"/>
      <c r="BO8" s="452"/>
      <c r="BP8" s="452"/>
      <c r="BQ8" s="452"/>
      <c r="BR8" s="449"/>
      <c r="BS8" s="449"/>
      <c r="BT8" s="452"/>
      <c r="BU8" s="452"/>
      <c r="BV8" s="452"/>
      <c r="BW8" s="452"/>
      <c r="BX8" s="452"/>
      <c r="BY8" s="449"/>
      <c r="BZ8" s="449"/>
      <c r="CA8" s="597"/>
      <c r="CB8" s="1070"/>
      <c r="CV8" s="1035"/>
      <c r="DC8" s="1035"/>
      <c r="DD8" s="1035"/>
      <c r="DE8" s="1071"/>
      <c r="DF8" s="1035"/>
      <c r="DG8" s="1035"/>
      <c r="DJ8" s="729"/>
      <c r="DK8" s="729"/>
      <c r="DL8" s="729"/>
      <c r="DM8" s="729"/>
      <c r="DN8" s="729"/>
      <c r="DO8" s="702"/>
      <c r="DP8" s="702"/>
      <c r="DQ8" s="729"/>
      <c r="DR8" s="729"/>
      <c r="DS8" s="729"/>
      <c r="DT8" s="1362"/>
      <c r="DU8" s="729"/>
      <c r="DV8" s="702"/>
      <c r="DW8" s="702"/>
      <c r="DX8" s="729"/>
      <c r="DY8" s="729"/>
      <c r="DZ8" s="729"/>
      <c r="EA8" s="1389"/>
      <c r="EB8" s="729"/>
      <c r="EC8" s="702"/>
      <c r="ED8" s="702"/>
      <c r="EE8" s="1278" t="s">
        <v>789</v>
      </c>
      <c r="EF8" s="1279"/>
      <c r="EG8" s="1279"/>
      <c r="EH8" s="1280"/>
      <c r="EI8" s="1267"/>
      <c r="EJ8" s="1406"/>
      <c r="EK8" s="702"/>
      <c r="EL8" s="1267"/>
      <c r="EM8" s="1267"/>
      <c r="EN8" s="1267"/>
      <c r="EO8" s="1267"/>
      <c r="EP8" s="1267"/>
      <c r="EQ8" s="702"/>
      <c r="ER8" s="702"/>
      <c r="ES8" s="1267"/>
      <c r="ET8" s="1267"/>
      <c r="EU8" s="1267"/>
      <c r="EV8" s="1267"/>
      <c r="EW8" s="1267"/>
      <c r="FD8" s="458"/>
    </row>
    <row r="9" spans="1:412" s="593" customFormat="1" ht="16.899999999999999" customHeight="1" x14ac:dyDescent="0.25">
      <c r="A9" s="593" t="s">
        <v>163</v>
      </c>
      <c r="B9" s="736" t="s">
        <v>389</v>
      </c>
      <c r="C9" s="736"/>
      <c r="D9" s="736"/>
      <c r="E9" s="736"/>
      <c r="F9" s="736"/>
      <c r="G9" s="626"/>
      <c r="H9" s="626"/>
      <c r="I9" s="734" t="s">
        <v>389</v>
      </c>
      <c r="J9" s="734"/>
      <c r="K9" s="734"/>
      <c r="L9" s="734"/>
      <c r="M9" s="734"/>
      <c r="N9" s="626"/>
      <c r="O9" s="626"/>
      <c r="P9" s="734"/>
      <c r="Q9" s="735" t="s">
        <v>390</v>
      </c>
      <c r="R9" s="734"/>
      <c r="S9" s="734"/>
      <c r="T9" s="734"/>
      <c r="U9" s="626"/>
      <c r="V9" s="626"/>
      <c r="W9" s="734" t="s">
        <v>390</v>
      </c>
      <c r="X9" s="734" t="s">
        <v>389</v>
      </c>
      <c r="Y9" s="734" t="s">
        <v>469</v>
      </c>
      <c r="Z9" s="734" t="s">
        <v>389</v>
      </c>
      <c r="AA9" s="734" t="s">
        <v>390</v>
      </c>
      <c r="AB9" s="626"/>
      <c r="AC9" s="626"/>
      <c r="AD9" s="732" t="s">
        <v>473</v>
      </c>
      <c r="AE9" s="636" t="s">
        <v>474</v>
      </c>
      <c r="AF9" s="732" t="s">
        <v>526</v>
      </c>
      <c r="AG9" s="730" t="s">
        <v>389</v>
      </c>
      <c r="AH9" s="733"/>
      <c r="AI9" s="611"/>
      <c r="AJ9" s="611"/>
      <c r="AK9" s="731" t="s">
        <v>542</v>
      </c>
      <c r="AL9" s="730" t="s">
        <v>390</v>
      </c>
      <c r="AM9" s="730"/>
      <c r="AN9" s="730"/>
      <c r="AO9" s="636" t="s">
        <v>474</v>
      </c>
      <c r="AP9" s="637"/>
      <c r="AQ9" s="637"/>
      <c r="AR9" s="730" t="s">
        <v>390</v>
      </c>
      <c r="AS9" s="732" t="s">
        <v>526</v>
      </c>
      <c r="AT9" s="890" t="s">
        <v>558</v>
      </c>
      <c r="AU9" s="891" t="s">
        <v>552</v>
      </c>
      <c r="AV9" s="639"/>
      <c r="AW9" s="611"/>
      <c r="AX9" s="611"/>
      <c r="AY9" s="915" t="s">
        <v>387</v>
      </c>
      <c r="AZ9" s="916"/>
      <c r="BA9" s="916"/>
      <c r="BB9" s="916"/>
      <c r="BC9" s="916"/>
      <c r="BD9" s="611"/>
      <c r="BE9" s="611"/>
      <c r="BF9" s="611"/>
      <c r="BG9" s="940" t="s">
        <v>553</v>
      </c>
      <c r="BH9" s="941"/>
      <c r="BI9" s="941"/>
      <c r="BJ9" s="942"/>
      <c r="BK9" s="637"/>
      <c r="BL9" s="637"/>
      <c r="BM9" s="943" t="s">
        <v>621</v>
      </c>
      <c r="BN9" s="975" t="s">
        <v>657</v>
      </c>
      <c r="BO9" s="976"/>
      <c r="BP9" s="976"/>
      <c r="BQ9" s="976"/>
      <c r="BR9" s="449"/>
      <c r="BS9" s="449"/>
      <c r="BT9" s="979"/>
      <c r="BU9" s="963" t="s">
        <v>641</v>
      </c>
      <c r="BV9" s="978" t="s">
        <v>657</v>
      </c>
      <c r="BW9" s="963" t="s">
        <v>642</v>
      </c>
      <c r="BX9" s="978" t="s">
        <v>656</v>
      </c>
      <c r="BY9" s="637"/>
      <c r="BZ9" s="637"/>
      <c r="CA9" s="975" t="s">
        <v>656</v>
      </c>
      <c r="CB9" s="976"/>
      <c r="CC9" s="976"/>
      <c r="CD9" s="976"/>
      <c r="CE9" s="977"/>
      <c r="CF9" s="611"/>
      <c r="CG9" s="733"/>
      <c r="CL9" s="611"/>
      <c r="CM9" s="611"/>
      <c r="CN9" s="611"/>
      <c r="CT9" s="641"/>
      <c r="CU9" s="641"/>
      <c r="CV9" s="1182" t="s">
        <v>841</v>
      </c>
      <c r="CW9" s="1035"/>
      <c r="CX9" s="1035"/>
      <c r="CY9" s="1072"/>
      <c r="CZ9" s="1072"/>
      <c r="DA9" s="641"/>
      <c r="DB9" s="641"/>
      <c r="DC9" s="1072"/>
      <c r="DD9" s="1072"/>
      <c r="DE9" s="1073"/>
      <c r="DF9" s="1264" t="s">
        <v>898</v>
      </c>
      <c r="DH9" s="641"/>
      <c r="DI9" s="641"/>
      <c r="DJ9" s="1391"/>
      <c r="DK9" s="1391"/>
      <c r="DL9" s="1391"/>
      <c r="DM9" s="1391"/>
      <c r="DN9" s="1391"/>
      <c r="DO9" s="1078"/>
      <c r="DP9" s="1078"/>
      <c r="DQ9" s="1391"/>
      <c r="DR9" s="1391"/>
      <c r="DS9" s="1391"/>
      <c r="DT9" s="1392"/>
      <c r="DU9" s="1391"/>
      <c r="DV9" s="702"/>
      <c r="DW9" s="702"/>
      <c r="DX9" s="1391"/>
      <c r="DY9" s="1391"/>
      <c r="DZ9" s="1391"/>
      <c r="EA9" s="1393"/>
      <c r="EB9" s="729"/>
      <c r="EC9" s="1078"/>
      <c r="ED9" s="1078"/>
      <c r="EE9" s="1392" t="s">
        <v>935</v>
      </c>
      <c r="EF9" s="1392"/>
      <c r="EG9" s="1392"/>
      <c r="EH9" s="1392"/>
      <c r="EI9" s="1392"/>
      <c r="EJ9" s="1458"/>
      <c r="EK9" s="1078"/>
      <c r="EL9" s="1390" t="s">
        <v>387</v>
      </c>
      <c r="EM9" s="1390"/>
      <c r="EN9" s="1390"/>
      <c r="EO9" s="1390"/>
      <c r="EP9" s="1390"/>
      <c r="EQ9" s="1078"/>
      <c r="ER9" s="1078"/>
      <c r="ES9" s="1390" t="s">
        <v>943</v>
      </c>
      <c r="ET9" s="1390"/>
      <c r="EU9" s="1390"/>
      <c r="EV9" s="1390"/>
      <c r="EW9" s="1390"/>
      <c r="EX9" s="641"/>
      <c r="EY9" s="641"/>
      <c r="EZ9" s="1074"/>
      <c r="FA9" s="1074"/>
      <c r="FB9" s="1074"/>
      <c r="FD9" s="733"/>
      <c r="FE9" s="931"/>
      <c r="FF9" s="931"/>
      <c r="FL9" s="931"/>
      <c r="FM9" s="931"/>
      <c r="FN9" s="1188"/>
      <c r="FO9" s="638"/>
      <c r="FP9" s="638"/>
      <c r="FQ9" s="638"/>
      <c r="FR9" s="638"/>
      <c r="FS9" s="611"/>
      <c r="FT9" s="611"/>
      <c r="FU9" s="638"/>
      <c r="FV9" s="638"/>
      <c r="FW9" s="638"/>
      <c r="FX9" s="638"/>
      <c r="FY9" s="638"/>
      <c r="FZ9" s="611"/>
      <c r="GA9" s="611"/>
      <c r="GB9" s="638"/>
      <c r="GC9" s="638"/>
      <c r="GD9" s="638"/>
      <c r="GE9" s="638"/>
      <c r="GF9" s="638"/>
      <c r="GG9" s="611"/>
      <c r="GH9" s="611"/>
      <c r="GI9" s="638"/>
      <c r="GJ9" s="638"/>
      <c r="GK9" s="638"/>
      <c r="GL9" s="638"/>
      <c r="GM9" s="638"/>
      <c r="GN9" s="611"/>
      <c r="GO9" s="611"/>
      <c r="GP9" s="638"/>
      <c r="GQ9" s="638"/>
      <c r="GR9" s="638"/>
      <c r="GU9" s="1463"/>
      <c r="GV9" s="1463"/>
      <c r="HB9" s="611"/>
      <c r="HC9" s="611"/>
      <c r="HI9" s="637"/>
      <c r="HJ9" s="637"/>
      <c r="HP9" s="611"/>
      <c r="HQ9" s="611"/>
      <c r="HW9" s="637"/>
      <c r="HX9" s="637"/>
      <c r="IA9" s="611"/>
      <c r="ID9" s="637"/>
      <c r="IE9" s="637"/>
      <c r="IK9" s="637"/>
      <c r="IL9" s="637"/>
      <c r="IR9" s="637"/>
      <c r="IS9" s="637"/>
      <c r="IY9" s="611"/>
      <c r="IZ9" s="611"/>
      <c r="JF9" s="611"/>
      <c r="JG9" s="611"/>
      <c r="JM9" s="611"/>
      <c r="JN9" s="611"/>
      <c r="JT9" s="611"/>
      <c r="JU9" s="611"/>
      <c r="KA9" s="641"/>
      <c r="KB9" s="641"/>
      <c r="KH9" s="611"/>
      <c r="KI9" s="611"/>
      <c r="KK9" s="638"/>
      <c r="KL9" s="638"/>
      <c r="KO9" s="611"/>
      <c r="KP9" s="611"/>
      <c r="KR9" s="638"/>
      <c r="KS9" s="638"/>
      <c r="KV9" s="611"/>
      <c r="KW9" s="611"/>
      <c r="KY9" s="638"/>
      <c r="KZ9" s="638"/>
      <c r="LC9" s="611"/>
      <c r="LD9" s="611"/>
      <c r="LF9" s="1074"/>
      <c r="LG9" s="1074"/>
      <c r="LJ9" s="611"/>
      <c r="LK9" s="611"/>
      <c r="LQ9" s="611"/>
      <c r="LR9" s="611"/>
      <c r="LX9" s="611"/>
      <c r="LY9" s="611"/>
      <c r="ME9" s="611"/>
      <c r="MF9" s="611"/>
      <c r="ML9" s="611"/>
      <c r="MM9" s="611"/>
      <c r="MS9" s="611"/>
      <c r="MT9" s="611"/>
      <c r="MZ9" s="611"/>
      <c r="NA9" s="611"/>
      <c r="NG9" s="611"/>
      <c r="NH9" s="611"/>
      <c r="NN9" s="611"/>
      <c r="NO9" s="611"/>
    </row>
    <row r="10" spans="1:412" ht="16.899999999999999" customHeight="1" x14ac:dyDescent="0.25">
      <c r="A10" t="s">
        <v>243</v>
      </c>
      <c r="AK10" s="597"/>
      <c r="AL10" s="452"/>
      <c r="AM10" s="452"/>
      <c r="AN10" s="727" t="s">
        <v>455</v>
      </c>
      <c r="AO10" s="452"/>
      <c r="AP10" s="449"/>
      <c r="AQ10" s="449"/>
      <c r="AR10" s="891" t="s">
        <v>548</v>
      </c>
      <c r="AY10" s="938" t="s">
        <v>563</v>
      </c>
      <c r="AZ10" s="939"/>
      <c r="BA10" s="939"/>
      <c r="BB10" s="939"/>
      <c r="BK10" s="449"/>
      <c r="BL10" s="449"/>
      <c r="BM10" s="737" t="s">
        <v>549</v>
      </c>
      <c r="BN10" s="452"/>
      <c r="BO10" s="597"/>
      <c r="BP10" s="952" t="s">
        <v>636</v>
      </c>
      <c r="BQ10" s="953"/>
      <c r="BR10" s="449"/>
      <c r="BS10" s="449"/>
      <c r="BT10" s="964" t="s">
        <v>644</v>
      </c>
      <c r="BU10" s="965"/>
      <c r="BV10" s="966"/>
      <c r="BW10" s="967" t="s">
        <v>643</v>
      </c>
      <c r="BX10" s="915"/>
      <c r="BY10" s="637"/>
      <c r="BZ10" s="637"/>
      <c r="CA10" s="967" t="s">
        <v>643</v>
      </c>
      <c r="CB10" s="964" t="s">
        <v>645</v>
      </c>
      <c r="CC10" s="965"/>
      <c r="CD10" s="965"/>
      <c r="CE10" s="966"/>
      <c r="CO10" s="449" t="s">
        <v>387</v>
      </c>
      <c r="CP10" s="447"/>
      <c r="CQ10" s="447"/>
      <c r="CR10" s="447"/>
      <c r="CS10" s="1175" t="s">
        <v>836</v>
      </c>
      <c r="CV10" s="1236" t="s">
        <v>836</v>
      </c>
      <c r="CW10" s="1047" t="s">
        <v>787</v>
      </c>
      <c r="CX10" s="1048"/>
      <c r="DD10" s="1047" t="s">
        <v>788</v>
      </c>
      <c r="DE10" s="1047" t="s">
        <v>123</v>
      </c>
      <c r="DF10" s="1259" t="s">
        <v>122</v>
      </c>
      <c r="DG10" s="1049" t="s">
        <v>787</v>
      </c>
      <c r="DJ10" s="729"/>
      <c r="DK10" s="729"/>
      <c r="DL10" s="729"/>
      <c r="DM10" s="729"/>
      <c r="DN10" s="729"/>
      <c r="DO10" s="702"/>
      <c r="DP10" s="702"/>
      <c r="DQ10" s="729"/>
      <c r="DR10" s="729"/>
      <c r="DS10" s="729"/>
      <c r="DT10" s="1362"/>
      <c r="DU10" s="729"/>
      <c r="DV10" s="702"/>
      <c r="DW10" s="702"/>
      <c r="DX10" s="729"/>
      <c r="DY10" s="729"/>
      <c r="DZ10" s="729"/>
      <c r="EA10" s="1389"/>
      <c r="EB10" s="729"/>
      <c r="EC10" s="702"/>
      <c r="ED10" s="702"/>
      <c r="EE10" s="729"/>
      <c r="EF10" s="729"/>
      <c r="EG10" s="1267"/>
      <c r="EH10" s="1267"/>
      <c r="EI10" s="1267"/>
      <c r="EJ10" s="1406"/>
      <c r="EK10" s="702"/>
      <c r="EL10" s="1267"/>
      <c r="EM10" s="1267"/>
      <c r="EN10" s="1267"/>
      <c r="EO10" s="1267"/>
      <c r="EP10" s="1267"/>
      <c r="EQ10" s="702"/>
      <c r="ER10" s="702"/>
      <c r="ES10" s="729"/>
      <c r="ET10" s="729"/>
      <c r="EU10" s="729"/>
      <c r="EV10" s="729"/>
      <c r="EW10" s="729"/>
      <c r="EX10" s="448"/>
      <c r="EY10" s="448"/>
      <c r="EZ10" s="456"/>
      <c r="FA10" s="456"/>
      <c r="FB10" s="456"/>
      <c r="FD10" s="458"/>
    </row>
    <row r="11" spans="1:412" ht="16.899999999999999" customHeight="1" x14ac:dyDescent="0.25">
      <c r="Y11" s="634" t="s">
        <v>456</v>
      </c>
      <c r="AH11" t="s">
        <v>126</v>
      </c>
      <c r="AK11" s="597"/>
      <c r="AL11" s="452"/>
      <c r="AM11" s="452"/>
      <c r="AN11" s="452"/>
      <c r="AO11" s="452"/>
      <c r="AP11" s="449"/>
      <c r="AQ11" s="449"/>
      <c r="AR11" s="452"/>
      <c r="BH11" s="452"/>
      <c r="BI11" s="452"/>
      <c r="BJ11" s="452"/>
      <c r="BK11" s="449"/>
      <c r="BL11" s="449"/>
      <c r="BM11" s="452"/>
      <c r="BN11" s="452"/>
      <c r="BO11" s="597"/>
      <c r="BP11" s="452"/>
      <c r="BQ11" s="452"/>
      <c r="BR11" s="449"/>
      <c r="BS11" s="449"/>
      <c r="BT11" s="452"/>
      <c r="BU11" s="597"/>
      <c r="BV11" s="452"/>
      <c r="BW11" s="452"/>
      <c r="BX11" s="452"/>
      <c r="BY11" s="449"/>
      <c r="BZ11" s="449"/>
      <c r="CA11" s="597"/>
      <c r="CV11" s="1035"/>
      <c r="CX11" s="1035"/>
      <c r="CY11" s="1035"/>
      <c r="DC11" s="1035"/>
      <c r="DD11" s="1035"/>
      <c r="DE11" s="1071"/>
      <c r="DF11" s="1035"/>
      <c r="DG11" s="1035"/>
      <c r="DJ11" s="729"/>
      <c r="DK11" s="729"/>
      <c r="DL11" s="729"/>
      <c r="DM11" s="729"/>
      <c r="DN11" s="729"/>
      <c r="DO11" s="702"/>
      <c r="DP11" s="702"/>
      <c r="DQ11" s="729"/>
      <c r="DR11" s="729"/>
      <c r="DS11" s="729"/>
      <c r="DT11" s="1362"/>
      <c r="DU11" s="729"/>
      <c r="DV11" s="702"/>
      <c r="DW11" s="702"/>
      <c r="DX11" s="729"/>
      <c r="DY11" s="729"/>
      <c r="DZ11" s="729"/>
      <c r="EA11" s="1389"/>
      <c r="EB11" s="729"/>
      <c r="EC11" s="702"/>
      <c r="ED11" s="702"/>
      <c r="EE11" s="729"/>
      <c r="EF11" s="729"/>
      <c r="EG11" s="1267"/>
      <c r="EH11" s="1267"/>
      <c r="EI11" s="1267"/>
      <c r="EJ11" s="1406"/>
      <c r="EK11" s="702"/>
      <c r="EL11" s="1267"/>
      <c r="EM11" s="1267"/>
      <c r="EN11" s="1267"/>
      <c r="EO11" s="1267"/>
      <c r="EP11" s="1267"/>
      <c r="EQ11" s="702"/>
      <c r="ER11" s="702"/>
      <c r="ES11" s="729"/>
      <c r="ET11" s="729"/>
      <c r="EU11" s="729"/>
      <c r="EV11" s="729"/>
      <c r="EW11" s="729"/>
      <c r="EX11" s="448"/>
      <c r="EY11" s="448"/>
      <c r="EZ11" s="456"/>
      <c r="FA11" s="456"/>
      <c r="FB11" s="456"/>
      <c r="FD11" s="458"/>
    </row>
    <row r="12" spans="1:412" ht="16.899999999999999" customHeight="1" x14ac:dyDescent="0.25">
      <c r="A12" s="69" t="s">
        <v>123</v>
      </c>
      <c r="AK12" s="597"/>
      <c r="AL12" s="452"/>
      <c r="AM12" s="452"/>
      <c r="AN12" s="598"/>
      <c r="AO12" s="598"/>
      <c r="AP12" s="449"/>
      <c r="AQ12" s="449"/>
      <c r="AR12" s="452"/>
      <c r="AS12" s="452"/>
      <c r="BH12" s="597"/>
      <c r="BI12" s="597"/>
      <c r="BJ12" s="597"/>
      <c r="BK12" s="449"/>
      <c r="BL12" s="449"/>
      <c r="BM12" s="452"/>
      <c r="BN12" s="452"/>
      <c r="BO12" s="597"/>
      <c r="BP12" s="452"/>
      <c r="BQ12" s="452"/>
      <c r="BR12" s="449"/>
      <c r="BS12" s="449"/>
      <c r="BT12" s="452"/>
      <c r="BU12" s="597"/>
      <c r="BV12" s="452"/>
      <c r="BW12" s="452" t="s">
        <v>126</v>
      </c>
      <c r="BX12" s="452"/>
      <c r="BY12" s="449"/>
      <c r="BZ12" s="449"/>
      <c r="CA12" s="597"/>
      <c r="CV12" t="s">
        <v>126</v>
      </c>
      <c r="DJ12" s="729"/>
      <c r="DK12" s="729"/>
      <c r="DL12" s="729"/>
      <c r="DM12" s="729"/>
      <c r="DN12" s="729"/>
      <c r="DO12" s="702"/>
      <c r="DP12" s="702"/>
      <c r="DQ12" s="729"/>
      <c r="DR12" s="729"/>
      <c r="DS12" s="729"/>
      <c r="DT12" s="1362"/>
      <c r="DU12" s="729"/>
      <c r="DV12" s="702"/>
      <c r="DW12" s="702"/>
      <c r="DX12" s="729"/>
      <c r="DY12" s="729"/>
      <c r="DZ12" s="729"/>
      <c r="EA12" s="1389"/>
      <c r="EB12" s="729"/>
      <c r="EC12" s="702"/>
      <c r="ED12" s="702"/>
      <c r="EE12" s="729"/>
      <c r="EF12" s="729"/>
      <c r="EG12" s="1267"/>
      <c r="EH12" s="1267"/>
      <c r="EI12" s="1267"/>
      <c r="EJ12" s="1406"/>
      <c r="EK12" s="702"/>
      <c r="EL12" s="1267"/>
      <c r="EM12" s="1267"/>
      <c r="EN12" s="1267"/>
      <c r="EO12" s="1267"/>
      <c r="EP12" s="1267"/>
      <c r="EQ12" s="702"/>
      <c r="ER12" s="702"/>
      <c r="ES12" s="729"/>
      <c r="ET12" s="729"/>
      <c r="EU12" s="729"/>
      <c r="EV12" s="729"/>
      <c r="EW12" s="729"/>
      <c r="EX12" s="448"/>
      <c r="EY12" s="448"/>
      <c r="EZ12" s="81"/>
      <c r="FA12" s="81"/>
      <c r="FB12" s="81"/>
      <c r="FD12" s="458"/>
    </row>
    <row r="13" spans="1:412" ht="16.899999999999999" customHeight="1" x14ac:dyDescent="0.25">
      <c r="A13" s="462" t="s">
        <v>244</v>
      </c>
      <c r="I13" s="607"/>
      <c r="J13" s="608" t="s">
        <v>461</v>
      </c>
      <c r="K13" s="609"/>
      <c r="L13" s="610"/>
      <c r="M13" s="610"/>
      <c r="N13" s="611"/>
      <c r="O13" s="611"/>
      <c r="P13" s="610"/>
      <c r="Q13" s="612"/>
      <c r="R13" s="613"/>
      <c r="S13" s="629" t="s">
        <v>463</v>
      </c>
      <c r="T13" s="610"/>
      <c r="U13" s="611"/>
      <c r="V13" s="611"/>
      <c r="W13" s="610"/>
      <c r="X13" s="612"/>
      <c r="Y13" s="633" t="s">
        <v>468</v>
      </c>
      <c r="Z13" s="705" t="s">
        <v>470</v>
      </c>
      <c r="AA13" s="654"/>
      <c r="AD13" s="654"/>
      <c r="AE13" s="642"/>
      <c r="AF13" s="706"/>
      <c r="AG13" s="630" t="s">
        <v>528</v>
      </c>
      <c r="AH13" s="715"/>
      <c r="AK13" s="725" t="s">
        <v>532</v>
      </c>
      <c r="AL13" s="726"/>
      <c r="AM13" s="715"/>
      <c r="AN13" s="717" t="s">
        <v>388</v>
      </c>
      <c r="AO13" s="718"/>
      <c r="AP13" s="449"/>
      <c r="AQ13" s="449"/>
      <c r="AR13" s="599" t="s">
        <v>387</v>
      </c>
      <c r="AS13" s="599"/>
      <c r="AT13" s="459"/>
      <c r="AU13" s="459"/>
      <c r="AY13" s="452" t="s">
        <v>617</v>
      </c>
      <c r="AZ13" s="606" t="s">
        <v>614</v>
      </c>
      <c r="BA13" s="606" t="s">
        <v>614</v>
      </c>
      <c r="BG13" s="108" t="s">
        <v>388</v>
      </c>
      <c r="BH13" s="108"/>
      <c r="BI13" s="108"/>
      <c r="BJ13" s="606" t="s">
        <v>622</v>
      </c>
      <c r="BK13" s="449"/>
      <c r="BL13" s="449"/>
      <c r="BM13" s="606" t="s">
        <v>623</v>
      </c>
      <c r="BN13" s="945" t="s">
        <v>625</v>
      </c>
      <c r="BO13" s="597"/>
      <c r="BP13" s="452"/>
      <c r="BQ13" s="452"/>
      <c r="BR13" s="449"/>
      <c r="BS13" s="449"/>
      <c r="BT13" s="452"/>
      <c r="BU13" s="597"/>
      <c r="BV13" s="452"/>
      <c r="BW13" s="452"/>
      <c r="BX13" s="452"/>
      <c r="BY13" s="449"/>
      <c r="BZ13" s="449"/>
      <c r="CA13" s="597"/>
      <c r="CV13" s="1177" t="s">
        <v>842</v>
      </c>
      <c r="CY13" s="1047" t="s">
        <v>860</v>
      </c>
      <c r="CZ13" s="1049"/>
      <c r="DC13" s="1035"/>
      <c r="DD13" s="1035"/>
      <c r="DE13" s="1071"/>
      <c r="DF13" s="1035"/>
      <c r="DG13" s="1264" t="s">
        <v>898</v>
      </c>
      <c r="DJ13" s="1077" t="s">
        <v>784</v>
      </c>
      <c r="DK13" s="1077" t="s">
        <v>784</v>
      </c>
      <c r="DL13" s="729"/>
      <c r="DM13" s="729"/>
      <c r="DN13" s="729"/>
      <c r="DO13" s="702"/>
      <c r="DP13" s="702"/>
      <c r="DQ13" s="729"/>
      <c r="DR13" s="729"/>
      <c r="DS13" s="729"/>
      <c r="DT13" s="1362"/>
      <c r="DU13" s="729"/>
      <c r="DV13" s="702"/>
      <c r="DW13" s="702"/>
      <c r="DX13" s="729"/>
      <c r="DY13" s="729"/>
      <c r="DZ13" s="729"/>
      <c r="EA13" s="1389"/>
      <c r="EB13" s="729"/>
      <c r="EC13" s="702"/>
      <c r="ED13" s="702"/>
      <c r="EE13" s="1362" t="s">
        <v>935</v>
      </c>
      <c r="EF13" s="1362"/>
      <c r="EG13" s="1362"/>
      <c r="EH13" s="1362"/>
      <c r="EI13" s="1362"/>
      <c r="EJ13" s="1406"/>
      <c r="EK13" s="702"/>
      <c r="EL13" s="1267"/>
      <c r="EM13" s="1394" t="s">
        <v>789</v>
      </c>
      <c r="EN13" s="1395"/>
      <c r="EO13" s="1395"/>
      <c r="EP13" s="1395"/>
      <c r="EQ13" s="702"/>
      <c r="ER13" s="702"/>
      <c r="ES13" s="1396"/>
      <c r="ET13" s="729"/>
      <c r="EU13" s="729"/>
      <c r="EV13" s="729"/>
      <c r="EW13" s="729"/>
      <c r="EX13" s="448"/>
      <c r="EY13" s="448"/>
      <c r="EZ13" s="81"/>
      <c r="FA13" s="81"/>
      <c r="FB13" s="81"/>
      <c r="FC13" s="1390" t="s">
        <v>387</v>
      </c>
      <c r="FD13" s="1390"/>
      <c r="FG13" s="1390" t="s">
        <v>387</v>
      </c>
      <c r="FH13" s="1390"/>
      <c r="FI13" s="1390"/>
      <c r="FJ13" s="1390"/>
      <c r="FK13" s="1390"/>
      <c r="FN13" s="1390" t="s">
        <v>387</v>
      </c>
      <c r="FO13" s="1390"/>
      <c r="FP13" s="1390"/>
      <c r="FQ13" s="1390"/>
      <c r="FR13" s="1390"/>
    </row>
    <row r="14" spans="1:412" ht="16.899999999999999" customHeight="1" x14ac:dyDescent="0.25">
      <c r="A14" s="462" t="s">
        <v>192</v>
      </c>
      <c r="I14" s="614"/>
      <c r="J14" s="614"/>
      <c r="K14" s="615"/>
      <c r="L14" s="616" t="s">
        <v>460</v>
      </c>
      <c r="M14" s="617"/>
      <c r="N14" s="611"/>
      <c r="O14" s="611"/>
      <c r="P14" s="617"/>
      <c r="Q14" s="618"/>
      <c r="R14" s="616"/>
      <c r="S14" s="606" t="s">
        <v>464</v>
      </c>
      <c r="T14" s="630" t="s">
        <v>462</v>
      </c>
      <c r="U14" s="611"/>
      <c r="V14" s="611"/>
      <c r="W14" s="618"/>
      <c r="X14" s="632" t="s">
        <v>465</v>
      </c>
      <c r="Y14" s="642"/>
      <c r="Z14" s="716" t="s">
        <v>388</v>
      </c>
      <c r="AA14" s="643"/>
      <c r="AD14" s="707" t="s">
        <v>471</v>
      </c>
      <c r="AE14" s="708"/>
      <c r="AF14" s="709"/>
      <c r="AG14" s="710" t="s">
        <v>529</v>
      </c>
      <c r="AH14" s="711" t="s">
        <v>541</v>
      </c>
      <c r="AK14" s="723" t="s">
        <v>538</v>
      </c>
      <c r="AL14" s="724"/>
      <c r="AM14" s="716" t="s">
        <v>388</v>
      </c>
      <c r="AN14" s="719"/>
      <c r="AO14" s="710" t="s">
        <v>546</v>
      </c>
      <c r="AP14" s="449"/>
      <c r="AQ14" s="449"/>
      <c r="AR14" s="707" t="s">
        <v>554</v>
      </c>
      <c r="AS14" s="746" t="s">
        <v>557</v>
      </c>
      <c r="AT14" s="707" t="s">
        <v>556</v>
      </c>
      <c r="BH14" s="597"/>
      <c r="BI14" s="597"/>
      <c r="BJ14" s="597"/>
      <c r="BK14" s="449"/>
      <c r="BL14" s="449"/>
      <c r="BM14" s="452"/>
      <c r="BN14" s="452"/>
      <c r="BO14" s="597"/>
      <c r="BP14" s="452"/>
      <c r="BQ14" s="452"/>
      <c r="BR14" s="449"/>
      <c r="BS14" s="449"/>
      <c r="BT14" s="452"/>
      <c r="BU14" s="597"/>
      <c r="BV14" s="452"/>
      <c r="BW14" s="452"/>
      <c r="BX14" s="452"/>
      <c r="BY14" s="449"/>
      <c r="BZ14" s="449"/>
      <c r="CA14" s="449" t="s">
        <v>387</v>
      </c>
      <c r="CB14" s="447"/>
      <c r="CC14" s="447"/>
      <c r="CD14" s="447"/>
      <c r="CE14" s="447"/>
      <c r="CH14" s="447"/>
      <c r="CI14" s="447"/>
      <c r="CJ14" s="447"/>
      <c r="CK14" s="447"/>
      <c r="CV14" s="1035"/>
      <c r="CY14" s="1035"/>
      <c r="CZ14" s="1035"/>
      <c r="DC14" s="1035"/>
      <c r="DD14" s="1035"/>
      <c r="DE14" s="1071"/>
      <c r="DF14" s="1035"/>
      <c r="DG14" s="1047" t="s">
        <v>788</v>
      </c>
      <c r="DJ14" s="729"/>
      <c r="DK14" s="729"/>
      <c r="DL14" s="729"/>
      <c r="DM14" s="1278" t="s">
        <v>787</v>
      </c>
      <c r="DN14" s="729"/>
      <c r="DO14" s="702"/>
      <c r="DP14" s="702"/>
      <c r="DQ14" s="729"/>
      <c r="DR14" s="729"/>
      <c r="DS14" s="729"/>
      <c r="DT14" s="1362"/>
      <c r="DU14" s="729"/>
      <c r="DV14" s="702"/>
      <c r="DW14" s="702"/>
      <c r="DX14" s="729"/>
      <c r="DY14" s="729"/>
      <c r="DZ14" s="729"/>
      <c r="EA14" s="1389"/>
      <c r="EB14" s="729"/>
      <c r="EC14" s="702"/>
      <c r="ED14" s="702"/>
      <c r="EE14" s="729"/>
      <c r="EF14" s="729"/>
      <c r="EG14" s="1267"/>
      <c r="EH14" s="1267"/>
      <c r="EI14" s="1267"/>
      <c r="EJ14" s="1406"/>
      <c r="EK14" s="702"/>
      <c r="EL14" s="1267"/>
      <c r="EM14" s="1267"/>
      <c r="EN14" s="1267"/>
      <c r="EO14" s="1267"/>
      <c r="EP14" s="1267"/>
      <c r="EQ14" s="702"/>
      <c r="ER14" s="702"/>
      <c r="ES14" s="1267"/>
      <c r="ET14" s="1267"/>
      <c r="EU14" s="1267"/>
      <c r="EV14" s="729"/>
      <c r="EW14" s="729"/>
      <c r="FD14" s="458"/>
    </row>
    <row r="15" spans="1:412" ht="16.899999999999999" customHeight="1" x14ac:dyDescent="0.25">
      <c r="A15" s="462"/>
      <c r="AK15" s="597"/>
      <c r="AL15" s="452"/>
      <c r="AM15" s="452"/>
      <c r="AN15" s="452"/>
      <c r="AO15" s="452"/>
      <c r="AP15" s="449"/>
      <c r="AQ15" s="449"/>
      <c r="AR15" s="452"/>
      <c r="AS15" s="452"/>
      <c r="BA15" t="s">
        <v>126</v>
      </c>
      <c r="BH15" s="597"/>
      <c r="BI15" s="597"/>
      <c r="BJ15" s="597"/>
      <c r="BK15" s="449"/>
      <c r="BL15" s="449"/>
      <c r="BM15" s="452"/>
      <c r="BN15" s="452"/>
      <c r="BO15" s="597"/>
      <c r="BP15" s="452"/>
      <c r="BQ15" s="452"/>
      <c r="BR15" s="449"/>
      <c r="BS15" s="449"/>
      <c r="BT15" s="452"/>
      <c r="BU15" s="597"/>
      <c r="BV15" s="452"/>
      <c r="BW15" s="452"/>
      <c r="BX15" s="452"/>
      <c r="BY15" s="449"/>
      <c r="BZ15" s="449"/>
      <c r="CA15" s="597"/>
      <c r="CV15" s="1035"/>
      <c r="CW15" s="1035"/>
      <c r="CX15" s="1035"/>
      <c r="CY15" s="1035"/>
      <c r="CZ15" s="1035"/>
      <c r="DC15" s="1035"/>
      <c r="DD15" s="1035"/>
      <c r="DJ15" s="729"/>
      <c r="DK15" s="729"/>
      <c r="DL15" s="729"/>
      <c r="DM15" s="729"/>
      <c r="DN15" s="729"/>
      <c r="DO15" s="702"/>
      <c r="DP15" s="702"/>
      <c r="DQ15" s="729"/>
      <c r="DR15" s="729"/>
      <c r="DS15" s="729"/>
      <c r="DT15" s="1362"/>
      <c r="DU15" s="729"/>
      <c r="DV15" s="702"/>
      <c r="DW15" s="702"/>
      <c r="DX15" s="729"/>
      <c r="DY15" s="729"/>
      <c r="DZ15" s="729"/>
      <c r="EA15" s="1389"/>
      <c r="EB15" s="729"/>
      <c r="EC15" s="702"/>
      <c r="ED15" s="702"/>
      <c r="EE15" s="729"/>
      <c r="EF15" s="729"/>
      <c r="EG15" s="1267"/>
      <c r="EH15" s="1267"/>
      <c r="EI15" s="1267"/>
      <c r="EJ15" s="1406"/>
      <c r="EK15" s="702"/>
      <c r="EL15" s="1267"/>
      <c r="EM15" s="1267"/>
      <c r="EN15" s="1267"/>
      <c r="EO15" s="1267"/>
      <c r="EP15" s="1267"/>
      <c r="EQ15" s="702"/>
      <c r="ER15" s="702"/>
      <c r="ES15" s="1267"/>
      <c r="ET15" s="1267"/>
      <c r="EU15" s="1267"/>
      <c r="EV15" s="1267"/>
      <c r="EW15" s="1267"/>
      <c r="FD15" s="458"/>
    </row>
    <row r="16" spans="1:412" ht="16.899999999999999" customHeight="1" x14ac:dyDescent="0.25">
      <c r="A16" s="463" t="s">
        <v>122</v>
      </c>
      <c r="AK16" s="597"/>
      <c r="AL16" s="452"/>
      <c r="AM16" s="452"/>
      <c r="AN16" s="452"/>
      <c r="AO16" s="452"/>
      <c r="AP16" s="449"/>
      <c r="AQ16" s="449"/>
      <c r="AR16" s="452"/>
      <c r="AS16" s="452"/>
      <c r="BH16" s="597"/>
      <c r="BI16" s="597"/>
      <c r="BJ16" s="597"/>
      <c r="BK16" s="449"/>
      <c r="BL16" s="449"/>
      <c r="BM16" s="452"/>
      <c r="BN16" s="452"/>
      <c r="BO16" s="597"/>
      <c r="BP16" s="452"/>
      <c r="BQ16" s="452"/>
      <c r="BR16" s="449"/>
      <c r="BS16" s="449"/>
      <c r="BT16" s="452"/>
      <c r="BU16" s="452"/>
      <c r="BV16" s="452"/>
      <c r="BW16" s="452"/>
      <c r="BX16" s="452"/>
      <c r="BY16" s="449"/>
      <c r="BZ16" s="449"/>
      <c r="CA16" s="597"/>
      <c r="DE16" s="1071"/>
      <c r="DJ16" s="729"/>
      <c r="DK16" s="729"/>
      <c r="DL16" s="729"/>
      <c r="DM16" s="729"/>
      <c r="DN16" s="729"/>
      <c r="DO16" s="702"/>
      <c r="DP16" s="702"/>
      <c r="DQ16" s="729"/>
      <c r="DR16" s="729"/>
      <c r="DS16" s="729"/>
      <c r="DT16" s="1362"/>
      <c r="DU16" s="729"/>
      <c r="DV16" s="702"/>
      <c r="DW16" s="702"/>
      <c r="DX16" s="729"/>
      <c r="DY16" s="729"/>
      <c r="DZ16" s="729"/>
      <c r="EA16" s="1389"/>
      <c r="EB16" s="729"/>
      <c r="EC16" s="702"/>
      <c r="ED16" s="702"/>
      <c r="EE16" s="729"/>
      <c r="EF16" s="729"/>
      <c r="EG16" s="1267"/>
      <c r="EH16" s="1267"/>
      <c r="EI16" s="1267"/>
      <c r="EJ16" s="1406"/>
      <c r="EK16" s="702"/>
      <c r="EL16" s="1267"/>
      <c r="EM16" s="1267"/>
      <c r="EN16" s="1267"/>
      <c r="EO16" s="1267"/>
      <c r="EP16" s="1267"/>
      <c r="EQ16" s="702"/>
      <c r="ER16" s="702"/>
      <c r="ES16" s="1267"/>
      <c r="ET16" s="1267"/>
      <c r="EU16" s="1267"/>
      <c r="EV16" s="1267"/>
      <c r="EW16" s="1267"/>
      <c r="FD16" s="458"/>
    </row>
    <row r="17" spans="1:382" ht="16.899999999999999" customHeight="1" x14ac:dyDescent="0.25">
      <c r="A17" s="462" t="s">
        <v>188</v>
      </c>
      <c r="W17" s="619" t="s">
        <v>466</v>
      </c>
      <c r="X17" s="629" t="s">
        <v>467</v>
      </c>
      <c r="Y17" s="610"/>
      <c r="Z17" s="610"/>
      <c r="AA17" s="610"/>
      <c r="AD17" s="726"/>
      <c r="AE17" s="726"/>
      <c r="AF17" s="715"/>
      <c r="AG17" s="741" t="s">
        <v>527</v>
      </c>
      <c r="AH17" s="742" t="s">
        <v>535</v>
      </c>
      <c r="AK17" s="743"/>
      <c r="AL17" s="743"/>
      <c r="AM17" s="743"/>
      <c r="AN17" s="743"/>
      <c r="AO17" s="744"/>
      <c r="AP17" s="449"/>
      <c r="AQ17" s="449"/>
      <c r="AR17" s="745" t="s">
        <v>550</v>
      </c>
      <c r="AS17" s="740" t="s">
        <v>555</v>
      </c>
      <c r="AT17" s="703"/>
      <c r="AU17" s="704"/>
      <c r="AY17" s="599" t="s">
        <v>387</v>
      </c>
      <c r="AZ17" s="459"/>
      <c r="BA17" s="459"/>
      <c r="BB17" s="459"/>
      <c r="BC17" s="459"/>
      <c r="BG17" s="947" t="s">
        <v>555</v>
      </c>
      <c r="BH17" s="743"/>
      <c r="BI17" s="744"/>
      <c r="BJ17" s="948" t="s">
        <v>619</v>
      </c>
      <c r="BK17" s="925"/>
      <c r="BL17" s="925"/>
      <c r="BM17" s="926" t="s">
        <v>619</v>
      </c>
      <c r="BN17" s="949"/>
      <c r="BO17" s="954" t="s">
        <v>626</v>
      </c>
      <c r="BP17" s="956" t="s">
        <v>629</v>
      </c>
      <c r="BQ17" s="957"/>
      <c r="BR17" s="449"/>
      <c r="BS17" s="449"/>
      <c r="BT17" s="951" t="s">
        <v>637</v>
      </c>
      <c r="BU17" s="944" t="s">
        <v>498</v>
      </c>
      <c r="BW17" s="452"/>
      <c r="BX17" s="452"/>
      <c r="BY17" s="449"/>
      <c r="BZ17" s="449"/>
      <c r="CA17" s="449" t="s">
        <v>387</v>
      </c>
      <c r="CB17" s="447"/>
      <c r="CC17" s="447"/>
      <c r="CD17" s="447"/>
      <c r="CE17" s="447"/>
      <c r="CH17" s="1047" t="s">
        <v>768</v>
      </c>
      <c r="CI17" s="1048"/>
      <c r="CJ17" s="1049"/>
      <c r="CK17" s="1050" t="s">
        <v>632</v>
      </c>
      <c r="CV17" s="1035"/>
      <c r="CW17" s="1035"/>
      <c r="CX17" s="1035"/>
      <c r="CY17" s="1035"/>
      <c r="CZ17" s="1035"/>
      <c r="DC17" s="1035"/>
      <c r="DD17" s="1035"/>
      <c r="DE17" s="1071"/>
      <c r="DF17" s="1035"/>
      <c r="DG17" s="1035"/>
      <c r="DJ17" s="729" t="s">
        <v>126</v>
      </c>
      <c r="DK17" s="729"/>
      <c r="DL17" s="1281" t="s">
        <v>899</v>
      </c>
      <c r="DM17" s="1397" t="s">
        <v>787</v>
      </c>
      <c r="DN17" s="1280"/>
      <c r="DO17" s="702"/>
      <c r="DP17" s="702"/>
      <c r="DQ17" s="729"/>
      <c r="DR17" s="1397" t="s">
        <v>787</v>
      </c>
      <c r="DS17" s="729"/>
      <c r="DT17" s="1362"/>
      <c r="DU17" s="729"/>
      <c r="DV17" s="702"/>
      <c r="DW17" s="702"/>
      <c r="DX17" s="729"/>
      <c r="DY17" s="729"/>
      <c r="DZ17" s="729"/>
      <c r="EA17" s="1389"/>
      <c r="EB17" s="729"/>
      <c r="EC17" s="702"/>
      <c r="ED17" s="702"/>
      <c r="EE17" s="1362" t="s">
        <v>935</v>
      </c>
      <c r="EF17" s="1362"/>
      <c r="EG17" s="1362"/>
      <c r="EH17" s="1362"/>
      <c r="EI17" s="1362"/>
      <c r="EJ17" s="1406"/>
      <c r="EK17" s="702"/>
      <c r="EL17" s="1267"/>
      <c r="EM17" s="1267"/>
      <c r="EN17" s="1267"/>
      <c r="EO17" s="1267"/>
      <c r="EP17" s="1267"/>
      <c r="EQ17" s="702"/>
      <c r="ER17" s="702"/>
      <c r="ES17" s="1267"/>
      <c r="ET17" s="1267"/>
      <c r="EU17" s="1267"/>
      <c r="EV17" s="1267"/>
      <c r="EW17" s="1267"/>
      <c r="FD17" s="458"/>
      <c r="GQ17" s="1390" t="s">
        <v>387</v>
      </c>
      <c r="GR17" s="1390"/>
      <c r="GS17" s="1390"/>
      <c r="GT17" s="1390"/>
      <c r="GU17" s="1390"/>
      <c r="GV17" s="1390"/>
      <c r="GW17" s="1390" t="s">
        <v>387</v>
      </c>
      <c r="GX17" s="1390"/>
      <c r="GY17" s="1390"/>
      <c r="GZ17" s="1390"/>
      <c r="HA17" s="1390"/>
      <c r="HB17" s="1078"/>
      <c r="HC17" s="1078"/>
      <c r="HD17" s="1390" t="s">
        <v>387</v>
      </c>
      <c r="HE17" s="1390"/>
      <c r="HF17" s="1390"/>
      <c r="HG17" s="1390"/>
      <c r="HH17" s="1390"/>
      <c r="HI17" s="637"/>
      <c r="HJ17" s="637"/>
    </row>
    <row r="18" spans="1:382" ht="16.899999999999999" customHeight="1" x14ac:dyDescent="0.25">
      <c r="A18" s="462" t="s">
        <v>373</v>
      </c>
      <c r="W18" s="593"/>
      <c r="X18" s="593"/>
      <c r="AE18" s="697"/>
      <c r="AF18" s="81"/>
      <c r="AG18" s="81"/>
      <c r="AH18" s="81"/>
      <c r="AK18" s="720" t="s">
        <v>544</v>
      </c>
      <c r="AL18" s="721"/>
      <c r="AM18" s="721"/>
      <c r="AN18" s="721" t="s">
        <v>126</v>
      </c>
      <c r="AO18" s="721"/>
      <c r="AP18" s="449"/>
      <c r="AQ18" s="449"/>
      <c r="AT18" s="926" t="s">
        <v>547</v>
      </c>
      <c r="AU18" s="927"/>
      <c r="AV18" s="928"/>
      <c r="AW18" s="925"/>
      <c r="AX18" s="925"/>
      <c r="AY18" s="929"/>
      <c r="AZ18" s="930" t="s">
        <v>618</v>
      </c>
      <c r="BA18" s="743"/>
      <c r="BB18" s="744"/>
      <c r="BC18" s="926" t="s">
        <v>547</v>
      </c>
      <c r="BG18" s="743"/>
      <c r="BH18" s="933"/>
      <c r="BJ18" s="597" t="s">
        <v>126</v>
      </c>
      <c r="BK18" s="931"/>
      <c r="BL18" s="931"/>
      <c r="BM18" s="452"/>
      <c r="BO18" s="944" t="s">
        <v>498</v>
      </c>
      <c r="BP18" s="955" t="s">
        <v>498</v>
      </c>
      <c r="BR18" s="449"/>
      <c r="BS18" s="449"/>
      <c r="BT18" s="452"/>
      <c r="BU18" s="81" t="s">
        <v>126</v>
      </c>
      <c r="BV18" s="452"/>
      <c r="BW18" s="452"/>
      <c r="BX18" s="452"/>
      <c r="BY18" s="449"/>
      <c r="BZ18" s="449"/>
      <c r="CA18" s="597"/>
      <c r="CV18" s="1047" t="s">
        <v>498</v>
      </c>
      <c r="CW18" s="1047" t="s">
        <v>861</v>
      </c>
      <c r="CX18" s="1049"/>
      <c r="CY18" s="1077" t="s">
        <v>776</v>
      </c>
      <c r="CZ18" s="1077" t="s">
        <v>776</v>
      </c>
      <c r="DC18" s="1035"/>
      <c r="DD18" s="1077" t="s">
        <v>656</v>
      </c>
      <c r="DE18" s="1071"/>
      <c r="DF18" s="1035"/>
      <c r="DG18" s="1035"/>
      <c r="DJ18" s="1278" t="s">
        <v>788</v>
      </c>
      <c r="DK18" s="1280"/>
      <c r="DL18" s="729"/>
      <c r="DM18" s="1281" t="s">
        <v>836</v>
      </c>
      <c r="DN18" s="1281" t="s">
        <v>900</v>
      </c>
      <c r="DO18" s="702"/>
      <c r="DP18" s="702"/>
      <c r="DQ18" s="1398"/>
      <c r="DR18" s="1398"/>
      <c r="DS18" s="1398"/>
      <c r="DT18" s="1362"/>
      <c r="DU18" s="1398"/>
      <c r="DV18" s="1398"/>
      <c r="DW18" s="1398"/>
      <c r="DX18" s="1398"/>
      <c r="DY18" s="1398"/>
      <c r="DZ18" s="729"/>
      <c r="EA18" s="1389"/>
      <c r="EB18" s="729"/>
      <c r="EC18" s="702"/>
      <c r="ED18" s="702"/>
      <c r="EE18" s="729"/>
      <c r="EF18" s="729"/>
      <c r="EG18" s="1267"/>
      <c r="EH18" s="1267"/>
      <c r="EI18" s="1267"/>
      <c r="EJ18" s="1406"/>
      <c r="EK18" s="702"/>
      <c r="EL18" s="1267"/>
      <c r="EM18" s="1267"/>
      <c r="EN18" s="1267"/>
      <c r="EO18" s="1267"/>
      <c r="EP18" s="1267"/>
      <c r="EQ18" s="702"/>
      <c r="ER18" s="702"/>
      <c r="ES18" s="1267"/>
      <c r="ET18" s="1267"/>
      <c r="EU18" s="1267"/>
      <c r="EV18" s="1267"/>
      <c r="EW18" s="1267"/>
      <c r="FD18" s="458"/>
    </row>
    <row r="19" spans="1:382" ht="16.899999999999999" customHeight="1" x14ac:dyDescent="0.25">
      <c r="A19" s="462" t="s">
        <v>956</v>
      </c>
      <c r="AK19" s="81"/>
      <c r="BH19" s="597"/>
      <c r="BI19" s="597"/>
      <c r="BJ19" s="597"/>
      <c r="BK19" s="931"/>
      <c r="BL19" s="931"/>
      <c r="BM19" s="452"/>
      <c r="BN19" s="452"/>
      <c r="BO19" s="597"/>
      <c r="BP19" s="452"/>
      <c r="BQ19" s="452"/>
      <c r="BR19" s="449"/>
      <c r="BS19" s="449"/>
      <c r="BT19" s="452"/>
      <c r="BU19" s="452"/>
      <c r="BV19" s="452"/>
      <c r="BW19" s="452"/>
      <c r="BX19" s="452"/>
      <c r="BY19" s="449"/>
      <c r="BZ19" s="449"/>
      <c r="CA19" s="597"/>
      <c r="CV19" s="1035"/>
      <c r="CW19" s="1035"/>
      <c r="CX19" s="1076"/>
      <c r="CY19" s="1035"/>
      <c r="CZ19" s="1035"/>
      <c r="DC19" s="1035"/>
      <c r="DD19" s="1035"/>
      <c r="DE19" s="1071"/>
      <c r="DF19" s="1035"/>
      <c r="DG19" s="1035"/>
      <c r="DJ19" s="729"/>
      <c r="DK19" s="729"/>
      <c r="DL19" s="729"/>
      <c r="DM19" s="729"/>
      <c r="DN19" s="729"/>
      <c r="DO19" s="702"/>
      <c r="DP19" s="702"/>
      <c r="DQ19" s="729"/>
      <c r="DR19" s="729"/>
      <c r="DS19" s="729"/>
      <c r="DT19" s="1362"/>
      <c r="DU19" s="729"/>
      <c r="DV19" s="702"/>
      <c r="DW19" s="702"/>
      <c r="DX19" s="729"/>
      <c r="DY19" s="729"/>
      <c r="DZ19" s="729"/>
      <c r="EA19" s="1389"/>
      <c r="EB19" s="729"/>
      <c r="EC19" s="702"/>
      <c r="ED19" s="702"/>
      <c r="EE19" s="729"/>
      <c r="EF19" s="729"/>
      <c r="EG19" s="1267"/>
      <c r="EH19" s="1267"/>
      <c r="EI19" s="1267"/>
      <c r="EJ19" s="1406"/>
      <c r="EK19" s="702"/>
      <c r="EL19" s="1267"/>
      <c r="EM19" s="1267"/>
      <c r="EN19" s="1267"/>
      <c r="EO19" s="1267"/>
      <c r="EP19" s="1267"/>
      <c r="EQ19" s="702"/>
      <c r="ER19" s="702"/>
      <c r="ES19" s="1267"/>
      <c r="ET19" s="1267"/>
      <c r="EU19" s="1267" t="s">
        <v>126</v>
      </c>
      <c r="EV19" s="1267"/>
      <c r="EW19" s="1267"/>
      <c r="EZ19" s="1390" t="s">
        <v>387</v>
      </c>
      <c r="FA19" s="1390"/>
      <c r="FB19" s="1390"/>
      <c r="FC19" s="1390"/>
      <c r="FD19" s="1392"/>
    </row>
    <row r="20" spans="1:382" ht="16.899999999999999" customHeight="1" x14ac:dyDescent="0.25">
      <c r="BK20" s="931"/>
      <c r="BL20" s="931"/>
      <c r="BT20" s="700" t="s">
        <v>536</v>
      </c>
      <c r="CI20" s="937" t="s">
        <v>457</v>
      </c>
      <c r="CJ20" s="455"/>
      <c r="CK20" s="455"/>
      <c r="CL20" s="454"/>
      <c r="CM20" s="454"/>
      <c r="CN20" s="454"/>
      <c r="CO20" s="455"/>
      <c r="CP20" s="455"/>
      <c r="CQ20" s="455"/>
      <c r="CR20" s="455"/>
      <c r="CS20" s="455"/>
      <c r="CT20" s="590"/>
      <c r="CU20" s="590"/>
      <c r="CV20" s="1075"/>
      <c r="CW20" s="1148" t="s">
        <v>459</v>
      </c>
      <c r="CX20" s="1149"/>
      <c r="CY20" s="1150"/>
      <c r="CZ20" s="1150"/>
      <c r="DA20" s="1151"/>
      <c r="DB20" s="1151"/>
      <c r="DC20" s="1152"/>
      <c r="DD20" s="1152"/>
      <c r="DE20" s="1153"/>
      <c r="DF20" s="1152"/>
      <c r="DG20" s="1154"/>
      <c r="DH20" s="1151"/>
      <c r="DI20" s="1151"/>
      <c r="DJ20" s="1399"/>
      <c r="DK20" s="1399"/>
      <c r="DL20" s="1399"/>
      <c r="DM20" s="1399"/>
      <c r="DN20" s="1399"/>
      <c r="DO20" s="1400"/>
      <c r="DP20" s="1400"/>
      <c r="DQ20" s="1399"/>
      <c r="DR20" s="1399"/>
      <c r="DS20" s="1401"/>
      <c r="DT20" s="1402"/>
      <c r="DU20" s="1401"/>
      <c r="DV20" s="1403"/>
      <c r="DW20" s="1403"/>
      <c r="DX20" s="1401"/>
      <c r="DY20" s="1401"/>
      <c r="DZ20" s="1404"/>
      <c r="EA20" s="1389"/>
      <c r="EB20" s="1405"/>
      <c r="EC20" s="1406"/>
      <c r="ED20" s="1406"/>
      <c r="EE20" s="1405"/>
      <c r="EF20" s="1405"/>
      <c r="EG20" s="1407"/>
      <c r="EH20" s="1407"/>
      <c r="EI20" s="1407"/>
      <c r="EJ20" s="1406"/>
      <c r="EK20" s="702"/>
      <c r="EL20" s="1267"/>
      <c r="EM20" s="1267"/>
      <c r="EN20" s="1267"/>
      <c r="EO20" s="1267"/>
      <c r="EP20" s="1267"/>
      <c r="EQ20" s="702"/>
      <c r="ER20" s="702"/>
      <c r="ES20" s="1267"/>
      <c r="ET20" s="1267"/>
      <c r="EU20" s="1267"/>
      <c r="EV20" s="1267"/>
      <c r="EW20" s="1267"/>
      <c r="FD20" s="458"/>
    </row>
    <row r="21" spans="1:382" ht="16.899999999999999" customHeight="1" x14ac:dyDescent="0.25">
      <c r="A21" s="1382" t="s">
        <v>124</v>
      </c>
      <c r="W21" s="605"/>
      <c r="Y21" s="635" t="s">
        <v>472</v>
      </c>
      <c r="AO21" s="700" t="s">
        <v>533</v>
      </c>
      <c r="AU21" s="714"/>
      <c r="AV21" s="450"/>
      <c r="AW21" s="450"/>
      <c r="AX21" s="450"/>
      <c r="BG21" s="701" t="s">
        <v>386</v>
      </c>
      <c r="BH21" s="936"/>
      <c r="BI21" s="936"/>
      <c r="BJ21" s="936"/>
      <c r="BK21" s="931"/>
      <c r="BL21" s="931"/>
      <c r="BM21" s="936"/>
      <c r="BN21" s="936"/>
      <c r="BO21" s="936"/>
      <c r="BP21" s="936"/>
      <c r="BQ21" s="453"/>
      <c r="BR21" s="454"/>
      <c r="BS21" s="454"/>
      <c r="BT21" s="453"/>
      <c r="BU21" s="453"/>
      <c r="BV21" s="453"/>
      <c r="BW21" s="455"/>
      <c r="BX21" s="455"/>
      <c r="CI21" s="597"/>
      <c r="CJ21" s="597"/>
      <c r="CK21" s="981" t="s">
        <v>660</v>
      </c>
      <c r="CL21" s="449"/>
      <c r="CM21" s="449"/>
      <c r="CN21" s="449"/>
      <c r="CO21" s="597"/>
      <c r="CP21" s="597"/>
      <c r="CQ21" s="597"/>
      <c r="CR21" s="597"/>
      <c r="CS21" s="597"/>
      <c r="CT21" s="449"/>
      <c r="CU21" s="449"/>
      <c r="CV21" s="1035"/>
      <c r="CW21" s="1035"/>
      <c r="CX21" s="1035"/>
      <c r="CY21" s="1035"/>
      <c r="CZ21" s="1035"/>
      <c r="DC21" s="1035"/>
      <c r="DD21" s="1035"/>
      <c r="DE21" s="1071"/>
      <c r="DF21" s="1035"/>
      <c r="DG21" s="1035"/>
      <c r="DJ21" s="729"/>
      <c r="DK21" s="729"/>
      <c r="DL21" s="729"/>
      <c r="DM21" s="729"/>
      <c r="DN21" s="1267"/>
      <c r="DO21" s="702"/>
      <c r="DP21" s="702"/>
      <c r="DQ21" s="729"/>
      <c r="DR21" s="729"/>
      <c r="DS21" s="729"/>
      <c r="DT21" s="1362"/>
      <c r="DU21" s="729"/>
      <c r="DV21" s="702"/>
      <c r="DW21" s="702"/>
      <c r="DX21" s="729"/>
      <c r="DY21" s="729"/>
      <c r="DZ21" s="729"/>
      <c r="EA21" s="1389"/>
      <c r="EB21" s="729"/>
      <c r="EC21" s="702"/>
      <c r="ED21" s="702"/>
      <c r="EE21" s="729"/>
      <c r="EF21" s="729"/>
      <c r="EG21" s="1267"/>
      <c r="EH21" s="1267"/>
      <c r="EI21" s="1407"/>
      <c r="EJ21" s="1406"/>
      <c r="EK21" s="702"/>
      <c r="EL21" s="1267"/>
      <c r="EM21" s="1267"/>
      <c r="EN21" s="1267"/>
      <c r="EO21" s="1267"/>
      <c r="EP21" s="1267"/>
      <c r="EQ21" s="702"/>
      <c r="ER21" s="702"/>
      <c r="ES21" s="1267"/>
      <c r="ET21" s="1267"/>
      <c r="EU21" s="1267"/>
      <c r="EV21" s="1267" t="s">
        <v>126</v>
      </c>
      <c r="EW21" s="1267"/>
      <c r="FD21" s="458"/>
    </row>
    <row r="22" spans="1:382" ht="16.899999999999999" customHeight="1" x14ac:dyDescent="0.25">
      <c r="A22" s="81" t="s">
        <v>162</v>
      </c>
      <c r="P22" s="456"/>
      <c r="R22" s="620"/>
      <c r="S22" s="658" t="s">
        <v>461</v>
      </c>
      <c r="T22" s="659"/>
      <c r="W22" s="655"/>
      <c r="X22" s="656"/>
      <c r="Y22" s="657"/>
      <c r="Z22" s="656"/>
      <c r="AA22" s="656"/>
      <c r="AB22" s="621"/>
      <c r="AC22" s="621"/>
      <c r="AD22" s="654" t="s">
        <v>498</v>
      </c>
      <c r="AE22" s="654" t="s">
        <v>499</v>
      </c>
      <c r="AF22" s="712" t="s">
        <v>530</v>
      </c>
      <c r="AG22" s="631" t="s">
        <v>468</v>
      </c>
      <c r="AH22" s="624"/>
      <c r="AK22" s="707" t="s">
        <v>471</v>
      </c>
      <c r="AL22" s="726"/>
      <c r="AM22" s="715"/>
      <c r="AN22" s="739" t="s">
        <v>551</v>
      </c>
      <c r="AO22" s="707" t="s">
        <v>528</v>
      </c>
      <c r="AR22" s="738"/>
      <c r="AS22" s="748" t="s">
        <v>546</v>
      </c>
      <c r="AT22" s="612"/>
      <c r="AU22" s="746" t="s">
        <v>557</v>
      </c>
      <c r="AV22" s="450"/>
      <c r="AY22" s="599" t="s">
        <v>387</v>
      </c>
      <c r="AZ22" s="459"/>
      <c r="BA22" s="459"/>
      <c r="BB22" s="459"/>
      <c r="BC22" s="459"/>
      <c r="BG22" s="946" t="s">
        <v>620</v>
      </c>
      <c r="BH22" s="946"/>
      <c r="BJ22" s="961" t="s">
        <v>547</v>
      </c>
      <c r="BK22" s="931"/>
      <c r="BL22" s="931"/>
      <c r="BM22" s="962"/>
      <c r="BN22" s="972" t="s">
        <v>624</v>
      </c>
      <c r="BO22" s="927"/>
      <c r="BP22" s="927"/>
      <c r="BQ22" s="927"/>
      <c r="BR22" s="931"/>
      <c r="BS22" s="931"/>
      <c r="BT22" s="927"/>
      <c r="BU22" s="973"/>
      <c r="BV22" s="1029" t="s">
        <v>625</v>
      </c>
      <c r="BW22" s="1030"/>
      <c r="BX22" s="1031" t="s">
        <v>634</v>
      </c>
      <c r="CA22" s="974" t="s">
        <v>655</v>
      </c>
      <c r="CB22" s="926" t="s">
        <v>635</v>
      </c>
      <c r="CC22" s="962"/>
      <c r="CD22" s="962"/>
      <c r="CE22" s="962"/>
      <c r="CH22" s="962"/>
      <c r="CI22" s="962"/>
      <c r="CJ22" s="1051" t="s">
        <v>663</v>
      </c>
      <c r="CK22" s="962"/>
      <c r="CL22" s="980"/>
      <c r="CM22" s="449"/>
      <c r="CN22" s="449"/>
      <c r="CO22" s="599" t="s">
        <v>387</v>
      </c>
      <c r="CP22" s="599"/>
      <c r="CQ22" s="599"/>
      <c r="CR22" s="599"/>
      <c r="CS22" s="599"/>
      <c r="CT22" s="449"/>
      <c r="CU22" s="449"/>
      <c r="CV22" s="1239" t="s">
        <v>662</v>
      </c>
      <c r="CW22" s="1240" t="s">
        <v>840</v>
      </c>
      <c r="CX22" s="1241" t="s">
        <v>821</v>
      </c>
      <c r="CY22" s="1077" t="s">
        <v>656</v>
      </c>
      <c r="CZ22" s="1242" t="s">
        <v>818</v>
      </c>
      <c r="DA22" s="702"/>
      <c r="DB22" s="702"/>
      <c r="DC22" s="1243"/>
      <c r="DD22" s="1258"/>
      <c r="DE22" s="1071"/>
      <c r="DF22" s="1077" t="s">
        <v>498</v>
      </c>
      <c r="DG22" s="1275" t="s">
        <v>869</v>
      </c>
      <c r="DH22" s="702"/>
      <c r="DI22" s="702"/>
      <c r="DJ22" s="1077" t="s">
        <v>784</v>
      </c>
      <c r="DK22" s="1077" t="s">
        <v>784</v>
      </c>
      <c r="DL22" s="1077" t="s">
        <v>784</v>
      </c>
      <c r="DM22" s="1077" t="s">
        <v>784</v>
      </c>
      <c r="DN22" s="1077" t="s">
        <v>784</v>
      </c>
      <c r="DO22" s="702"/>
      <c r="DP22" s="702"/>
      <c r="DQ22" s="1277" t="s">
        <v>936</v>
      </c>
      <c r="DR22" s="1077" t="s">
        <v>784</v>
      </c>
      <c r="DS22" s="1077" t="s">
        <v>784</v>
      </c>
      <c r="DT22" s="1278" t="s">
        <v>787</v>
      </c>
      <c r="DU22" s="1280"/>
      <c r="DV22" s="702"/>
      <c r="DW22" s="702"/>
      <c r="DX22" s="729"/>
      <c r="DY22" s="729"/>
      <c r="DZ22" s="729"/>
      <c r="EA22" s="1389"/>
      <c r="EB22" s="1362"/>
      <c r="EC22" s="702"/>
      <c r="ED22" s="702"/>
      <c r="EE22" s="1362" t="s">
        <v>944</v>
      </c>
      <c r="EF22" s="1362"/>
      <c r="EG22" s="1452" t="s">
        <v>499</v>
      </c>
      <c r="EH22" s="1452"/>
      <c r="EI22" s="1452"/>
      <c r="EJ22" s="1406"/>
      <c r="EK22" s="702"/>
      <c r="EL22" s="1267"/>
      <c r="EM22" s="1267"/>
      <c r="EN22" s="1267"/>
      <c r="EO22" s="1409"/>
      <c r="EP22" s="1409"/>
      <c r="EQ22" s="1410"/>
      <c r="ER22" s="1410"/>
      <c r="ES22" s="1408" t="s">
        <v>951</v>
      </c>
      <c r="ET22" s="1411"/>
      <c r="EU22" s="1411"/>
      <c r="EV22" s="1413" t="s">
        <v>789</v>
      </c>
      <c r="EW22" s="1414"/>
      <c r="EZ22" s="1408" t="s">
        <v>952</v>
      </c>
      <c r="FA22" s="1365"/>
      <c r="FD22" s="1481" t="s">
        <v>982</v>
      </c>
    </row>
    <row r="23" spans="1:382" s="1418" customFormat="1" ht="16.899999999999999" customHeight="1" x14ac:dyDescent="0.2">
      <c r="A23" s="1417" t="s">
        <v>374</v>
      </c>
      <c r="G23" s="1419"/>
      <c r="H23" s="1419"/>
      <c r="N23" s="1419"/>
      <c r="O23" s="1419"/>
      <c r="R23" s="1420"/>
      <c r="U23" s="1419"/>
      <c r="V23" s="1419"/>
      <c r="AA23" s="713" t="s">
        <v>466</v>
      </c>
      <c r="AB23" s="1419"/>
      <c r="AC23" s="1419"/>
      <c r="AH23" s="633" t="s">
        <v>465</v>
      </c>
      <c r="AI23" s="1419"/>
      <c r="AJ23" s="1419"/>
      <c r="AL23" s="1417"/>
      <c r="AM23" s="1415" t="s">
        <v>539</v>
      </c>
      <c r="AN23" s="1416" t="s">
        <v>540</v>
      </c>
      <c r="AO23" s="1416" t="s">
        <v>543</v>
      </c>
      <c r="AP23" s="1419"/>
      <c r="AQ23" s="1419"/>
      <c r="AR23" s="1417"/>
      <c r="AS23" s="1417"/>
      <c r="AT23" s="1417"/>
      <c r="AU23" s="1421"/>
      <c r="AV23" s="1422"/>
      <c r="AW23" s="1419"/>
      <c r="AX23" s="1419"/>
      <c r="AY23" s="1423"/>
      <c r="AZ23" s="1424" t="s">
        <v>618</v>
      </c>
      <c r="BA23" s="1425"/>
      <c r="BB23" s="1426" t="s">
        <v>616</v>
      </c>
      <c r="BD23" s="1419"/>
      <c r="BE23" s="1419"/>
      <c r="BF23" s="1419"/>
      <c r="BG23" s="1427"/>
      <c r="BH23" s="1428"/>
      <c r="BI23" s="950" t="s">
        <v>630</v>
      </c>
      <c r="BJ23" s="1429" t="s">
        <v>126</v>
      </c>
      <c r="BK23" s="1430"/>
      <c r="BL23" s="1430"/>
      <c r="BM23" s="1431" t="s">
        <v>126</v>
      </c>
      <c r="BN23" s="1417"/>
      <c r="BO23" s="1428"/>
      <c r="BP23" s="1427"/>
      <c r="BQ23" s="1427"/>
      <c r="BR23" s="1430"/>
      <c r="BS23" s="1430"/>
      <c r="BT23" s="1427"/>
      <c r="BU23" s="1427"/>
      <c r="BV23" s="1427"/>
      <c r="BW23" s="1417"/>
      <c r="BX23" s="1417"/>
      <c r="BY23" s="1419"/>
      <c r="BZ23" s="1419"/>
      <c r="CF23" s="1419"/>
      <c r="CG23" s="1425"/>
      <c r="CH23" s="1432" t="s">
        <v>387</v>
      </c>
      <c r="CI23" s="1419"/>
      <c r="CJ23" s="1419"/>
      <c r="CK23" s="1419"/>
      <c r="CL23" s="1419"/>
      <c r="CM23" s="1419"/>
      <c r="CN23" s="1419"/>
      <c r="CO23" s="1433" t="s">
        <v>769</v>
      </c>
      <c r="CP23" s="1434"/>
      <c r="CQ23" s="1434"/>
      <c r="CR23" s="1435" t="s">
        <v>632</v>
      </c>
      <c r="CS23" s="1436"/>
      <c r="CT23" s="1432"/>
      <c r="CU23" s="1432"/>
      <c r="CV23" s="1437"/>
      <c r="CW23" s="1438" t="s">
        <v>656</v>
      </c>
      <c r="CX23" s="1438" t="s">
        <v>656</v>
      </c>
      <c r="CY23" s="1439" t="s">
        <v>656</v>
      </c>
      <c r="CZ23" s="1438" t="s">
        <v>656</v>
      </c>
      <c r="DA23" s="1440"/>
      <c r="DB23" s="1440"/>
      <c r="DC23" s="1438" t="s">
        <v>656</v>
      </c>
      <c r="DD23" s="1438" t="s">
        <v>656</v>
      </c>
      <c r="DE23" s="1441" t="s">
        <v>656</v>
      </c>
      <c r="DF23" s="1438" t="s">
        <v>656</v>
      </c>
      <c r="DH23" s="1440"/>
      <c r="DI23" s="1440"/>
      <c r="DJ23" s="1442" t="s">
        <v>862</v>
      </c>
      <c r="DK23" s="1442" t="s">
        <v>863</v>
      </c>
      <c r="DL23" s="1442"/>
      <c r="DM23" s="1443" t="s">
        <v>864</v>
      </c>
      <c r="DN23" s="1444" t="s">
        <v>818</v>
      </c>
      <c r="DO23" s="1410"/>
      <c r="DP23" s="1410"/>
      <c r="DQ23" s="1444" t="s">
        <v>937</v>
      </c>
      <c r="DR23" s="1444" t="s">
        <v>938</v>
      </c>
      <c r="DS23" s="1444" t="s">
        <v>939</v>
      </c>
      <c r="DT23" s="1445" t="s">
        <v>942</v>
      </c>
      <c r="DU23" s="1446" t="s">
        <v>936</v>
      </c>
      <c r="DV23" s="1410"/>
      <c r="DW23" s="1410"/>
      <c r="DX23" s="1447"/>
      <c r="DY23" s="1447"/>
      <c r="DZ23" s="1447"/>
      <c r="EA23" s="1448"/>
      <c r="EB23" s="1447"/>
      <c r="EC23" s="1410"/>
      <c r="ED23" s="1410"/>
      <c r="EE23" s="1449" t="s">
        <v>944</v>
      </c>
      <c r="EF23" s="1449"/>
      <c r="EG23" s="1453" t="s">
        <v>499</v>
      </c>
      <c r="EH23" s="1453"/>
      <c r="EI23" s="1453"/>
      <c r="EJ23" s="1459"/>
      <c r="EK23" s="1410"/>
      <c r="EL23" s="1450"/>
      <c r="EN23" s="1267"/>
      <c r="EO23" s="1408" t="s">
        <v>950</v>
      </c>
      <c r="EP23" s="1411"/>
      <c r="EQ23" s="1410"/>
      <c r="ER23" s="1410"/>
      <c r="ES23" s="1411"/>
      <c r="ET23" s="1412"/>
      <c r="EU23" s="1414"/>
      <c r="EV23" s="1411"/>
      <c r="EW23" s="1390" t="s">
        <v>387</v>
      </c>
      <c r="EX23" s="1430"/>
      <c r="EY23" s="1430"/>
      <c r="FD23" s="1390" t="s">
        <v>387</v>
      </c>
      <c r="FE23" s="1430"/>
      <c r="FF23" s="1430"/>
      <c r="FL23" s="1430"/>
      <c r="FM23" s="1430"/>
      <c r="FN23" s="1451"/>
      <c r="FO23" s="1417"/>
      <c r="FP23" s="1417"/>
      <c r="FQ23" s="1417"/>
      <c r="FR23" s="1417"/>
      <c r="FS23" s="1419"/>
      <c r="FT23" s="1419"/>
      <c r="FU23" s="1417"/>
      <c r="FV23" s="1417"/>
      <c r="FW23" s="1417"/>
      <c r="FX23" s="1417"/>
      <c r="FY23" s="1417"/>
      <c r="FZ23" s="1419"/>
      <c r="GA23" s="1419"/>
      <c r="GB23" s="1417"/>
      <c r="GC23" s="1417"/>
      <c r="GD23" s="1417"/>
      <c r="GE23" s="1417"/>
      <c r="GF23" s="1417"/>
      <c r="GG23" s="1419"/>
      <c r="GH23" s="1419"/>
      <c r="GI23" s="1390" t="s">
        <v>387</v>
      </c>
      <c r="GJ23" s="1390"/>
      <c r="GK23" s="1390"/>
      <c r="GL23" s="1390"/>
      <c r="GM23" s="1390"/>
      <c r="GN23" s="1419"/>
      <c r="GO23" s="1419"/>
      <c r="GP23" s="1390" t="s">
        <v>387</v>
      </c>
      <c r="GQ23" s="1390"/>
      <c r="GR23" s="1390"/>
      <c r="GS23" s="1390"/>
      <c r="GT23" s="1390"/>
      <c r="GU23" s="1464"/>
      <c r="GV23" s="1464"/>
      <c r="HB23" s="1419"/>
      <c r="HC23" s="1419"/>
      <c r="HI23" s="1432"/>
      <c r="HJ23" s="1432"/>
      <c r="HP23" s="1419"/>
      <c r="HQ23" s="1419"/>
      <c r="HW23" s="1432"/>
      <c r="HX23" s="1432"/>
      <c r="IA23" s="1419"/>
      <c r="ID23" s="1432"/>
      <c r="IE23" s="1432"/>
      <c r="IK23" s="1432"/>
      <c r="IL23" s="1432"/>
      <c r="IR23" s="1432"/>
      <c r="IS23" s="1432"/>
      <c r="IY23" s="1419"/>
      <c r="IZ23" s="1419"/>
      <c r="JF23" s="1419"/>
      <c r="JG23" s="1419"/>
      <c r="JM23" s="1419"/>
      <c r="JN23" s="1419"/>
      <c r="JT23" s="1419"/>
      <c r="JU23" s="1419"/>
      <c r="KA23" s="1440"/>
      <c r="KB23" s="1440"/>
      <c r="KH23" s="1419"/>
      <c r="KI23" s="1419"/>
      <c r="KK23" s="1417"/>
      <c r="KL23" s="1417"/>
      <c r="KO23" s="1419"/>
      <c r="KP23" s="1419"/>
      <c r="KR23" s="1417"/>
      <c r="KS23" s="1417"/>
      <c r="KV23" s="1419"/>
      <c r="KW23" s="1419"/>
      <c r="KY23" s="1417"/>
      <c r="KZ23" s="1417"/>
      <c r="LC23" s="1419"/>
      <c r="LD23" s="1419"/>
      <c r="LF23" s="1523"/>
      <c r="LG23" s="1523"/>
      <c r="LJ23" s="1419"/>
      <c r="LK23" s="1419"/>
      <c r="LQ23" s="1419"/>
      <c r="LR23" s="1419"/>
      <c r="LX23" s="1419"/>
      <c r="LY23" s="1419"/>
      <c r="ME23" s="1419"/>
      <c r="MF23" s="1419"/>
      <c r="ML23" s="1419"/>
      <c r="MM23" s="1419"/>
      <c r="MS23" s="1419"/>
      <c r="MT23" s="1419"/>
      <c r="MZ23" s="1419"/>
      <c r="NA23" s="1419"/>
      <c r="NG23" s="1419"/>
      <c r="NH23" s="1419"/>
      <c r="NN23" s="1419"/>
      <c r="NO23" s="1419"/>
    </row>
    <row r="24" spans="1:382" ht="16.899999999999999" customHeight="1" x14ac:dyDescent="0.25">
      <c r="A24" s="81"/>
      <c r="DJ24" s="729"/>
      <c r="DK24" s="729"/>
      <c r="DL24" s="729"/>
      <c r="DM24" s="729"/>
      <c r="DN24" s="729"/>
      <c r="DO24" s="702"/>
      <c r="DP24" s="702"/>
      <c r="DQ24" s="729"/>
      <c r="DR24" s="729"/>
      <c r="DS24" s="729"/>
      <c r="DT24" s="1362"/>
      <c r="DU24" s="729"/>
      <c r="DV24" s="702"/>
      <c r="DW24" s="702"/>
      <c r="DX24" s="729"/>
      <c r="DY24" s="729"/>
      <c r="DZ24" s="729"/>
      <c r="EA24" s="1389"/>
      <c r="EB24" s="729"/>
      <c r="EC24" s="702"/>
      <c r="ED24" s="702"/>
      <c r="EE24" s="729"/>
      <c r="EF24" s="729"/>
      <c r="EG24" s="1267"/>
      <c r="EH24" s="1267"/>
      <c r="EI24" s="1267"/>
      <c r="EJ24" s="1406"/>
      <c r="EK24" s="702"/>
      <c r="EL24" s="1267"/>
      <c r="EM24" s="1267"/>
      <c r="EN24" s="1267"/>
      <c r="EO24" s="1267"/>
      <c r="EP24" s="1267"/>
      <c r="EQ24" s="702"/>
      <c r="ER24" s="702"/>
      <c r="EV24" s="1267"/>
      <c r="EW24" s="1267"/>
      <c r="FD24" s="458"/>
    </row>
    <row r="25" spans="1:382" s="593" customFormat="1" ht="16.899999999999999" hidden="1" customHeight="1" x14ac:dyDescent="0.2">
      <c r="A25" s="638" t="s">
        <v>193</v>
      </c>
      <c r="G25" s="611"/>
      <c r="H25" s="611"/>
      <c r="N25" s="611"/>
      <c r="O25" s="611"/>
      <c r="R25" s="622"/>
      <c r="S25" s="623" t="s">
        <v>460</v>
      </c>
      <c r="T25" s="624"/>
      <c r="U25" s="621"/>
      <c r="V25" s="625"/>
      <c r="W25" s="628" t="s">
        <v>464</v>
      </c>
      <c r="X25" s="631" t="s">
        <v>462</v>
      </c>
      <c r="Y25" s="623"/>
      <c r="Z25" s="631" t="s">
        <v>463</v>
      </c>
      <c r="AA25" s="623"/>
      <c r="AB25" s="621"/>
      <c r="AC25" s="621"/>
      <c r="AD25" s="698"/>
      <c r="AE25" s="698"/>
      <c r="AF25" s="712" t="s">
        <v>530</v>
      </c>
      <c r="AG25" s="722" t="s">
        <v>470</v>
      </c>
      <c r="AH25" s="617"/>
      <c r="AI25" s="611"/>
      <c r="AJ25" s="611"/>
      <c r="AK25" s="612"/>
      <c r="AL25" s="710" t="s">
        <v>537</v>
      </c>
      <c r="AM25" s="728" t="s">
        <v>529</v>
      </c>
      <c r="AN25" s="707" t="s">
        <v>532</v>
      </c>
      <c r="AO25" s="612"/>
      <c r="AP25" s="611"/>
      <c r="AQ25" s="611"/>
      <c r="AR25" s="632" t="s">
        <v>467</v>
      </c>
      <c r="AS25" s="655"/>
      <c r="AT25" s="655"/>
      <c r="AU25" s="655"/>
      <c r="AV25" s="639"/>
      <c r="AW25" s="611"/>
      <c r="AX25" s="611"/>
      <c r="AY25" s="655"/>
      <c r="AZ25" s="917"/>
      <c r="BA25" s="606" t="s">
        <v>614</v>
      </c>
      <c r="BB25" s="606" t="s">
        <v>562</v>
      </c>
      <c r="BC25" s="924" t="s">
        <v>556</v>
      </c>
      <c r="BD25" s="611"/>
      <c r="BE25" s="611"/>
      <c r="BF25" s="611"/>
      <c r="BG25" s="932" t="s">
        <v>387</v>
      </c>
      <c r="BH25" s="932"/>
      <c r="BI25" s="932"/>
      <c r="BJ25" s="932"/>
      <c r="BK25" s="931"/>
      <c r="BL25" s="931"/>
      <c r="BM25" s="958" t="s">
        <v>615</v>
      </c>
      <c r="BN25" s="959"/>
      <c r="BO25" s="960"/>
      <c r="BP25" s="949"/>
      <c r="BQ25" s="972" t="s">
        <v>624</v>
      </c>
      <c r="BR25" s="931"/>
      <c r="BS25" s="931"/>
      <c r="BT25" s="927"/>
      <c r="BU25" s="927"/>
      <c r="BV25" s="1032" t="s">
        <v>651</v>
      </c>
      <c r="BW25" s="982" t="s">
        <v>652</v>
      </c>
      <c r="BX25" s="982" t="s">
        <v>653</v>
      </c>
      <c r="BY25" s="611"/>
      <c r="BZ25" s="611"/>
      <c r="CA25" s="946" t="s">
        <v>653</v>
      </c>
      <c r="CB25" s="930" t="s">
        <v>631</v>
      </c>
      <c r="CC25" s="745"/>
      <c r="CD25" s="745"/>
      <c r="CE25" s="926" t="s">
        <v>619</v>
      </c>
      <c r="CF25" s="611"/>
      <c r="CG25" s="733"/>
      <c r="CH25" s="926"/>
      <c r="CI25" s="926" t="s">
        <v>640</v>
      </c>
      <c r="CJ25" s="1046"/>
      <c r="CK25" s="1041" t="s">
        <v>498</v>
      </c>
      <c r="CL25" s="637"/>
      <c r="CM25" s="637"/>
      <c r="CN25" s="637"/>
      <c r="CO25" s="926" t="s">
        <v>555</v>
      </c>
      <c r="CP25" s="1146" t="s">
        <v>498</v>
      </c>
      <c r="CQ25" s="1176" t="s">
        <v>627</v>
      </c>
      <c r="CR25" s="1176" t="s">
        <v>628</v>
      </c>
      <c r="CS25" s="1147"/>
      <c r="CT25" s="637"/>
      <c r="CU25" s="637"/>
      <c r="CV25" s="1178"/>
      <c r="CW25" s="1077" t="s">
        <v>656</v>
      </c>
      <c r="CX25" s="1077" t="s">
        <v>656</v>
      </c>
      <c r="CY25" s="1077" t="s">
        <v>656</v>
      </c>
      <c r="CZ25" s="1077" t="s">
        <v>656</v>
      </c>
      <c r="DA25" s="1078"/>
      <c r="DB25" s="1078"/>
      <c r="DC25" s="1077" t="s">
        <v>656</v>
      </c>
      <c r="DD25" s="1077" t="s">
        <v>656</v>
      </c>
      <c r="DE25" s="1244" t="s">
        <v>656</v>
      </c>
      <c r="DF25" s="1077" t="s">
        <v>656</v>
      </c>
      <c r="DG25" s="1077" t="s">
        <v>776</v>
      </c>
      <c r="DH25" s="1078"/>
      <c r="DI25" s="1078"/>
      <c r="DJ25" s="1077" t="s">
        <v>776</v>
      </c>
      <c r="DK25" s="1077" t="s">
        <v>776</v>
      </c>
      <c r="DL25" s="1077" t="s">
        <v>776</v>
      </c>
      <c r="DM25" s="1077" t="s">
        <v>776</v>
      </c>
      <c r="DN25" s="1077" t="s">
        <v>776</v>
      </c>
      <c r="DO25" s="702"/>
      <c r="DP25" s="1078"/>
      <c r="DQ25" s="1277" t="s">
        <v>936</v>
      </c>
      <c r="DR25" s="1278" t="s">
        <v>940</v>
      </c>
      <c r="DS25" s="1278" t="s">
        <v>896</v>
      </c>
      <c r="DT25" s="1279" t="s">
        <v>897</v>
      </c>
      <c r="DU25" s="1278" t="s">
        <v>787</v>
      </c>
      <c r="DV25" s="1078"/>
      <c r="DW25" s="1078"/>
      <c r="DX25" s="1390" t="s">
        <v>387</v>
      </c>
      <c r="DY25" s="1390"/>
      <c r="DZ25" s="1390"/>
      <c r="EA25" s="1393"/>
      <c r="EB25" s="1390"/>
      <c r="EC25" s="1078"/>
      <c r="ED25" s="1078"/>
      <c r="EE25" s="1390" t="s">
        <v>387</v>
      </c>
      <c r="EF25" s="1390"/>
      <c r="EG25" s="1390"/>
      <c r="EH25" s="1390"/>
      <c r="EI25" s="1390"/>
      <c r="EJ25" s="1458"/>
      <c r="EK25" s="1078"/>
      <c r="EL25" s="1391"/>
      <c r="EM25" s="1391"/>
      <c r="EN25" s="1391"/>
      <c r="EO25" s="1391"/>
      <c r="EP25" s="1391"/>
      <c r="EQ25" s="1078"/>
      <c r="ER25" s="1078"/>
      <c r="ES25" s="1391"/>
      <c r="ET25" s="1391"/>
      <c r="EU25" s="1391"/>
      <c r="EV25" s="1391"/>
      <c r="EW25" s="1391"/>
      <c r="EX25" s="931"/>
      <c r="EY25" s="931"/>
      <c r="FD25" s="733"/>
      <c r="FE25" s="931"/>
      <c r="FF25" s="931"/>
      <c r="FL25" s="931"/>
      <c r="FM25" s="931"/>
      <c r="FN25" s="1188"/>
      <c r="FO25" s="638"/>
      <c r="FP25" s="638"/>
      <c r="FQ25" s="638"/>
      <c r="FR25" s="638"/>
      <c r="FS25" s="611"/>
      <c r="FT25" s="611"/>
      <c r="FU25" s="638"/>
      <c r="FV25" s="638"/>
      <c r="FW25" s="638"/>
      <c r="FX25" s="638"/>
      <c r="FY25" s="638"/>
      <c r="FZ25" s="611"/>
      <c r="GA25" s="611"/>
      <c r="GB25" s="638"/>
      <c r="GC25" s="638"/>
      <c r="GD25" s="638"/>
      <c r="GE25" s="638"/>
      <c r="GF25" s="638"/>
      <c r="GG25" s="611"/>
      <c r="GH25" s="611"/>
      <c r="GI25" s="638"/>
      <c r="GJ25" s="638"/>
      <c r="GK25" s="638"/>
      <c r="GL25" s="638"/>
      <c r="GM25" s="638"/>
      <c r="GN25" s="611"/>
      <c r="GO25" s="611"/>
      <c r="GP25" s="638"/>
      <c r="GQ25" s="638"/>
      <c r="GR25" s="638"/>
      <c r="GU25" s="1463"/>
      <c r="GV25" s="1463"/>
      <c r="HB25" s="611"/>
      <c r="HC25" s="611"/>
      <c r="HI25" s="637"/>
      <c r="HJ25" s="637"/>
      <c r="HP25" s="611"/>
      <c r="HQ25" s="611"/>
      <c r="HW25" s="637"/>
      <c r="HX25" s="637"/>
      <c r="IA25" s="611"/>
      <c r="ID25" s="637"/>
      <c r="IE25" s="637"/>
      <c r="IK25" s="637"/>
      <c r="IL25" s="637"/>
      <c r="IR25" s="637"/>
      <c r="IS25" s="637"/>
      <c r="IY25" s="611"/>
      <c r="IZ25" s="611"/>
      <c r="JF25" s="611"/>
      <c r="JG25" s="611"/>
      <c r="JM25" s="611"/>
      <c r="JN25" s="611"/>
      <c r="JT25" s="611"/>
      <c r="JU25" s="611"/>
      <c r="KA25" s="641"/>
      <c r="KB25" s="641"/>
      <c r="KH25" s="611"/>
      <c r="KI25" s="611"/>
      <c r="KK25" s="638"/>
      <c r="KL25" s="638"/>
      <c r="KO25" s="611"/>
      <c r="KP25" s="611"/>
      <c r="KR25" s="638"/>
      <c r="KS25" s="638"/>
      <c r="KV25" s="611"/>
      <c r="KW25" s="611"/>
      <c r="KY25" s="638"/>
      <c r="KZ25" s="638"/>
      <c r="LC25" s="611"/>
      <c r="LD25" s="611"/>
      <c r="LF25" s="1074"/>
      <c r="LG25" s="1074"/>
      <c r="LJ25" s="611"/>
      <c r="LK25" s="611"/>
      <c r="LQ25" s="611"/>
      <c r="LR25" s="611"/>
      <c r="LX25" s="611"/>
      <c r="LY25" s="611"/>
      <c r="ME25" s="611"/>
      <c r="MF25" s="611"/>
      <c r="ML25" s="611"/>
      <c r="MM25" s="611"/>
      <c r="MS25" s="611"/>
      <c r="MT25" s="611"/>
      <c r="MZ25" s="611"/>
      <c r="NA25" s="611"/>
      <c r="NG25" s="611"/>
      <c r="NH25" s="611"/>
      <c r="NN25" s="611"/>
      <c r="NO25" s="611"/>
    </row>
    <row r="26" spans="1:382" ht="16.899999999999999" hidden="1" customHeight="1" x14ac:dyDescent="0.25">
      <c r="A26" s="81" t="s">
        <v>941</v>
      </c>
      <c r="AA26" s="968"/>
      <c r="AB26" s="621"/>
      <c r="AC26" s="621"/>
      <c r="AH26" s="969"/>
      <c r="AM26" s="970"/>
      <c r="AN26" s="971"/>
      <c r="AO26" s="971"/>
      <c r="AU26" s="598"/>
      <c r="AV26" s="450"/>
      <c r="AZ26" s="452"/>
      <c r="BA26" s="452"/>
      <c r="BB26" s="452"/>
      <c r="BG26" s="934"/>
      <c r="BH26" s="935"/>
      <c r="BI26" s="935"/>
      <c r="BJ26" s="935"/>
      <c r="BK26" s="925"/>
      <c r="BL26" s="925"/>
      <c r="BO26" s="935"/>
      <c r="BP26" s="934"/>
      <c r="BQ26" s="934"/>
      <c r="BR26" s="925"/>
      <c r="BS26" s="925"/>
      <c r="BT26" s="934"/>
      <c r="BU26" s="934"/>
      <c r="BV26" s="934"/>
      <c r="BW26" s="81" t="s">
        <v>126</v>
      </c>
      <c r="CP26" t="s">
        <v>126</v>
      </c>
      <c r="CV26" s="1035"/>
      <c r="CW26" s="1035"/>
      <c r="CX26" s="1035"/>
      <c r="CY26" s="1035"/>
      <c r="CZ26" s="1035"/>
      <c r="DJ26" s="729"/>
      <c r="DK26" s="729" t="s">
        <v>126</v>
      </c>
      <c r="DL26" s="729"/>
      <c r="DM26" s="729" t="s">
        <v>126</v>
      </c>
      <c r="DN26" s="729"/>
      <c r="DO26" s="702"/>
      <c r="DP26" s="702"/>
      <c r="DQ26" s="1281" t="s">
        <v>900</v>
      </c>
      <c r="DR26" s="729"/>
      <c r="DS26" s="729"/>
      <c r="DT26" s="1362"/>
      <c r="DU26" s="729"/>
      <c r="DV26" s="702"/>
      <c r="DW26" s="702"/>
      <c r="DX26" s="729"/>
      <c r="DY26" s="729"/>
      <c r="DZ26" s="729"/>
      <c r="EA26" s="1389"/>
      <c r="EB26" s="729"/>
      <c r="EC26" s="702"/>
      <c r="ED26" s="702"/>
      <c r="EE26" s="729"/>
      <c r="EF26" s="729"/>
      <c r="EG26" s="1267"/>
      <c r="EH26" s="1267"/>
      <c r="EI26" s="1267"/>
      <c r="EJ26" s="1406"/>
      <c r="EK26" s="702"/>
      <c r="EL26" s="1267"/>
      <c r="EM26" s="1267"/>
      <c r="EN26" s="1267"/>
      <c r="EO26" s="1267"/>
      <c r="EP26" s="1267"/>
      <c r="EQ26" s="702"/>
      <c r="ER26" s="702"/>
      <c r="ES26" s="1267"/>
      <c r="ET26" s="1267"/>
      <c r="EU26" s="1267"/>
      <c r="EV26" s="1267"/>
      <c r="EW26" s="1267"/>
      <c r="FD26" s="458"/>
    </row>
    <row r="27" spans="1:382" ht="16.899999999999999" customHeight="1" x14ac:dyDescent="0.25">
      <c r="A27" s="81"/>
      <c r="AA27" s="968"/>
      <c r="AB27" s="621"/>
      <c r="AC27" s="621"/>
      <c r="AH27" s="969"/>
      <c r="AM27" s="970"/>
      <c r="AN27" s="971"/>
      <c r="AO27" s="971"/>
      <c r="AU27" s="598"/>
      <c r="AV27" s="450"/>
      <c r="AZ27" s="452"/>
      <c r="BA27" s="452"/>
      <c r="BB27" s="452"/>
      <c r="BG27" s="934"/>
      <c r="BH27" s="935"/>
      <c r="BI27" s="935"/>
      <c r="BJ27" s="935"/>
      <c r="BK27" s="925"/>
      <c r="BL27" s="925"/>
      <c r="BO27" s="935"/>
      <c r="BP27" s="934"/>
      <c r="BQ27" s="934"/>
      <c r="BR27" s="925"/>
      <c r="BS27" s="925"/>
      <c r="BT27" s="934"/>
      <c r="BU27" s="934"/>
      <c r="BV27" s="934"/>
      <c r="CV27" s="1035"/>
      <c r="CW27" s="1035"/>
      <c r="CX27" s="1035"/>
      <c r="CY27" s="1035"/>
      <c r="CZ27" s="1035"/>
      <c r="DJ27" s="729"/>
      <c r="DK27" s="729"/>
      <c r="DL27" s="729"/>
      <c r="DM27" s="729"/>
      <c r="DN27" s="729"/>
      <c r="DO27" s="702"/>
      <c r="DP27" s="702"/>
      <c r="DQ27" s="729"/>
      <c r="DR27" s="729"/>
      <c r="DS27" s="729"/>
      <c r="DT27" s="1362"/>
      <c r="DU27" s="729"/>
      <c r="DV27" s="702"/>
      <c r="DW27" s="702"/>
      <c r="DX27" s="729"/>
      <c r="DY27" s="729"/>
      <c r="DZ27" s="729"/>
      <c r="EA27" s="1389"/>
      <c r="EB27" s="729"/>
      <c r="EC27" s="702"/>
      <c r="ED27" s="702"/>
      <c r="EE27" s="729"/>
      <c r="EF27" s="729"/>
      <c r="EG27" s="1267"/>
      <c r="EH27" s="1267"/>
      <c r="EI27" s="1267"/>
      <c r="EJ27" s="1406"/>
      <c r="EK27" s="702"/>
      <c r="EL27" s="1267"/>
      <c r="EM27" s="1267"/>
      <c r="EN27" s="1267"/>
      <c r="EO27" s="1267"/>
      <c r="EP27" s="1267"/>
      <c r="EQ27" s="702"/>
      <c r="ER27" s="702"/>
      <c r="ES27" s="1267"/>
      <c r="ET27" s="1267"/>
      <c r="EU27" s="1267"/>
      <c r="EV27" s="1267"/>
      <c r="EW27" s="1267"/>
      <c r="FD27" s="458"/>
    </row>
    <row r="28" spans="1:382" s="1062" customFormat="1" ht="32.450000000000003" customHeight="1" x14ac:dyDescent="0.4">
      <c r="A28" s="1347" t="s">
        <v>848</v>
      </c>
      <c r="R28" s="1348"/>
      <c r="AV28" s="1348"/>
      <c r="AY28" s="1349"/>
      <c r="BG28" s="1349"/>
      <c r="BM28" s="1350"/>
      <c r="CT28" s="1351"/>
      <c r="CU28" s="1351"/>
      <c r="DA28" s="1351"/>
      <c r="DB28" s="1351"/>
      <c r="DE28" s="1348"/>
      <c r="DH28" s="1351"/>
      <c r="DI28" s="1351"/>
      <c r="DO28" s="1351"/>
      <c r="DP28" s="1351"/>
      <c r="DV28" s="1351"/>
      <c r="DW28" s="1351"/>
      <c r="EC28" s="1351"/>
      <c r="ED28" s="1351"/>
      <c r="EJ28" s="1460"/>
      <c r="EQ28" s="1349"/>
      <c r="ER28" s="1349"/>
      <c r="EX28" s="1352"/>
      <c r="EY28" s="1352"/>
      <c r="FE28" s="1352"/>
      <c r="FF28" s="1352"/>
      <c r="FL28" s="1352"/>
      <c r="FM28" s="1352"/>
      <c r="FN28" s="1353"/>
      <c r="GU28" s="1462"/>
      <c r="GV28" s="1462"/>
      <c r="HB28" s="447"/>
      <c r="HC28" s="447"/>
      <c r="HI28" s="449"/>
      <c r="HJ28" s="449"/>
      <c r="HP28" s="447"/>
      <c r="HQ28" s="447"/>
      <c r="HW28" s="449"/>
      <c r="HX28" s="449"/>
      <c r="IA28" s="447"/>
      <c r="ID28" s="449"/>
      <c r="IE28" s="449"/>
      <c r="IK28" s="449"/>
      <c r="IL28" s="449"/>
      <c r="IR28" s="449"/>
      <c r="IS28" s="449"/>
      <c r="IY28" s="447"/>
      <c r="IZ28" s="447"/>
      <c r="JF28" s="447"/>
      <c r="JG28" s="447"/>
      <c r="JM28" s="447"/>
      <c r="JN28" s="447"/>
      <c r="JT28" s="447"/>
      <c r="JU28" s="447"/>
      <c r="KA28" s="448"/>
      <c r="KB28" s="448"/>
      <c r="KH28" s="447"/>
      <c r="KI28" s="447"/>
      <c r="KO28" s="447"/>
      <c r="KP28" s="447"/>
      <c r="KV28" s="447"/>
      <c r="KW28" s="447"/>
      <c r="LC28" s="447"/>
      <c r="LD28" s="447"/>
      <c r="LJ28" s="447"/>
      <c r="LK28" s="447"/>
      <c r="LQ28" s="447"/>
      <c r="LR28" s="447"/>
      <c r="LX28" s="447"/>
      <c r="LY28" s="447"/>
      <c r="ME28" s="447"/>
      <c r="MF28" s="447"/>
      <c r="ML28" s="447"/>
      <c r="MM28" s="447"/>
      <c r="MS28" s="447"/>
      <c r="MT28" s="447"/>
      <c r="MZ28" s="447"/>
      <c r="NA28" s="447"/>
      <c r="NG28" s="447"/>
      <c r="NH28" s="447"/>
      <c r="NN28" s="447"/>
      <c r="NO28" s="447"/>
    </row>
    <row r="29" spans="1:382" s="1367" customFormat="1" ht="16.899999999999999" customHeight="1" x14ac:dyDescent="0.25">
      <c r="A29" s="1366" t="s">
        <v>953</v>
      </c>
      <c r="R29" s="1368"/>
      <c r="AV29" s="1368"/>
      <c r="DE29" s="1368"/>
      <c r="DL29" s="1477" t="s">
        <v>427</v>
      </c>
      <c r="DM29" s="1475"/>
      <c r="DN29" s="1475"/>
      <c r="DO29" s="1475"/>
      <c r="DP29" s="1475"/>
      <c r="DQ29" s="1475"/>
      <c r="DR29" s="1475"/>
      <c r="DS29" s="1475"/>
      <c r="DT29" s="1475"/>
      <c r="DU29" s="1475"/>
      <c r="DV29" s="1475"/>
      <c r="DW29" s="1475"/>
      <c r="DX29" s="1475"/>
      <c r="DY29" s="1475"/>
      <c r="DZ29" s="1475"/>
      <c r="EA29" s="1475"/>
      <c r="EB29" s="1475"/>
      <c r="EC29" s="1475"/>
      <c r="ED29" s="1475"/>
      <c r="EE29" s="1475"/>
      <c r="EF29" s="1475"/>
      <c r="EG29" s="1475"/>
      <c r="EH29" s="1475"/>
      <c r="EI29" s="1476"/>
      <c r="EJ29" s="1455"/>
      <c r="EZ29" s="1552" t="s">
        <v>992</v>
      </c>
      <c r="FA29" s="1549"/>
      <c r="FB29" s="1549"/>
      <c r="FC29" s="1549"/>
      <c r="FD29" s="1549"/>
      <c r="FE29" s="1549"/>
      <c r="FF29" s="1549"/>
      <c r="FG29" s="1552" t="s">
        <v>992</v>
      </c>
      <c r="FH29" s="1549"/>
      <c r="FI29" s="1549"/>
      <c r="FJ29" s="1549"/>
      <c r="FK29" s="1549"/>
      <c r="FL29" s="1549"/>
      <c r="FM29" s="1549"/>
      <c r="FN29" s="1552" t="s">
        <v>992</v>
      </c>
      <c r="FO29" s="1549"/>
      <c r="FP29" s="1549"/>
      <c r="FQ29" s="1550"/>
      <c r="FR29" s="1549"/>
      <c r="FS29" s="1549"/>
      <c r="FT29" s="1549"/>
      <c r="FU29" s="1552" t="s">
        <v>992</v>
      </c>
      <c r="FV29" s="1549"/>
      <c r="FW29" s="1549"/>
      <c r="FX29" s="1549"/>
      <c r="FY29" s="1549"/>
      <c r="FZ29" s="1549"/>
      <c r="GA29" s="1549"/>
      <c r="GB29" s="1552" t="s">
        <v>992</v>
      </c>
      <c r="GC29" s="1549"/>
      <c r="GD29" s="1549"/>
      <c r="GE29" s="1549"/>
      <c r="GF29" s="1549"/>
      <c r="GG29" s="1549"/>
      <c r="GH29" s="1549"/>
      <c r="GI29" s="1552" t="s">
        <v>992</v>
      </c>
      <c r="GJ29" s="1549"/>
      <c r="GK29" s="1549"/>
      <c r="GL29" s="1549"/>
      <c r="GM29" s="1549"/>
      <c r="GN29" s="1549"/>
      <c r="GO29" s="1549"/>
      <c r="GP29" s="1552" t="s">
        <v>992</v>
      </c>
      <c r="GQ29" s="1549"/>
      <c r="GR29" s="1549"/>
      <c r="GS29" s="1549"/>
      <c r="GT29" s="1551"/>
      <c r="GU29" s="1465"/>
      <c r="GV29" s="1465"/>
      <c r="HB29" s="1469"/>
      <c r="HC29" s="1469"/>
      <c r="HI29" s="1516"/>
      <c r="HJ29" s="1516"/>
      <c r="HK29" s="1478"/>
      <c r="HP29" s="1469"/>
      <c r="HQ29" s="1469"/>
      <c r="HW29" s="1516"/>
      <c r="HX29" s="1516"/>
      <c r="IA29" s="1469"/>
      <c r="ID29" s="1516"/>
      <c r="IE29" s="1516"/>
      <c r="IK29" s="1516"/>
      <c r="IL29" s="1516"/>
      <c r="IR29" s="1516"/>
      <c r="IS29" s="1516"/>
      <c r="IY29" s="1469"/>
      <c r="IZ29" s="1469"/>
      <c r="JF29" s="1469"/>
      <c r="JG29" s="1469"/>
      <c r="JM29" s="1469"/>
      <c r="JN29" s="1469"/>
      <c r="JT29" s="1469"/>
      <c r="JU29" s="1469"/>
      <c r="KA29" s="1513"/>
      <c r="KB29" s="1513"/>
      <c r="KH29" s="1469"/>
      <c r="KI29" s="1469"/>
      <c r="KO29" s="1469"/>
      <c r="KP29" s="1469"/>
      <c r="KV29" s="1469"/>
      <c r="KW29" s="1469"/>
      <c r="LC29" s="1469"/>
      <c r="LD29" s="1469"/>
      <c r="LJ29" s="1469"/>
      <c r="LK29" s="1469"/>
      <c r="LQ29" s="1469"/>
      <c r="LR29" s="1469"/>
      <c r="LX29" s="1469"/>
      <c r="LY29" s="1469"/>
      <c r="ME29" s="1553" t="s">
        <v>993</v>
      </c>
      <c r="MF29" s="1554"/>
      <c r="MG29" s="1549"/>
      <c r="MH29" s="1549"/>
      <c r="MI29" s="1549"/>
      <c r="MJ29" s="1549"/>
      <c r="MK29" s="1549"/>
      <c r="ML29" s="1554"/>
      <c r="MM29" s="1554"/>
      <c r="MN29" s="1550" t="s">
        <v>993</v>
      </c>
      <c r="MO29" s="1549"/>
      <c r="MP29" s="1549"/>
      <c r="MQ29" s="1549"/>
      <c r="MR29" s="1549"/>
      <c r="MS29" s="1554"/>
      <c r="MT29" s="1554"/>
      <c r="MU29" s="1550" t="s">
        <v>993</v>
      </c>
      <c r="MV29" s="1550"/>
      <c r="MW29" s="1550"/>
      <c r="MX29" s="1550"/>
      <c r="MY29" s="1550"/>
      <c r="MZ29" s="1555"/>
      <c r="NA29" s="1555"/>
      <c r="NB29" s="1550" t="s">
        <v>993</v>
      </c>
      <c r="NC29" s="1550"/>
      <c r="ND29" s="1549"/>
      <c r="NE29" s="1549"/>
      <c r="NF29" s="1549"/>
      <c r="NG29" s="1554"/>
      <c r="NH29" s="1554"/>
      <c r="NI29" s="1549"/>
      <c r="NJ29" s="1551"/>
      <c r="NN29" s="1469"/>
      <c r="NO29" s="1469"/>
      <c r="NR29" s="1527" t="s">
        <v>600</v>
      </c>
    </row>
    <row r="30" spans="1:382" ht="16.899999999999999" customHeight="1" x14ac:dyDescent="0.25">
      <c r="A30" s="464" t="s">
        <v>948</v>
      </c>
      <c r="I30" s="81"/>
      <c r="J30" s="81"/>
      <c r="K30" s="81"/>
      <c r="L30" s="81"/>
      <c r="M30" s="81"/>
      <c r="AR30" s="457" t="s">
        <v>431</v>
      </c>
      <c r="AS30" s="82"/>
      <c r="AT30" s="82"/>
      <c r="AU30" s="82"/>
      <c r="AW30" s="450"/>
      <c r="CA30" s="595" t="s">
        <v>646</v>
      </c>
      <c r="CB30" s="82"/>
      <c r="CC30" s="82"/>
      <c r="CD30" s="82"/>
      <c r="CE30" s="82"/>
      <c r="CH30" s="82"/>
      <c r="CI30" s="82"/>
      <c r="CJ30" s="82"/>
      <c r="CK30" s="82"/>
      <c r="DL30" s="82"/>
      <c r="DM30" s="82"/>
      <c r="DN30" s="82"/>
      <c r="DQ30" s="82"/>
      <c r="DR30" s="82"/>
      <c r="DS30" s="82"/>
      <c r="DT30" s="82"/>
      <c r="DU30" s="82"/>
      <c r="DX30" s="82"/>
      <c r="DY30" s="82"/>
      <c r="DZ30" s="82"/>
      <c r="EA30" s="82"/>
      <c r="EB30" s="82"/>
      <c r="EE30" s="82"/>
      <c r="EF30" s="82"/>
      <c r="EG30" s="82"/>
      <c r="EH30" s="82"/>
      <c r="EI30" s="82"/>
      <c r="EL30" s="916" t="s">
        <v>387</v>
      </c>
      <c r="EM30" s="916"/>
      <c r="EN30" s="916"/>
      <c r="EO30" s="916"/>
      <c r="EP30" s="916"/>
      <c r="ES30" s="82"/>
      <c r="ET30" s="82"/>
      <c r="EU30" s="82"/>
      <c r="EV30" s="82"/>
      <c r="EW30" s="82"/>
      <c r="EZ30" s="82"/>
      <c r="FA30" s="82"/>
      <c r="FB30" s="82"/>
      <c r="FC30" s="82"/>
      <c r="FD30" s="82"/>
      <c r="FG30" s="82"/>
      <c r="FH30" s="82"/>
      <c r="FI30" s="82"/>
      <c r="FJ30" s="82"/>
      <c r="FK30" s="82"/>
      <c r="KK30"/>
      <c r="KL30"/>
      <c r="KR30"/>
      <c r="KS30"/>
      <c r="KY30"/>
      <c r="KZ30"/>
      <c r="LF30"/>
      <c r="LG30"/>
    </row>
    <row r="31" spans="1:382" ht="16.899999999999999" customHeight="1" x14ac:dyDescent="0.25">
      <c r="A31" s="464" t="s">
        <v>400</v>
      </c>
      <c r="I31" s="81"/>
      <c r="J31" s="81"/>
      <c r="K31" s="81"/>
      <c r="L31" s="81"/>
      <c r="M31" s="81"/>
      <c r="P31" s="81"/>
      <c r="Q31" s="81"/>
      <c r="R31" s="469"/>
      <c r="S31" s="81"/>
      <c r="T31" s="81"/>
      <c r="W31" s="81"/>
      <c r="X31" s="81"/>
      <c r="Y31" s="81"/>
      <c r="Z31" s="81"/>
      <c r="AA31" s="81"/>
      <c r="AD31" s="81"/>
      <c r="AE31" s="81"/>
      <c r="AF31" s="81"/>
      <c r="AG31" s="81"/>
      <c r="AH31" s="81"/>
      <c r="AK31" s="81"/>
      <c r="AU31" s="451" t="s">
        <v>427</v>
      </c>
      <c r="AW31" s="450"/>
      <c r="AY31" s="636" t="s">
        <v>387</v>
      </c>
      <c r="AZ31" s="640"/>
      <c r="BA31" s="640"/>
      <c r="BB31" s="640"/>
      <c r="BC31" s="640"/>
      <c r="BN31" s="747" t="s">
        <v>561</v>
      </c>
      <c r="BO31" s="465"/>
      <c r="BP31" s="465"/>
      <c r="BQ31" s="465"/>
      <c r="BT31" s="465"/>
      <c r="BU31" s="465"/>
      <c r="BV31" s="465"/>
      <c r="DL31" s="178"/>
      <c r="DM31" s="178"/>
      <c r="DN31" s="178"/>
      <c r="DQ31" s="178"/>
      <c r="DR31" s="178"/>
      <c r="DT31" s="81"/>
      <c r="DX31" s="178"/>
      <c r="DY31" s="178"/>
      <c r="DZ31" s="178"/>
      <c r="EA31" s="81"/>
      <c r="EE31" s="178"/>
      <c r="EF31" s="178"/>
      <c r="EG31" s="178"/>
      <c r="EL31" s="916" t="s">
        <v>387</v>
      </c>
      <c r="EM31" s="916"/>
      <c r="EN31" s="916"/>
      <c r="EO31" s="916"/>
      <c r="EP31" s="916"/>
      <c r="ES31" s="916" t="s">
        <v>387</v>
      </c>
      <c r="ET31" s="916"/>
      <c r="EU31" s="916"/>
      <c r="EV31" s="916"/>
      <c r="EW31" s="916"/>
      <c r="EZ31" s="1190" t="s">
        <v>427</v>
      </c>
      <c r="FA31" s="178"/>
      <c r="FB31" s="178"/>
      <c r="FC31" s="178"/>
      <c r="FD31" s="178"/>
      <c r="FG31" s="178" t="s">
        <v>775</v>
      </c>
      <c r="FH31" s="178"/>
      <c r="FI31" s="178"/>
      <c r="FJ31" s="178"/>
      <c r="FK31" s="178"/>
      <c r="FN31" s="178" t="s">
        <v>775</v>
      </c>
      <c r="FO31" s="178"/>
      <c r="FP31" s="178"/>
      <c r="FQ31" s="178"/>
      <c r="FR31" s="178"/>
      <c r="FU31" s="178" t="s">
        <v>775</v>
      </c>
      <c r="FV31" s="178"/>
      <c r="FW31" s="178"/>
      <c r="FX31" s="178"/>
      <c r="FY31" s="178"/>
      <c r="GB31" s="178" t="s">
        <v>775</v>
      </c>
      <c r="GC31" s="178"/>
      <c r="GD31" s="178"/>
      <c r="GE31" s="178"/>
      <c r="GF31" s="178"/>
      <c r="GI31" s="178" t="s">
        <v>388</v>
      </c>
      <c r="GJ31" s="178"/>
      <c r="GK31" s="178"/>
      <c r="GP31" s="178" t="s">
        <v>388</v>
      </c>
      <c r="GQ31" s="178"/>
      <c r="GR31" s="178"/>
      <c r="GW31" s="178" t="s">
        <v>388</v>
      </c>
      <c r="GX31" s="178"/>
      <c r="GY31" s="178"/>
      <c r="KK31"/>
      <c r="KL31"/>
      <c r="KR31"/>
      <c r="KS31"/>
      <c r="KY31"/>
      <c r="KZ31"/>
      <c r="LF31"/>
      <c r="LG31"/>
    </row>
    <row r="32" spans="1:382" ht="16.899999999999999" customHeight="1" x14ac:dyDescent="0.25">
      <c r="A32" s="464" t="s">
        <v>975</v>
      </c>
      <c r="I32" s="81"/>
      <c r="J32" s="81"/>
      <c r="K32" s="81"/>
      <c r="L32" s="81"/>
      <c r="M32" s="81"/>
      <c r="P32" s="81"/>
      <c r="Q32" s="81"/>
      <c r="R32" s="469"/>
      <c r="S32" s="81"/>
      <c r="T32" s="81"/>
      <c r="W32" s="81"/>
      <c r="X32" s="81"/>
      <c r="Y32" s="81"/>
      <c r="Z32" s="81"/>
      <c r="AA32" s="81"/>
      <c r="AD32" s="81"/>
      <c r="AE32" s="81"/>
      <c r="AF32" s="81"/>
      <c r="AG32" s="81"/>
      <c r="AH32" s="81"/>
      <c r="AK32" s="81"/>
      <c r="AU32" s="451"/>
      <c r="AW32" s="450"/>
      <c r="AY32" s="636"/>
      <c r="AZ32" s="640"/>
      <c r="BA32" s="640"/>
      <c r="BB32" s="640"/>
      <c r="BC32" s="640"/>
      <c r="BN32" s="747"/>
      <c r="BO32" s="465"/>
      <c r="BP32" s="465"/>
      <c r="BQ32" s="465"/>
      <c r="BT32" s="465"/>
      <c r="BU32" s="465"/>
      <c r="BV32" s="465"/>
      <c r="DL32" s="178"/>
      <c r="DM32" s="178"/>
      <c r="DN32" s="178"/>
      <c r="DQ32" s="178"/>
      <c r="DR32" s="178"/>
      <c r="DT32" s="81"/>
      <c r="EA32" s="81"/>
      <c r="EG32" s="81"/>
      <c r="EH32" s="81"/>
      <c r="EI32" s="81"/>
      <c r="EL32" s="81"/>
      <c r="EM32" s="81"/>
      <c r="EN32" s="81"/>
      <c r="EO32" s="81"/>
      <c r="EP32" s="81"/>
      <c r="ES32" s="81"/>
      <c r="ET32" s="81"/>
      <c r="EU32" s="81"/>
      <c r="EV32" s="81"/>
      <c r="EW32" s="81"/>
      <c r="EZ32" s="81"/>
      <c r="FA32" s="81"/>
      <c r="FB32" s="81"/>
      <c r="FC32" s="81"/>
      <c r="FD32" s="81"/>
      <c r="FG32" s="81"/>
      <c r="FH32" s="81"/>
      <c r="FI32" s="81"/>
      <c r="FJ32" s="81"/>
      <c r="FK32" s="81"/>
      <c r="FR32" s="1556"/>
      <c r="FU32" s="1556" t="s">
        <v>254</v>
      </c>
      <c r="FV32" s="1556"/>
      <c r="FW32" s="1556"/>
      <c r="FX32" s="1556"/>
      <c r="FY32" s="1556"/>
      <c r="GB32" s="81" t="s">
        <v>126</v>
      </c>
      <c r="GI32" s="1070"/>
      <c r="GJ32" s="1070"/>
      <c r="GK32" s="1070"/>
      <c r="GL32" s="1070"/>
      <c r="GM32" s="1070"/>
      <c r="GP32" s="1070"/>
      <c r="GQ32" s="1070"/>
      <c r="GR32" s="1070"/>
      <c r="GS32" s="1070"/>
      <c r="GT32" s="1070"/>
      <c r="GW32" s="1070"/>
      <c r="GX32" s="1070"/>
      <c r="GY32" s="1070"/>
      <c r="GZ32" s="1070"/>
      <c r="HA32" s="1070"/>
      <c r="HD32" s="1070"/>
      <c r="HE32" s="1070"/>
      <c r="HF32" s="1070"/>
      <c r="HG32" s="1070"/>
      <c r="HH32" s="1070"/>
      <c r="KK32"/>
      <c r="KL32"/>
      <c r="KR32"/>
      <c r="KS32"/>
      <c r="KY32"/>
      <c r="KZ32"/>
      <c r="LF32"/>
      <c r="LG32"/>
    </row>
    <row r="33" spans="1:379" ht="16.899999999999999" customHeight="1" x14ac:dyDescent="0.25">
      <c r="A33" s="462" t="s">
        <v>846</v>
      </c>
      <c r="DI33" s="448" t="s">
        <v>126</v>
      </c>
      <c r="DM33" s="81" t="s">
        <v>126</v>
      </c>
      <c r="DT33" s="81"/>
      <c r="EA33" s="81"/>
      <c r="EG33" s="81"/>
      <c r="EH33" s="81"/>
      <c r="EI33" s="81"/>
      <c r="EL33" s="81"/>
      <c r="EM33" s="81"/>
      <c r="EN33" s="81"/>
      <c r="EO33" s="81"/>
      <c r="EP33" s="81"/>
      <c r="ES33" s="81"/>
      <c r="ET33" s="81"/>
      <c r="EU33" s="81"/>
      <c r="EV33" s="81"/>
      <c r="EW33" s="81"/>
      <c r="EZ33" s="81"/>
      <c r="FA33" s="81"/>
      <c r="FB33" s="81"/>
      <c r="FC33" s="81"/>
      <c r="FD33" s="81"/>
      <c r="FG33" s="81"/>
      <c r="FH33" s="81"/>
      <c r="FI33" s="81"/>
      <c r="FJ33" s="81"/>
      <c r="FK33" s="81"/>
      <c r="GI33" s="1070"/>
      <c r="GJ33" s="1070"/>
      <c r="GK33" s="1070"/>
      <c r="GL33" s="1070"/>
      <c r="GM33" s="1070"/>
      <c r="GN33" s="448"/>
      <c r="GO33" s="448"/>
      <c r="GP33" s="1070"/>
      <c r="GQ33" s="1390" t="s">
        <v>387</v>
      </c>
      <c r="GR33" s="1390"/>
      <c r="GS33" s="1390"/>
      <c r="GT33" s="1390"/>
      <c r="GU33" s="1390"/>
      <c r="GV33" s="1390"/>
      <c r="GW33" s="1390" t="s">
        <v>387</v>
      </c>
      <c r="GX33" s="1390"/>
      <c r="GY33" s="1390"/>
      <c r="GZ33" s="1390"/>
      <c r="HA33" s="1390"/>
      <c r="HB33" s="1078"/>
      <c r="HC33" s="1078"/>
      <c r="HD33" s="1390" t="s">
        <v>387</v>
      </c>
      <c r="HE33" s="1390"/>
      <c r="HF33" s="1390"/>
      <c r="HG33" s="1390"/>
      <c r="HH33" s="1390"/>
      <c r="HY33" s="1070"/>
      <c r="HZ33" s="1070"/>
      <c r="IB33" s="1070"/>
      <c r="KK33"/>
      <c r="KL33"/>
      <c r="KR33"/>
      <c r="KS33"/>
      <c r="KY33"/>
      <c r="KZ33"/>
      <c r="LF33"/>
      <c r="LG33"/>
      <c r="MG33" s="1070"/>
      <c r="MH33" s="1070"/>
      <c r="MI33" s="1070"/>
      <c r="MN33" s="1070"/>
      <c r="MO33" s="1070"/>
      <c r="MP33" s="1070"/>
      <c r="MU33" s="1070"/>
      <c r="MV33" s="1070"/>
      <c r="MW33" s="1070"/>
    </row>
    <row r="34" spans="1:379" ht="16.899999999999999" customHeight="1" x14ac:dyDescent="0.25">
      <c r="A34" s="464" t="s">
        <v>648</v>
      </c>
      <c r="DT34" s="81"/>
      <c r="EA34" s="81"/>
      <c r="FC34" s="1390" t="s">
        <v>387</v>
      </c>
      <c r="FD34" s="1390"/>
      <c r="FG34" s="1390" t="s">
        <v>387</v>
      </c>
      <c r="FH34" s="1390"/>
      <c r="FI34" s="1390"/>
      <c r="FJ34" s="1390"/>
      <c r="FK34" s="1390"/>
      <c r="FN34" s="1390" t="s">
        <v>387</v>
      </c>
      <c r="FO34" s="1390"/>
      <c r="FP34" s="1390"/>
      <c r="FQ34" s="1390"/>
      <c r="FR34" s="1390"/>
      <c r="FT34" s="448"/>
      <c r="FU34" s="76"/>
      <c r="FV34" s="76"/>
      <c r="FW34" s="76"/>
      <c r="FX34" s="76"/>
      <c r="FY34" s="76"/>
      <c r="GA34" s="448"/>
      <c r="GB34" s="76"/>
      <c r="GC34" s="76"/>
      <c r="GD34" s="76"/>
      <c r="GE34" s="76"/>
      <c r="GF34" s="76"/>
      <c r="GI34" s="76"/>
      <c r="GJ34" s="76"/>
      <c r="GK34" s="76"/>
      <c r="GL34" s="76"/>
      <c r="GM34" s="76"/>
      <c r="GN34" s="448"/>
      <c r="GP34" s="76"/>
      <c r="GQ34" s="76"/>
      <c r="GR34" s="76"/>
      <c r="GS34" s="76"/>
      <c r="GT34" s="76"/>
      <c r="GW34" s="76"/>
      <c r="GX34" s="76"/>
      <c r="HD34" s="76"/>
      <c r="HE34" s="76"/>
      <c r="HK34" s="76"/>
      <c r="HL34" s="76"/>
      <c r="KK34"/>
      <c r="KL34"/>
      <c r="KR34"/>
      <c r="KS34"/>
      <c r="KY34"/>
      <c r="KZ34"/>
      <c r="LF34"/>
      <c r="LG34"/>
      <c r="MG34" s="76"/>
      <c r="MH34" s="76"/>
      <c r="MI34" s="76"/>
      <c r="MN34" s="76"/>
      <c r="MO34" s="76"/>
      <c r="MP34" s="76"/>
      <c r="MU34" s="76"/>
      <c r="MV34" s="76"/>
      <c r="MW34" s="76"/>
    </row>
    <row r="35" spans="1:379" ht="16.899999999999999" customHeight="1" x14ac:dyDescent="0.25">
      <c r="A35" s="464" t="s">
        <v>767</v>
      </c>
      <c r="DT35" s="81"/>
      <c r="EA35" s="81"/>
      <c r="GI35" s="1390" t="s">
        <v>387</v>
      </c>
      <c r="GJ35" s="1390"/>
      <c r="GK35" s="1390"/>
      <c r="GL35" s="1390"/>
      <c r="GM35" s="1390"/>
      <c r="GN35" s="448"/>
      <c r="GO35" s="448"/>
      <c r="GP35" s="1390" t="s">
        <v>387</v>
      </c>
      <c r="GQ35" s="1390"/>
      <c r="GR35" s="1390"/>
      <c r="GS35" s="1390"/>
      <c r="GT35" s="1390"/>
      <c r="GW35" s="180" t="s">
        <v>979</v>
      </c>
      <c r="GX35" s="180"/>
      <c r="GY35" s="180"/>
      <c r="GZ35" s="180"/>
      <c r="HD35" s="180" t="s">
        <v>979</v>
      </c>
      <c r="HE35" s="180"/>
      <c r="HF35" s="180"/>
      <c r="HG35" s="180"/>
      <c r="HK35" s="178" t="s">
        <v>994</v>
      </c>
      <c r="HL35" s="178"/>
      <c r="HM35" s="178"/>
      <c r="HN35" s="178"/>
      <c r="HO35" s="178"/>
      <c r="HR35" s="180" t="s">
        <v>980</v>
      </c>
      <c r="HS35" s="180"/>
      <c r="HT35" s="180"/>
      <c r="HU35" s="180"/>
      <c r="HV35" s="180"/>
      <c r="HY35" s="180" t="s">
        <v>980</v>
      </c>
      <c r="HZ35" s="180"/>
      <c r="IB35" s="180"/>
      <c r="IC35" s="180"/>
      <c r="IF35" s="180" t="s">
        <v>980</v>
      </c>
      <c r="IG35" s="180"/>
      <c r="IH35" s="180"/>
      <c r="II35" s="180"/>
      <c r="IJ35" s="180"/>
      <c r="KK35"/>
      <c r="KL35"/>
      <c r="KR35"/>
      <c r="KS35"/>
      <c r="KY35"/>
      <c r="KZ35"/>
      <c r="LF35"/>
      <c r="LG35"/>
      <c r="MG35" s="180"/>
      <c r="MH35" s="180"/>
      <c r="MI35" s="180"/>
      <c r="MN35" s="180"/>
      <c r="MO35" s="180"/>
      <c r="MP35" s="180"/>
      <c r="MU35" s="180"/>
      <c r="MV35" s="180"/>
      <c r="MW35" s="180"/>
    </row>
    <row r="36" spans="1:379" ht="16.899999999999999" customHeight="1" x14ac:dyDescent="0.25">
      <c r="A36" s="464" t="s">
        <v>783</v>
      </c>
      <c r="DT36" s="81"/>
      <c r="EA36" s="81"/>
      <c r="FU36" s="1556" t="s">
        <v>254</v>
      </c>
      <c r="FV36" s="1556"/>
      <c r="FW36" s="1556"/>
      <c r="FX36" s="1556"/>
      <c r="FY36" s="1556"/>
      <c r="GB36" s="1556" t="s">
        <v>254</v>
      </c>
      <c r="GC36" s="1556"/>
      <c r="GD36" s="1556"/>
      <c r="GE36" s="1556"/>
      <c r="GF36" s="1556"/>
      <c r="GI36" s="180" t="s">
        <v>978</v>
      </c>
      <c r="GJ36" s="180"/>
      <c r="GK36" s="180"/>
      <c r="GL36" s="180"/>
      <c r="GM36" s="180"/>
      <c r="GP36" s="180" t="s">
        <v>979</v>
      </c>
      <c r="GQ36" s="180"/>
      <c r="GR36" s="180"/>
      <c r="GS36" s="180"/>
      <c r="GT36" s="180"/>
      <c r="GW36" s="180" t="s">
        <v>979</v>
      </c>
      <c r="GX36" s="180"/>
      <c r="GY36" s="180"/>
      <c r="GZ36" s="180"/>
      <c r="HD36" s="180" t="s">
        <v>979</v>
      </c>
      <c r="HE36" s="180"/>
      <c r="HF36" s="180"/>
      <c r="HG36" s="180"/>
      <c r="HH36" s="180"/>
      <c r="HK36" s="178"/>
      <c r="HL36" s="178"/>
      <c r="HM36" s="178" t="s">
        <v>994</v>
      </c>
      <c r="HN36" s="178"/>
      <c r="HO36" s="178"/>
      <c r="HR36" s="180" t="s">
        <v>980</v>
      </c>
      <c r="HS36" s="180"/>
      <c r="HT36" s="180"/>
      <c r="HU36" s="180"/>
      <c r="HV36" s="180"/>
      <c r="IF36" s="180" t="s">
        <v>980</v>
      </c>
      <c r="IG36" s="180"/>
      <c r="IH36" s="180"/>
      <c r="II36" s="180"/>
      <c r="IJ36" s="180"/>
      <c r="KK36"/>
      <c r="KL36"/>
      <c r="KR36"/>
      <c r="KS36"/>
      <c r="KY36"/>
      <c r="KZ36"/>
      <c r="LF36"/>
      <c r="LG36"/>
    </row>
    <row r="37" spans="1:379" s="1455" customFormat="1" ht="16.899999999999999" customHeight="1" x14ac:dyDescent="0.25">
      <c r="A37" s="1454" t="s">
        <v>954</v>
      </c>
      <c r="GU37" s="1466"/>
      <c r="GV37" s="1466"/>
      <c r="HB37" s="1470"/>
      <c r="HC37" s="1470"/>
      <c r="HI37" s="980"/>
      <c r="HJ37" s="980"/>
      <c r="HP37" s="1470"/>
      <c r="HQ37" s="1470"/>
      <c r="HW37" s="980"/>
      <c r="HX37" s="980"/>
      <c r="IA37" s="1470"/>
      <c r="ID37" s="980"/>
      <c r="IE37" s="980"/>
      <c r="IK37" s="980"/>
      <c r="IL37" s="980"/>
      <c r="IR37" s="980"/>
      <c r="IS37" s="980"/>
      <c r="IY37" s="1470"/>
      <c r="IZ37" s="1470"/>
      <c r="JF37" s="1470"/>
      <c r="JG37" s="1470"/>
      <c r="JM37" s="1470"/>
      <c r="JN37" s="1470"/>
      <c r="JP37" s="1552" t="s">
        <v>992</v>
      </c>
      <c r="JQ37" s="1549"/>
      <c r="JR37" s="1549"/>
      <c r="JS37" s="1549"/>
      <c r="JT37" s="1549"/>
      <c r="JU37" s="1549"/>
      <c r="JV37" s="1552" t="s">
        <v>992</v>
      </c>
      <c r="JW37" s="1549"/>
      <c r="JX37" s="1549"/>
      <c r="JY37" s="1549"/>
      <c r="JZ37" s="1549"/>
      <c r="KA37" s="590"/>
      <c r="KB37" s="590"/>
      <c r="KC37" s="1552" t="s">
        <v>992</v>
      </c>
      <c r="KD37" s="1549"/>
      <c r="KE37" s="1549"/>
      <c r="KF37" s="1549"/>
      <c r="KG37" s="1549"/>
      <c r="KH37" s="1554"/>
      <c r="KI37" s="1554"/>
      <c r="KJ37" s="1552" t="s">
        <v>992</v>
      </c>
      <c r="KK37" s="1549"/>
      <c r="KL37" s="1549"/>
      <c r="KM37" s="1549"/>
      <c r="KN37" s="1549"/>
      <c r="KO37" s="1554"/>
      <c r="KP37" s="1554"/>
      <c r="KQ37" s="1552" t="s">
        <v>992</v>
      </c>
      <c r="KR37" s="1549"/>
      <c r="KS37" s="1549"/>
      <c r="KT37" s="1549"/>
      <c r="KU37" s="1549"/>
      <c r="KV37" s="1554"/>
      <c r="KW37" s="1554"/>
      <c r="KX37" s="1549"/>
      <c r="KY37" s="1549"/>
      <c r="KZ37" s="1551"/>
      <c r="LC37" s="1470"/>
      <c r="LD37" s="1470"/>
      <c r="LJ37" s="1470"/>
      <c r="LK37" s="1470"/>
      <c r="LQ37" s="1470"/>
      <c r="LR37" s="1470"/>
      <c r="LX37" s="1470"/>
      <c r="LY37" s="1470"/>
      <c r="ME37" s="1470"/>
      <c r="MF37" s="1470"/>
      <c r="ML37" s="1470"/>
      <c r="MM37" s="1470"/>
      <c r="MS37" s="1470"/>
      <c r="MT37" s="1470"/>
      <c r="MZ37" s="1470"/>
      <c r="NA37" s="1470"/>
      <c r="NG37" s="1470"/>
      <c r="NH37" s="1470"/>
      <c r="NN37" s="1470"/>
      <c r="NO37" s="1470"/>
    </row>
    <row r="38" spans="1:379" ht="16.899999999999999" customHeight="1" x14ac:dyDescent="0.25">
      <c r="A38" s="464" t="s">
        <v>948</v>
      </c>
      <c r="DT38" s="81"/>
      <c r="EA38" s="81"/>
      <c r="EG38" s="81"/>
      <c r="EH38" s="81"/>
      <c r="EI38" s="81"/>
      <c r="EK38" s="448"/>
      <c r="EQ38" s="448"/>
      <c r="ER38" s="448"/>
      <c r="ES38" s="81"/>
      <c r="ET38" s="81"/>
      <c r="EU38" s="81"/>
      <c r="EV38" s="81"/>
      <c r="EW38" s="81"/>
      <c r="FN38" s="82"/>
      <c r="FO38" s="82"/>
      <c r="FP38" s="82"/>
      <c r="FQ38" s="82"/>
      <c r="FR38" s="82"/>
      <c r="KK38"/>
      <c r="KL38"/>
      <c r="KR38"/>
      <c r="KS38"/>
      <c r="KY38"/>
      <c r="KZ38"/>
      <c r="LF38"/>
      <c r="LG38"/>
    </row>
    <row r="39" spans="1:379" ht="16.899999999999999" customHeight="1" x14ac:dyDescent="0.25">
      <c r="A39" s="464" t="s">
        <v>633</v>
      </c>
      <c r="DT39" s="81"/>
      <c r="EA39" s="81"/>
      <c r="EG39" s="81"/>
      <c r="EH39" s="81"/>
      <c r="EI39" s="81"/>
      <c r="EK39" s="448"/>
      <c r="EQ39" s="448"/>
      <c r="ER39" s="448"/>
      <c r="EZ39" s="178" t="s">
        <v>427</v>
      </c>
      <c r="FA39" s="178"/>
      <c r="FB39" s="178"/>
      <c r="FC39" s="178"/>
      <c r="FD39" s="178"/>
      <c r="FG39" s="178" t="s">
        <v>427</v>
      </c>
      <c r="FH39" s="178"/>
      <c r="FI39" s="178"/>
      <c r="FJ39" s="178"/>
      <c r="FK39" s="178"/>
      <c r="GI39" s="178" t="s">
        <v>775</v>
      </c>
      <c r="GJ39" s="178"/>
      <c r="GK39" s="178"/>
      <c r="GL39" s="178"/>
      <c r="GM39" s="178"/>
      <c r="GP39" s="178" t="s">
        <v>775</v>
      </c>
      <c r="GQ39" s="178"/>
      <c r="GR39" s="178"/>
      <c r="GS39" s="178"/>
      <c r="GT39" s="178"/>
      <c r="GW39" s="178" t="s">
        <v>775</v>
      </c>
      <c r="GX39" s="178"/>
      <c r="GY39" s="178"/>
      <c r="GZ39" s="178"/>
      <c r="HA39" s="178"/>
      <c r="HM39" t="s">
        <v>126</v>
      </c>
      <c r="IF39" s="178" t="s">
        <v>388</v>
      </c>
      <c r="IG39" s="178"/>
      <c r="IH39" s="178"/>
      <c r="IM39" s="178" t="s">
        <v>388</v>
      </c>
      <c r="IN39" s="178"/>
      <c r="IO39" s="178"/>
      <c r="IT39" s="178" t="s">
        <v>388</v>
      </c>
      <c r="IU39" s="178"/>
      <c r="IV39" s="178"/>
      <c r="KK39"/>
      <c r="KL39"/>
      <c r="KR39"/>
      <c r="KS39"/>
      <c r="KY39"/>
      <c r="KZ39"/>
      <c r="LF39"/>
      <c r="LG39"/>
    </row>
    <row r="40" spans="1:379" ht="16.899999999999999" customHeight="1" x14ac:dyDescent="0.25">
      <c r="A40" s="462" t="s">
        <v>846</v>
      </c>
      <c r="DT40" s="81"/>
      <c r="EA40" s="81"/>
      <c r="GR40" s="81" t="s">
        <v>126</v>
      </c>
      <c r="HY40" s="1070"/>
      <c r="HZ40" s="1070"/>
      <c r="IB40" s="1070"/>
      <c r="IC40" s="1070"/>
      <c r="IF40" s="1070"/>
      <c r="IG40" s="1070"/>
      <c r="IH40" s="1070"/>
      <c r="II40" s="1070"/>
      <c r="IJ40" s="1070"/>
      <c r="IM40" s="1070"/>
      <c r="IN40" s="1070"/>
      <c r="IO40" s="1070"/>
      <c r="IP40" s="1070"/>
      <c r="IQ40" s="1070"/>
      <c r="KK40"/>
      <c r="KL40"/>
      <c r="KR40"/>
      <c r="KS40"/>
      <c r="KY40"/>
      <c r="KZ40"/>
      <c r="LF40"/>
      <c r="LG40"/>
    </row>
    <row r="41" spans="1:379" ht="16.899999999999999" customHeight="1" x14ac:dyDescent="0.25">
      <c r="A41" s="464" t="s">
        <v>976</v>
      </c>
      <c r="DT41" s="81"/>
      <c r="EA41" s="81"/>
      <c r="GX41" t="s">
        <v>126</v>
      </c>
      <c r="HT41" s="76"/>
      <c r="HU41" s="76"/>
      <c r="HV41" s="76"/>
      <c r="HY41" s="76"/>
      <c r="HZ41" s="76"/>
      <c r="IB41" s="76"/>
      <c r="IC41" s="76"/>
      <c r="IF41" s="76"/>
      <c r="IG41" s="76"/>
      <c r="IH41" s="76"/>
      <c r="II41" s="76"/>
      <c r="IJ41" s="76"/>
      <c r="JO41" s="180" t="s">
        <v>979</v>
      </c>
      <c r="JP41" s="180"/>
      <c r="JQ41" s="180"/>
      <c r="JR41" s="180"/>
      <c r="JS41" s="180"/>
      <c r="JT41" s="449"/>
      <c r="JU41" s="449"/>
      <c r="JV41" s="180" t="s">
        <v>979</v>
      </c>
      <c r="JW41" s="180"/>
      <c r="JX41" s="180"/>
      <c r="JY41" s="180"/>
      <c r="JZ41" s="180"/>
      <c r="KK41"/>
      <c r="KL41"/>
      <c r="KR41"/>
      <c r="KS41"/>
      <c r="KY41"/>
      <c r="KZ41"/>
      <c r="LF41"/>
      <c r="LG41"/>
    </row>
    <row r="42" spans="1:379" ht="16.899999999999999" customHeight="1" x14ac:dyDescent="0.25">
      <c r="A42" s="464" t="s">
        <v>767</v>
      </c>
      <c r="DT42" s="81"/>
      <c r="EA42" s="81"/>
      <c r="FH42" t="s">
        <v>126</v>
      </c>
      <c r="GI42" s="1390" t="s">
        <v>387</v>
      </c>
      <c r="GJ42" s="1390"/>
      <c r="GK42" s="1390"/>
      <c r="GL42" s="1390"/>
      <c r="GM42" s="1390"/>
      <c r="GN42" s="448"/>
      <c r="GO42" s="448"/>
      <c r="GP42" s="1390" t="s">
        <v>387</v>
      </c>
      <c r="GQ42" s="1390"/>
      <c r="GR42" s="1390"/>
      <c r="GS42" s="1390"/>
      <c r="GT42" s="1390"/>
      <c r="IH42" t="s">
        <v>126</v>
      </c>
      <c r="IM42" s="180" t="s">
        <v>979</v>
      </c>
      <c r="IN42" s="180"/>
      <c r="IO42" s="180"/>
      <c r="IP42" s="180"/>
      <c r="IQ42" s="180"/>
      <c r="IT42" s="180" t="s">
        <v>979</v>
      </c>
      <c r="IU42" s="180"/>
      <c r="IV42" s="180"/>
      <c r="IW42" s="180"/>
      <c r="IX42" s="180"/>
      <c r="JA42" s="180" t="s">
        <v>979</v>
      </c>
      <c r="JB42" s="180"/>
      <c r="JC42" s="180"/>
      <c r="JD42" s="180"/>
      <c r="JE42" s="180"/>
      <c r="KK42"/>
      <c r="KL42"/>
      <c r="KR42"/>
      <c r="KS42"/>
      <c r="KY42"/>
      <c r="KZ42"/>
      <c r="LF42"/>
      <c r="LG42"/>
    </row>
    <row r="43" spans="1:379" ht="16.899999999999999" customHeight="1" x14ac:dyDescent="0.25">
      <c r="A43" s="464" t="s">
        <v>783</v>
      </c>
      <c r="DT43" s="81"/>
      <c r="EA43" s="81"/>
      <c r="IM43" s="180" t="s">
        <v>980</v>
      </c>
      <c r="IN43" s="180"/>
      <c r="IO43" s="180"/>
      <c r="IP43" s="180"/>
      <c r="IQ43" s="180"/>
      <c r="IT43" s="180" t="s">
        <v>980</v>
      </c>
      <c r="IU43" s="180"/>
      <c r="IV43" s="180"/>
      <c r="IW43" s="180"/>
      <c r="IX43" s="180"/>
      <c r="JA43" s="180" t="s">
        <v>980</v>
      </c>
      <c r="JB43" s="180"/>
      <c r="JC43" s="180"/>
      <c r="JD43" s="180"/>
      <c r="JE43" s="180"/>
      <c r="KK43"/>
      <c r="KL43"/>
      <c r="KR43"/>
      <c r="KS43"/>
      <c r="KY43"/>
      <c r="KZ43"/>
      <c r="LF43"/>
      <c r="LG43"/>
    </row>
    <row r="44" spans="1:379" s="1375" customFormat="1" ht="16.899999999999999" customHeight="1" x14ac:dyDescent="0.25">
      <c r="A44" s="1375" t="s">
        <v>707</v>
      </c>
      <c r="R44" s="1376"/>
      <c r="AV44" s="1376"/>
      <c r="DE44" s="1376"/>
      <c r="EJ44" s="1454"/>
      <c r="FN44" s="1377"/>
      <c r="GU44" s="1467"/>
      <c r="GV44" s="1467"/>
      <c r="HB44" s="1471"/>
      <c r="HC44" s="1471"/>
      <c r="HI44" s="1517"/>
      <c r="HJ44" s="1517"/>
      <c r="HP44" s="1471"/>
      <c r="HQ44" s="1471"/>
      <c r="HW44" s="1517"/>
      <c r="HX44" s="1517"/>
      <c r="IA44" s="1471"/>
      <c r="ID44" s="1517"/>
      <c r="IE44" s="1517"/>
      <c r="IK44" s="1517"/>
      <c r="IL44" s="1517"/>
      <c r="IR44" s="1517"/>
      <c r="IS44" s="1517"/>
      <c r="IY44" s="1471"/>
      <c r="IZ44" s="1471"/>
      <c r="JF44" s="1471"/>
      <c r="JG44" s="1471"/>
      <c r="JM44" s="1471"/>
      <c r="JN44" s="1471"/>
      <c r="JT44" s="1471"/>
      <c r="JU44" s="1471"/>
      <c r="KA44" s="1514"/>
      <c r="KB44" s="1514"/>
      <c r="KH44" s="1471"/>
      <c r="KI44" s="1471"/>
      <c r="KO44" s="1471"/>
      <c r="KP44" s="1471"/>
      <c r="KV44" s="1471"/>
      <c r="KW44" s="1471"/>
      <c r="LC44" s="1471"/>
      <c r="LD44" s="1471"/>
      <c r="LJ44" s="1471"/>
      <c r="LK44" s="1471"/>
      <c r="LQ44" s="1471"/>
      <c r="LR44" s="1471"/>
      <c r="LX44" s="1471"/>
      <c r="LY44" s="1471"/>
      <c r="ME44" s="1471"/>
      <c r="MF44" s="1471"/>
      <c r="ML44" s="1471"/>
      <c r="MM44" s="1471"/>
      <c r="MS44" s="1471"/>
      <c r="MT44" s="1471"/>
      <c r="MZ44" s="1471"/>
      <c r="NA44" s="1471"/>
      <c r="NG44" s="1471"/>
      <c r="NH44" s="1471"/>
      <c r="NN44" s="1471"/>
      <c r="NO44" s="1471"/>
    </row>
    <row r="45" spans="1:379" ht="16.899999999999999" customHeight="1" x14ac:dyDescent="0.25">
      <c r="A45" s="464" t="s">
        <v>948</v>
      </c>
      <c r="DT45" s="81"/>
      <c r="EA45" s="81"/>
      <c r="FU45" s="82"/>
      <c r="FV45" s="82"/>
      <c r="FW45" s="82"/>
      <c r="FX45" s="82"/>
      <c r="FY45" s="82"/>
      <c r="FZ45" s="448"/>
      <c r="GA45" s="448"/>
      <c r="GB45" s="82"/>
      <c r="GC45" s="82"/>
      <c r="GD45" s="82"/>
      <c r="GE45" s="82"/>
      <c r="GF45" s="82"/>
      <c r="GG45" s="448"/>
      <c r="GH45" s="448"/>
      <c r="GI45" s="82"/>
      <c r="GJ45" s="82"/>
      <c r="GK45" s="82"/>
      <c r="GL45" s="82"/>
      <c r="GM45" s="82"/>
      <c r="KK45"/>
      <c r="KL45"/>
      <c r="KR45"/>
      <c r="KS45"/>
      <c r="KY45"/>
      <c r="KZ45"/>
      <c r="LF45"/>
      <c r="LG45"/>
    </row>
    <row r="46" spans="1:379" ht="16.899999999999999" customHeight="1" x14ac:dyDescent="0.25">
      <c r="A46" s="464" t="s">
        <v>633</v>
      </c>
      <c r="DT46" s="81"/>
      <c r="EA46" s="81"/>
      <c r="GB46" s="1190" t="s">
        <v>427</v>
      </c>
      <c r="GC46" s="178"/>
      <c r="GD46" s="178"/>
      <c r="GE46" s="178"/>
      <c r="GF46" s="178"/>
      <c r="GG46" s="448"/>
      <c r="GH46" s="448"/>
      <c r="GI46" s="1190" t="s">
        <v>427</v>
      </c>
      <c r="GJ46" s="178"/>
      <c r="GK46" s="178"/>
      <c r="GL46" s="178"/>
      <c r="GM46" s="178"/>
      <c r="GN46" s="448"/>
      <c r="GO46" s="448"/>
      <c r="IV46" t="s">
        <v>126</v>
      </c>
      <c r="KK46"/>
      <c r="KL46"/>
      <c r="KR46"/>
      <c r="KS46"/>
      <c r="KY46"/>
      <c r="KZ46"/>
      <c r="LF46"/>
      <c r="LG46"/>
    </row>
    <row r="47" spans="1:379" ht="16.899999999999999" customHeight="1" x14ac:dyDescent="0.25">
      <c r="A47" s="464" t="s">
        <v>975</v>
      </c>
      <c r="DT47" s="81"/>
      <c r="EA47" s="81"/>
      <c r="KK47"/>
      <c r="KL47"/>
      <c r="KR47"/>
      <c r="KS47"/>
      <c r="KY47"/>
      <c r="KZ47"/>
      <c r="LF47"/>
      <c r="LG47"/>
    </row>
    <row r="48" spans="1:379" ht="16.899999999999999" customHeight="1" x14ac:dyDescent="0.25">
      <c r="A48" s="462" t="s">
        <v>846</v>
      </c>
      <c r="DT48" s="81"/>
      <c r="EA48" s="81"/>
      <c r="HZ48" t="s">
        <v>126</v>
      </c>
      <c r="KK48"/>
      <c r="KL48"/>
      <c r="KR48"/>
      <c r="KS48"/>
      <c r="KY48"/>
      <c r="KZ48"/>
      <c r="LF48"/>
      <c r="LG48"/>
    </row>
    <row r="49" spans="1:379" ht="16.899999999999999" customHeight="1" x14ac:dyDescent="0.25">
      <c r="A49" s="464" t="s">
        <v>648</v>
      </c>
      <c r="DT49" s="81"/>
      <c r="EA49" s="81"/>
      <c r="KK49"/>
      <c r="KL49"/>
      <c r="KR49"/>
      <c r="KS49"/>
      <c r="KY49"/>
      <c r="KZ49"/>
      <c r="LF49"/>
      <c r="LG49"/>
    </row>
    <row r="50" spans="1:379" ht="16.899999999999999" customHeight="1" x14ac:dyDescent="0.25">
      <c r="A50" s="464" t="s">
        <v>767</v>
      </c>
      <c r="DT50" s="81"/>
      <c r="EA50" s="81"/>
      <c r="HR50" t="s">
        <v>126</v>
      </c>
      <c r="KK50"/>
      <c r="KL50"/>
      <c r="KR50"/>
      <c r="KS50"/>
      <c r="KY50"/>
      <c r="KZ50"/>
      <c r="LF50"/>
      <c r="LG50"/>
    </row>
    <row r="51" spans="1:379" ht="16.899999999999999" customHeight="1" x14ac:dyDescent="0.25">
      <c r="A51" s="464" t="s">
        <v>783</v>
      </c>
      <c r="DT51" s="81"/>
      <c r="EA51" s="81"/>
      <c r="KK51"/>
      <c r="KL51"/>
      <c r="KR51"/>
      <c r="KS51"/>
      <c r="KY51"/>
      <c r="KZ51"/>
      <c r="LF51"/>
      <c r="LG51"/>
    </row>
    <row r="52" spans="1:379" s="1375" customFormat="1" ht="16.899999999999999" customHeight="1" x14ac:dyDescent="0.25">
      <c r="A52" s="1375" t="s">
        <v>855</v>
      </c>
      <c r="R52" s="1376"/>
      <c r="AV52" s="1376"/>
      <c r="DE52" s="1376"/>
      <c r="EJ52" s="1454"/>
      <c r="FN52" s="1377"/>
      <c r="GU52" s="1467"/>
      <c r="GV52" s="1467"/>
      <c r="HB52" s="1471"/>
      <c r="HC52" s="1471"/>
      <c r="HI52" s="1517"/>
      <c r="HJ52" s="1517"/>
      <c r="HP52" s="1471"/>
      <c r="HQ52" s="1471"/>
      <c r="HW52" s="1517"/>
      <c r="HX52" s="1517"/>
      <c r="IA52" s="1471"/>
      <c r="ID52" s="1517"/>
      <c r="IE52" s="1517"/>
      <c r="IK52" s="1517"/>
      <c r="IL52" s="1517"/>
      <c r="IR52" s="1517"/>
      <c r="IS52" s="1517"/>
      <c r="IY52" s="1471"/>
      <c r="IZ52" s="1471"/>
      <c r="JF52" s="1471"/>
      <c r="JG52" s="1471"/>
      <c r="JM52" s="1471"/>
      <c r="JN52" s="1471"/>
      <c r="JT52" s="1471"/>
      <c r="JU52" s="1471"/>
      <c r="KA52" s="1514"/>
      <c r="KB52" s="1514"/>
      <c r="KH52" s="1471"/>
      <c r="KI52" s="1471"/>
      <c r="KO52" s="1471"/>
      <c r="KP52" s="1471"/>
      <c r="KV52" s="1471"/>
      <c r="KW52" s="1471"/>
      <c r="LC52" s="1471"/>
      <c r="LD52" s="1471"/>
      <c r="LJ52" s="1471"/>
      <c r="LK52" s="1471"/>
      <c r="LQ52" s="1471"/>
      <c r="LR52" s="1471"/>
      <c r="LX52" s="1471"/>
      <c r="LY52" s="1471"/>
      <c r="ME52" s="1471"/>
      <c r="MF52" s="1471"/>
      <c r="ML52" s="1471"/>
      <c r="MM52" s="1471"/>
      <c r="MS52" s="1471"/>
      <c r="MT52" s="1471"/>
      <c r="MZ52" s="1471"/>
      <c r="NA52" s="1471"/>
      <c r="NG52" s="1471"/>
      <c r="NH52" s="1471"/>
      <c r="NN52" s="1471"/>
      <c r="NO52" s="1471"/>
    </row>
    <row r="53" spans="1:379" ht="16.899999999999999" customHeight="1" x14ac:dyDescent="0.25">
      <c r="A53" s="464" t="s">
        <v>948</v>
      </c>
      <c r="DT53" s="81"/>
      <c r="EA53" s="81"/>
      <c r="HK53" s="82"/>
      <c r="HL53" s="82"/>
      <c r="KK53"/>
      <c r="KL53"/>
      <c r="KR53"/>
      <c r="KS53"/>
      <c r="KY53"/>
      <c r="KZ53"/>
      <c r="LF53"/>
      <c r="LG53"/>
    </row>
    <row r="54" spans="1:379" ht="16.899999999999999" customHeight="1" x14ac:dyDescent="0.25">
      <c r="A54" s="464" t="s">
        <v>400</v>
      </c>
      <c r="DT54" s="81"/>
      <c r="EA54" s="81"/>
      <c r="HK54" s="1190"/>
      <c r="HL54" s="178"/>
      <c r="KK54"/>
      <c r="KL54"/>
      <c r="KR54"/>
      <c r="KS54"/>
      <c r="KY54"/>
      <c r="KZ54"/>
      <c r="LF54"/>
      <c r="LG54"/>
    </row>
    <row r="55" spans="1:379" ht="16.899999999999999" customHeight="1" x14ac:dyDescent="0.25">
      <c r="A55" s="462" t="s">
        <v>846</v>
      </c>
      <c r="DT55" s="81"/>
      <c r="EA55" s="81"/>
      <c r="HK55" s="1070"/>
      <c r="HL55" s="81"/>
      <c r="KK55"/>
      <c r="KL55"/>
      <c r="KR55"/>
      <c r="KS55"/>
      <c r="KY55"/>
      <c r="KZ55"/>
      <c r="LF55"/>
      <c r="LG55"/>
    </row>
    <row r="56" spans="1:379" ht="16.899999999999999" customHeight="1" x14ac:dyDescent="0.25">
      <c r="A56" s="464" t="s">
        <v>648</v>
      </c>
      <c r="DT56" s="81"/>
      <c r="EA56" s="81"/>
      <c r="HK56" s="76"/>
      <c r="HL56" s="81"/>
      <c r="KK56"/>
      <c r="KL56"/>
      <c r="KR56"/>
      <c r="KS56"/>
      <c r="KY56"/>
      <c r="KZ56"/>
      <c r="LF56"/>
      <c r="LG56"/>
    </row>
    <row r="57" spans="1:379" ht="16.899999999999999" customHeight="1" x14ac:dyDescent="0.25">
      <c r="A57" s="464" t="s">
        <v>124</v>
      </c>
      <c r="DT57" s="81"/>
      <c r="EA57" s="81"/>
      <c r="HK57" s="73"/>
      <c r="HL57" s="81"/>
      <c r="KK57"/>
      <c r="KL57"/>
      <c r="KR57"/>
      <c r="KS57"/>
      <c r="KY57"/>
      <c r="KZ57"/>
      <c r="LF57"/>
      <c r="LG57"/>
    </row>
    <row r="58" spans="1:379" ht="16.899999999999999" customHeight="1" x14ac:dyDescent="0.25">
      <c r="A58" s="464"/>
      <c r="DT58" s="81"/>
      <c r="EA58" s="81"/>
      <c r="KK58"/>
      <c r="KL58"/>
      <c r="KR58"/>
      <c r="KS58"/>
      <c r="KY58"/>
      <c r="KZ58"/>
      <c r="LF58"/>
      <c r="LG58"/>
    </row>
    <row r="59" spans="1:379" s="1064" customFormat="1" ht="16.899999999999999" customHeight="1" x14ac:dyDescent="0.25">
      <c r="A59" s="1063" t="s">
        <v>649</v>
      </c>
      <c r="R59" s="1065"/>
      <c r="AV59" s="1065"/>
      <c r="AY59" s="1066"/>
      <c r="BG59" s="1066"/>
      <c r="CD59" s="1068" t="s">
        <v>551</v>
      </c>
      <c r="CT59" s="1067"/>
      <c r="CU59" s="1067"/>
      <c r="DA59" s="1067"/>
      <c r="DB59" s="1067"/>
      <c r="DE59" s="1065"/>
      <c r="DH59" s="1067"/>
      <c r="DI59" s="1067"/>
      <c r="DO59" s="1067"/>
      <c r="DP59" s="1067"/>
      <c r="DV59" s="1067"/>
      <c r="DW59" s="1067"/>
      <c r="EC59" s="1067"/>
      <c r="ED59" s="1067"/>
      <c r="EJ59" s="1460"/>
      <c r="EQ59" s="1066"/>
      <c r="ER59" s="1066"/>
      <c r="EX59" s="1185"/>
      <c r="EY59" s="1185"/>
      <c r="FE59" s="1185"/>
      <c r="FF59" s="1185"/>
      <c r="FL59" s="1185"/>
      <c r="FM59" s="1185"/>
      <c r="FN59" s="1189"/>
      <c r="GU59" s="1468"/>
      <c r="GV59" s="1468"/>
      <c r="HB59" s="1472"/>
      <c r="HC59" s="1472"/>
      <c r="HI59" s="1516"/>
      <c r="HJ59" s="1516"/>
      <c r="HP59" s="1472"/>
      <c r="HQ59" s="1472"/>
      <c r="HW59" s="1516"/>
      <c r="HX59" s="1516"/>
      <c r="IA59" s="1472"/>
      <c r="ID59" s="1516"/>
      <c r="IE59" s="1516"/>
      <c r="IK59" s="1516"/>
      <c r="IL59" s="1516"/>
      <c r="IR59" s="1516"/>
      <c r="IS59" s="1516"/>
      <c r="IY59" s="1472"/>
      <c r="IZ59" s="1472"/>
      <c r="JF59" s="1472"/>
      <c r="JG59" s="1472"/>
      <c r="JM59" s="1472"/>
      <c r="JN59" s="1472"/>
      <c r="JT59" s="1472"/>
      <c r="JU59" s="1472"/>
      <c r="KA59" s="1513"/>
      <c r="KB59" s="1513"/>
      <c r="KH59" s="1472"/>
      <c r="KI59" s="1472"/>
      <c r="KO59" s="1472"/>
      <c r="KP59" s="1472"/>
      <c r="KV59" s="1472"/>
      <c r="KW59" s="1472"/>
      <c r="LC59" s="1472"/>
      <c r="LD59" s="1472"/>
      <c r="LF59" s="1524"/>
      <c r="LG59" s="1524"/>
      <c r="LJ59" s="1472"/>
      <c r="LK59" s="1472"/>
      <c r="LQ59" s="1472"/>
      <c r="LR59" s="1472"/>
      <c r="LX59" s="1472"/>
      <c r="LY59" s="1472"/>
      <c r="ME59" s="1472"/>
      <c r="MF59" s="1472"/>
      <c r="ML59" s="1472"/>
      <c r="MM59" s="1472"/>
      <c r="MS59" s="1472"/>
      <c r="MT59" s="1472"/>
      <c r="MZ59" s="1472"/>
      <c r="NA59" s="1472"/>
      <c r="NG59" s="1472"/>
      <c r="NH59" s="1472"/>
      <c r="NN59" s="1472"/>
      <c r="NO59" s="1472"/>
    </row>
    <row r="60" spans="1:379" ht="16.899999999999999" customHeight="1" x14ac:dyDescent="0.25">
      <c r="A60" s="464" t="s">
        <v>633</v>
      </c>
      <c r="AY60" s="636" t="s">
        <v>387</v>
      </c>
      <c r="AZ60" s="640"/>
      <c r="BA60" s="640"/>
      <c r="BB60" s="640"/>
      <c r="BC60" s="640"/>
      <c r="BP60"/>
      <c r="BV60" s="1044" t="s">
        <v>638</v>
      </c>
      <c r="BW60" s="1045"/>
      <c r="BX60" s="448"/>
      <c r="BY60" s="448"/>
      <c r="DT60" s="81"/>
      <c r="EA60" s="81"/>
      <c r="EG60" s="81"/>
    </row>
    <row r="61" spans="1:379" ht="16.899999999999999" customHeight="1" x14ac:dyDescent="0.25">
      <c r="A61" s="464" t="s">
        <v>401</v>
      </c>
      <c r="BO61" s="81"/>
      <c r="BY61" s="448"/>
      <c r="DT61" s="81"/>
      <c r="EA61" s="81"/>
      <c r="EG61" s="81"/>
    </row>
    <row r="62" spans="1:379" ht="16.899999999999999" customHeight="1" x14ac:dyDescent="0.25">
      <c r="A62" s="462" t="s">
        <v>402</v>
      </c>
      <c r="BX62" s="1042"/>
      <c r="BY62" s="448"/>
      <c r="DT62" s="81"/>
      <c r="EA62" s="81"/>
      <c r="EG62" s="81"/>
    </row>
    <row r="63" spans="1:379" ht="16.899999999999999" customHeight="1" x14ac:dyDescent="0.25">
      <c r="A63" s="462" t="s">
        <v>403</v>
      </c>
      <c r="BM63" s="729"/>
      <c r="BY63" s="448"/>
      <c r="CA63" s="1043" t="s">
        <v>654</v>
      </c>
      <c r="CB63" s="1043" t="s">
        <v>659</v>
      </c>
      <c r="DT63" s="81"/>
      <c r="EA63" s="81"/>
      <c r="EG63" s="81"/>
    </row>
    <row r="64" spans="1:379" ht="16.899999999999999" customHeight="1" x14ac:dyDescent="0.25">
      <c r="A64" s="462"/>
      <c r="BM64" s="729"/>
      <c r="BY64" s="448"/>
      <c r="CA64" s="1346"/>
      <c r="CB64" s="1346"/>
      <c r="DT64" s="81"/>
      <c r="EA64" s="81"/>
      <c r="EG64" s="81"/>
    </row>
    <row r="65" spans="1:379" s="458" customFormat="1" ht="31.15" customHeight="1" x14ac:dyDescent="0.4">
      <c r="A65" s="1360" t="s">
        <v>949</v>
      </c>
      <c r="R65" s="1361"/>
      <c r="AV65" s="1361"/>
      <c r="AY65" s="1042"/>
      <c r="BG65" s="1042"/>
      <c r="BM65" s="1362"/>
      <c r="CT65" s="1037"/>
      <c r="CU65" s="1037"/>
      <c r="DA65" s="1037"/>
      <c r="DB65" s="1037"/>
      <c r="DE65" s="1361"/>
      <c r="DH65" s="1037"/>
      <c r="DI65" s="1037"/>
      <c r="DO65" s="1037"/>
      <c r="DP65" s="1037"/>
      <c r="DV65" s="1037"/>
      <c r="DW65" s="1037"/>
      <c r="EC65" s="1037"/>
      <c r="ED65" s="1037"/>
      <c r="EJ65" s="1461"/>
      <c r="EQ65" s="1042"/>
      <c r="ER65" s="1042"/>
      <c r="EX65" s="1363"/>
      <c r="EY65" s="1363"/>
      <c r="FE65" s="1363"/>
      <c r="FF65" s="1363"/>
      <c r="FL65" s="1363"/>
      <c r="FM65" s="1363"/>
      <c r="FN65" s="1364"/>
      <c r="GU65" s="1462"/>
      <c r="GV65" s="1462"/>
      <c r="HB65" s="447"/>
      <c r="HC65" s="447"/>
      <c r="HI65" s="449"/>
      <c r="HJ65" s="449"/>
      <c r="HP65" s="447"/>
      <c r="HQ65" s="447"/>
      <c r="HW65" s="449"/>
      <c r="HX65" s="449"/>
      <c r="IA65" s="447"/>
      <c r="ID65" s="449"/>
      <c r="IE65" s="449"/>
      <c r="IK65" s="449"/>
      <c r="IL65" s="449"/>
      <c r="IR65" s="449"/>
      <c r="IS65" s="449"/>
      <c r="IY65" s="447"/>
      <c r="IZ65" s="447"/>
      <c r="JF65" s="447"/>
      <c r="JG65" s="447"/>
      <c r="JM65" s="447"/>
      <c r="JN65" s="447"/>
      <c r="JT65" s="447"/>
      <c r="JU65" s="447"/>
      <c r="KA65" s="448"/>
      <c r="KB65" s="448"/>
      <c r="KH65" s="447"/>
      <c r="KI65" s="447"/>
      <c r="KK65" s="81"/>
      <c r="KL65" s="81"/>
      <c r="KO65" s="447"/>
      <c r="KP65" s="447"/>
      <c r="KR65" s="81"/>
      <c r="KS65" s="81"/>
      <c r="KV65" s="447"/>
      <c r="KW65" s="447"/>
      <c r="KY65" s="81"/>
      <c r="KZ65" s="81"/>
      <c r="LC65" s="447"/>
      <c r="LD65" s="447"/>
      <c r="LF65" s="456"/>
      <c r="LG65" s="456"/>
      <c r="LJ65" s="447"/>
      <c r="LK65" s="447"/>
      <c r="LQ65" s="447"/>
      <c r="LR65" s="447"/>
      <c r="LX65" s="447"/>
      <c r="LY65" s="447"/>
      <c r="ME65" s="447"/>
      <c r="MF65" s="447"/>
      <c r="ML65" s="447"/>
      <c r="MM65" s="447"/>
      <c r="MS65" s="447"/>
      <c r="MT65" s="447"/>
      <c r="MZ65" s="447"/>
      <c r="NA65" s="447"/>
      <c r="NG65" s="447"/>
      <c r="NH65" s="447"/>
      <c r="NN65" s="447"/>
      <c r="NO65" s="447"/>
    </row>
    <row r="66" spans="1:379" s="1343" customFormat="1" ht="16.899999999999999" customHeight="1" x14ac:dyDescent="0.25">
      <c r="A66" s="1354" t="s">
        <v>766</v>
      </c>
      <c r="R66" s="1355"/>
      <c r="AV66" s="1355"/>
      <c r="AY66" s="1356"/>
      <c r="BG66" s="1356"/>
      <c r="CT66" s="1357"/>
      <c r="CU66" s="1357"/>
      <c r="DA66" s="1357"/>
      <c r="DB66" s="1357"/>
      <c r="DE66" s="1355"/>
      <c r="DH66" s="1357"/>
      <c r="DI66" s="1357"/>
      <c r="DO66" s="1357"/>
      <c r="DP66" s="1357"/>
      <c r="DV66" s="1357"/>
      <c r="DW66" s="1357"/>
      <c r="EC66" s="1357"/>
      <c r="ED66" s="1357"/>
      <c r="EJ66" s="1461"/>
      <c r="EQ66" s="1356"/>
      <c r="ER66" s="1356"/>
      <c r="EX66" s="1358"/>
      <c r="EY66" s="1358"/>
      <c r="FE66" s="1358"/>
      <c r="FF66" s="1358"/>
      <c r="FL66" s="1358"/>
      <c r="FM66" s="1358"/>
      <c r="FN66" s="1255"/>
      <c r="GU66" s="1468"/>
      <c r="GV66" s="1468"/>
      <c r="HB66" s="1472"/>
      <c r="HC66" s="1472"/>
      <c r="HI66" s="1516"/>
      <c r="HJ66" s="1516"/>
      <c r="HP66" s="1472"/>
      <c r="HQ66" s="1472"/>
      <c r="HW66" s="1516"/>
      <c r="HX66" s="1516"/>
      <c r="IA66" s="1472"/>
      <c r="ID66" s="1516"/>
      <c r="IE66" s="1516"/>
      <c r="IK66" s="1516"/>
      <c r="IL66" s="1516"/>
      <c r="IR66" s="1516"/>
      <c r="IS66" s="1516"/>
      <c r="IY66" s="1472"/>
      <c r="IZ66" s="1472"/>
      <c r="JF66" s="1472"/>
      <c r="JG66" s="1472"/>
      <c r="JM66" s="1472"/>
      <c r="JN66" s="1472"/>
      <c r="JT66" s="1472"/>
      <c r="JU66" s="1472"/>
      <c r="KA66" s="1513"/>
      <c r="KB66" s="1513"/>
      <c r="KH66" s="1472"/>
      <c r="KI66" s="1472"/>
      <c r="KK66" s="1522"/>
      <c r="KL66" s="1522"/>
      <c r="KO66" s="1472"/>
      <c r="KP66" s="1472"/>
      <c r="KR66" s="1522"/>
      <c r="KS66" s="1522"/>
      <c r="KV66" s="1472"/>
      <c r="KW66" s="1472"/>
      <c r="KY66" s="1522"/>
      <c r="KZ66" s="1522"/>
      <c r="LC66" s="1472"/>
      <c r="LD66" s="1472"/>
      <c r="LF66" s="1524"/>
      <c r="LG66" s="1524"/>
      <c r="LJ66" s="1472"/>
      <c r="LK66" s="1472"/>
      <c r="LQ66" s="1472"/>
      <c r="LR66" s="1472"/>
      <c r="LX66" s="1472"/>
      <c r="LY66" s="1472"/>
      <c r="ME66" s="1472"/>
      <c r="MF66" s="1472"/>
      <c r="ML66" s="1472"/>
      <c r="MM66" s="1472"/>
      <c r="MS66" s="1472"/>
      <c r="MT66" s="1472"/>
      <c r="MZ66" s="1472"/>
      <c r="NA66" s="1472"/>
      <c r="NG66" s="1472"/>
      <c r="NH66" s="1472"/>
      <c r="NN66" s="1472"/>
      <c r="NO66" s="1472"/>
    </row>
    <row r="67" spans="1:379" ht="16.899999999999999" customHeight="1" x14ac:dyDescent="0.25">
      <c r="A67" s="464" t="s">
        <v>404</v>
      </c>
      <c r="AA67" s="968"/>
      <c r="AB67" s="621"/>
      <c r="AC67" s="621"/>
      <c r="AH67" s="969"/>
      <c r="AM67" s="970"/>
      <c r="AN67" s="971"/>
      <c r="AO67" s="971"/>
      <c r="AU67" s="598"/>
      <c r="AV67" s="450"/>
      <c r="AZ67"/>
      <c r="BG67" s="934"/>
      <c r="BH67" s="935"/>
      <c r="BI67" s="470"/>
      <c r="BJ67" s="470"/>
      <c r="BK67" s="925"/>
      <c r="BL67" s="925"/>
      <c r="BO67" s="935"/>
      <c r="BP67" s="934"/>
      <c r="BQ67" s="934"/>
      <c r="BR67" s="925"/>
      <c r="BS67" s="925"/>
      <c r="BT67" s="934"/>
      <c r="BU67" s="934"/>
      <c r="BV67" s="934"/>
      <c r="DT67" s="458"/>
      <c r="EA67" s="589"/>
    </row>
    <row r="68" spans="1:379" ht="16.899999999999999" customHeight="1" x14ac:dyDescent="0.25">
      <c r="A68" s="464" t="s">
        <v>400</v>
      </c>
      <c r="AA68" s="968"/>
      <c r="AB68" s="621"/>
      <c r="AC68" s="621"/>
      <c r="AH68" s="969"/>
      <c r="AM68" s="970"/>
      <c r="AN68" s="971"/>
      <c r="AO68" s="971"/>
      <c r="AU68" s="598"/>
      <c r="AV68" s="450"/>
      <c r="AZ68"/>
      <c r="BG68" s="934"/>
      <c r="BH68" s="935"/>
      <c r="BI68" s="470"/>
      <c r="BJ68" s="470"/>
      <c r="BK68" s="925"/>
      <c r="BL68" s="925"/>
      <c r="BO68" s="935"/>
      <c r="BP68" s="934"/>
      <c r="BQ68" s="934"/>
      <c r="BR68" s="925"/>
      <c r="BS68" s="925"/>
      <c r="BT68" s="934"/>
      <c r="BU68" s="963" t="s">
        <v>427</v>
      </c>
      <c r="BV68" s="934"/>
      <c r="BW68" s="963" t="s">
        <v>427</v>
      </c>
      <c r="CA68" s="1036" t="s">
        <v>661</v>
      </c>
      <c r="CB68" s="1037"/>
      <c r="CC68" s="1037"/>
      <c r="CD68" s="1037"/>
      <c r="CE68" s="1037"/>
      <c r="CF68" s="448"/>
      <c r="CG68" s="1037"/>
      <c r="CH68" s="1037"/>
      <c r="CI68" s="1037"/>
      <c r="CJ68" s="1038" t="s">
        <v>765</v>
      </c>
      <c r="CK68" s="1039"/>
      <c r="CL68" s="448"/>
      <c r="CM68" s="448"/>
      <c r="CN68" s="448"/>
      <c r="CO68" s="1039"/>
      <c r="CP68" s="1039"/>
      <c r="CQ68" s="1039"/>
      <c r="CR68" s="1039"/>
      <c r="CW68" t="s">
        <v>126</v>
      </c>
      <c r="DM68" s="81" t="s">
        <v>126</v>
      </c>
      <c r="DR68" s="81" t="s">
        <v>126</v>
      </c>
      <c r="DT68" s="458"/>
      <c r="EA68" s="589"/>
    </row>
    <row r="69" spans="1:379" ht="16.899999999999999" customHeight="1" x14ac:dyDescent="0.25">
      <c r="A69" s="464" t="s">
        <v>648</v>
      </c>
      <c r="AA69" s="968"/>
      <c r="AB69" s="621"/>
      <c r="AC69" s="621"/>
      <c r="AH69" s="969"/>
      <c r="AM69" s="970"/>
      <c r="AN69" s="971"/>
      <c r="AO69" s="971"/>
      <c r="AU69" s="598"/>
      <c r="AV69" s="450"/>
      <c r="AZ69"/>
      <c r="BG69" s="934"/>
      <c r="BH69" s="935"/>
      <c r="BI69" s="470"/>
      <c r="BJ69" s="470"/>
      <c r="BK69" s="925"/>
      <c r="BL69" s="925"/>
      <c r="BO69" s="935"/>
      <c r="BP69" s="934"/>
      <c r="BQ69" s="934"/>
      <c r="BR69" s="925"/>
      <c r="BS69" s="925"/>
      <c r="BT69" s="934"/>
      <c r="BU69" s="934"/>
      <c r="BV69" s="934"/>
      <c r="CA69" s="1035"/>
      <c r="CB69" s="1035"/>
      <c r="CC69" s="1035"/>
      <c r="CD69" s="1035"/>
      <c r="CE69" s="1035"/>
      <c r="CF69" s="448"/>
      <c r="CG69" s="1037"/>
      <c r="CH69" s="1041" t="s">
        <v>770</v>
      </c>
      <c r="CI69" s="744"/>
      <c r="CJ69" s="739" t="s">
        <v>771</v>
      </c>
      <c r="CK69" s="1040" t="s">
        <v>772</v>
      </c>
      <c r="CL69" s="449"/>
      <c r="CM69" s="449"/>
      <c r="CN69" s="449"/>
      <c r="CO69" s="739" t="s">
        <v>773</v>
      </c>
      <c r="CP69" s="1041" t="s">
        <v>774</v>
      </c>
      <c r="CQ69" s="744"/>
      <c r="CR69" s="1035"/>
      <c r="DD69" t="s">
        <v>126</v>
      </c>
      <c r="DT69" s="458"/>
      <c r="EA69" s="589"/>
    </row>
    <row r="70" spans="1:379" ht="16.899999999999999" customHeight="1" x14ac:dyDescent="0.25">
      <c r="A70" s="464" t="s">
        <v>647</v>
      </c>
      <c r="AA70" s="968"/>
      <c r="AB70" s="621"/>
      <c r="AC70" s="621"/>
      <c r="AH70" s="969"/>
      <c r="AM70" s="970"/>
      <c r="AN70" s="971"/>
      <c r="AO70" s="971"/>
      <c r="AU70" s="598"/>
      <c r="AV70" s="450"/>
      <c r="AZ70"/>
      <c r="BG70" s="934"/>
      <c r="BH70" s="935"/>
      <c r="BI70" s="470"/>
      <c r="BJ70" s="470"/>
      <c r="BK70" s="925"/>
      <c r="BL70" s="925"/>
      <c r="BO70" s="935"/>
      <c r="BP70" s="934"/>
      <c r="BQ70" s="934"/>
      <c r="BR70" s="925"/>
      <c r="BS70" s="925"/>
      <c r="BT70" s="934"/>
      <c r="BU70" s="934"/>
      <c r="BV70" s="934"/>
      <c r="CA70" s="1035"/>
      <c r="CB70" s="1035"/>
      <c r="CC70" s="1035"/>
      <c r="CD70" s="1035"/>
      <c r="CE70" s="1035"/>
      <c r="CF70" s="448"/>
      <c r="CG70" s="1037"/>
      <c r="CH70" s="1035"/>
      <c r="CI70" s="1035"/>
      <c r="CJ70" s="1035"/>
      <c r="CK70" s="1035"/>
      <c r="CL70" s="448"/>
      <c r="CM70" s="448"/>
      <c r="CN70" s="448"/>
      <c r="CO70" s="1035"/>
      <c r="CR70" s="1037" t="s">
        <v>819</v>
      </c>
      <c r="CS70" s="458"/>
      <c r="CV70" s="458"/>
      <c r="CW70" s="1236" t="s">
        <v>837</v>
      </c>
      <c r="CX70" s="715"/>
      <c r="CY70" s="1238" t="s">
        <v>839</v>
      </c>
      <c r="CZ70" s="1236" t="s">
        <v>843</v>
      </c>
      <c r="DC70" s="715"/>
      <c r="DF70" t="s">
        <v>126</v>
      </c>
      <c r="DT70" s="458"/>
      <c r="EA70" s="589"/>
    </row>
    <row r="71" spans="1:379" ht="16.899999999999999" customHeight="1" x14ac:dyDescent="0.25">
      <c r="A71" s="460" t="s">
        <v>783</v>
      </c>
      <c r="AA71" s="968"/>
      <c r="AB71" s="621"/>
      <c r="AC71" s="621"/>
      <c r="AH71" s="969"/>
      <c r="AM71" s="970"/>
      <c r="AN71" s="971"/>
      <c r="AO71" s="971"/>
      <c r="AU71" s="598"/>
      <c r="AV71" s="450"/>
      <c r="AZ71"/>
      <c r="BG71" s="934"/>
      <c r="BH71" s="935"/>
      <c r="BI71" s="470"/>
      <c r="BJ71" s="470"/>
      <c r="BK71" s="925"/>
      <c r="BL71" s="925"/>
      <c r="BO71" s="935"/>
      <c r="BP71" s="934"/>
      <c r="BQ71" s="934"/>
      <c r="BR71" s="925"/>
      <c r="BS71" s="925"/>
      <c r="BT71" s="934"/>
      <c r="BU71" s="934"/>
      <c r="BV71" s="934"/>
      <c r="CA71" s="1035"/>
      <c r="CB71" s="1035"/>
      <c r="CC71" s="1035"/>
      <c r="CD71" s="1035"/>
      <c r="CE71" s="1035"/>
      <c r="CF71" s="448"/>
      <c r="CG71" s="1037"/>
      <c r="CH71" s="1035"/>
      <c r="CI71" s="1035"/>
      <c r="CJ71" s="1035"/>
      <c r="CK71" s="1035"/>
      <c r="CL71" s="448"/>
      <c r="CM71" s="448"/>
      <c r="CN71" s="448"/>
      <c r="CO71" s="1035"/>
      <c r="CY71" s="947" t="s">
        <v>819</v>
      </c>
      <c r="DT71" s="458"/>
      <c r="EA71" s="589"/>
    </row>
    <row r="72" spans="1:379" ht="16.899999999999999" customHeight="1" x14ac:dyDescent="0.25">
      <c r="A72" s="460" t="s">
        <v>658</v>
      </c>
      <c r="AA72" s="968"/>
      <c r="AB72" s="621"/>
      <c r="AC72" s="621"/>
      <c r="AH72" s="969"/>
      <c r="AM72" s="970"/>
      <c r="AN72" s="971"/>
      <c r="AO72" s="971"/>
      <c r="AU72" s="598"/>
      <c r="AV72" s="450"/>
      <c r="AZ72"/>
      <c r="BG72" s="934"/>
      <c r="BH72" s="935"/>
      <c r="BI72" s="470"/>
      <c r="BJ72" s="470"/>
      <c r="BK72" s="925"/>
      <c r="BL72" s="925"/>
      <c r="BO72" s="935"/>
      <c r="BP72" s="934"/>
      <c r="BQ72" s="934"/>
      <c r="BR72" s="925"/>
      <c r="BS72" s="925"/>
      <c r="BT72" s="934"/>
      <c r="BU72" s="934"/>
      <c r="BV72" s="934"/>
      <c r="CA72" s="1035"/>
      <c r="CB72" s="1035"/>
      <c r="CC72" s="1035"/>
      <c r="CD72" s="1035"/>
      <c r="CE72" s="1035"/>
      <c r="CF72" s="448"/>
      <c r="CG72" s="1037"/>
      <c r="CH72" s="1035"/>
      <c r="CI72" s="1035"/>
      <c r="CJ72" s="1035"/>
      <c r="CK72" s="1035"/>
      <c r="CL72" s="448"/>
      <c r="CM72" s="448"/>
      <c r="CN72" s="448"/>
      <c r="CO72" s="1035"/>
      <c r="CP72" s="1035"/>
      <c r="CW72" s="1146" t="s">
        <v>770</v>
      </c>
      <c r="CX72" s="1237"/>
      <c r="CY72" s="609" t="s">
        <v>773</v>
      </c>
      <c r="CZ72" s="947" t="s">
        <v>837</v>
      </c>
      <c r="DC72" s="1245" t="s">
        <v>839</v>
      </c>
      <c r="DD72" s="947" t="s">
        <v>838</v>
      </c>
      <c r="DE72" s="1260"/>
      <c r="DT72" s="458"/>
      <c r="EA72" s="589"/>
    </row>
    <row r="73" spans="1:379" ht="16.899999999999999" customHeight="1" x14ac:dyDescent="0.25">
      <c r="A73" s="460" t="s">
        <v>767</v>
      </c>
      <c r="AA73" s="627"/>
      <c r="AB73" s="621"/>
      <c r="AC73" s="621"/>
      <c r="AM73" s="130"/>
      <c r="AN73" s="130"/>
      <c r="AO73" s="130"/>
      <c r="AZ73" s="699" t="s">
        <v>534</v>
      </c>
      <c r="BG73" s="604"/>
      <c r="BH73" s="470"/>
      <c r="BI73" s="470"/>
      <c r="BJ73" s="470"/>
      <c r="DC73" s="1041" t="s">
        <v>771</v>
      </c>
      <c r="DE73" s="1257" t="s">
        <v>772</v>
      </c>
      <c r="DF73" s="739" t="s">
        <v>774</v>
      </c>
      <c r="DG73" s="1266" t="s">
        <v>865</v>
      </c>
      <c r="DT73" s="458"/>
      <c r="EA73" s="589"/>
    </row>
    <row r="74" spans="1:379" s="1343" customFormat="1" ht="16.899999999999999" customHeight="1" x14ac:dyDescent="0.25">
      <c r="A74" s="1354" t="s">
        <v>847</v>
      </c>
      <c r="R74" s="1355"/>
      <c r="AV74" s="1355"/>
      <c r="AY74" s="1356"/>
      <c r="BG74" s="1356"/>
      <c r="CT74" s="1357"/>
      <c r="CU74" s="1357"/>
      <c r="DA74" s="1357"/>
      <c r="DB74" s="1357"/>
      <c r="DE74" s="1355"/>
      <c r="DH74" s="1357"/>
      <c r="DI74" s="1357"/>
      <c r="DO74" s="1357"/>
      <c r="DP74" s="1357"/>
      <c r="DV74" s="1357"/>
      <c r="DW74" s="1357"/>
      <c r="EC74" s="1357"/>
      <c r="ED74" s="1357"/>
      <c r="EJ74" s="1461"/>
      <c r="EQ74" s="1356"/>
      <c r="ER74" s="1356"/>
      <c r="EX74" s="1358"/>
      <c r="EY74" s="1358"/>
      <c r="FE74" s="1358"/>
      <c r="FF74" s="1358"/>
      <c r="FL74" s="1358"/>
      <c r="FM74" s="1358"/>
      <c r="FN74" s="1255"/>
      <c r="GU74" s="1468"/>
      <c r="GV74" s="1468"/>
      <c r="HB74" s="1472"/>
      <c r="HC74" s="1472"/>
      <c r="HI74" s="1516"/>
      <c r="HJ74" s="1516"/>
      <c r="HP74" s="1472"/>
      <c r="HQ74" s="1472"/>
      <c r="HW74" s="1516"/>
      <c r="HX74" s="1516"/>
      <c r="IA74" s="1472"/>
      <c r="ID74" s="1516"/>
      <c r="IE74" s="1516"/>
      <c r="IK74" s="1516"/>
      <c r="IL74" s="1516"/>
      <c r="IR74" s="1516"/>
      <c r="IS74" s="1516"/>
      <c r="IY74" s="1472"/>
      <c r="IZ74" s="1472"/>
      <c r="JF74" s="1472"/>
      <c r="JG74" s="1472"/>
      <c r="JM74" s="1472"/>
      <c r="JN74" s="1472"/>
      <c r="JT74" s="1472"/>
      <c r="JU74" s="1472"/>
      <c r="KA74" s="1513"/>
      <c r="KB74" s="1513"/>
      <c r="KH74" s="1472"/>
      <c r="KI74" s="1472"/>
      <c r="KK74" s="1522"/>
      <c r="KL74" s="1522"/>
      <c r="KO74" s="1472"/>
      <c r="KP74" s="1472"/>
      <c r="KR74" s="1522"/>
      <c r="KS74" s="1522"/>
      <c r="KV74" s="1472"/>
      <c r="KW74" s="1472"/>
      <c r="KY74" s="1522"/>
      <c r="KZ74" s="1522"/>
      <c r="LC74" s="1472"/>
      <c r="LD74" s="1472"/>
      <c r="LF74" s="1524"/>
      <c r="LG74" s="1524"/>
      <c r="LJ74" s="1472"/>
      <c r="LK74" s="1472"/>
      <c r="LQ74" s="1472"/>
      <c r="LR74" s="1472"/>
      <c r="LX74" s="1472"/>
      <c r="LY74" s="1472"/>
      <c r="ME74" s="1472"/>
      <c r="MF74" s="1472"/>
      <c r="ML74" s="1472"/>
      <c r="MM74" s="1472"/>
      <c r="MS74" s="1472"/>
      <c r="MT74" s="1472"/>
      <c r="MZ74" s="1472"/>
      <c r="NA74" s="1472"/>
      <c r="NG74" s="1472"/>
      <c r="NH74" s="1472"/>
      <c r="NN74" s="1472"/>
      <c r="NO74" s="1472"/>
    </row>
    <row r="75" spans="1:379" ht="16.899999999999999" customHeight="1" x14ac:dyDescent="0.25">
      <c r="A75" s="464" t="s">
        <v>404</v>
      </c>
      <c r="AA75" s="968"/>
      <c r="AB75" s="621"/>
      <c r="AC75" s="621"/>
      <c r="AH75" s="969"/>
      <c r="AM75" s="970"/>
      <c r="AN75" s="971"/>
      <c r="AO75" s="971"/>
      <c r="AU75" s="598"/>
      <c r="AV75" s="450"/>
      <c r="AZ75"/>
      <c r="BG75" s="934"/>
      <c r="BH75" s="935"/>
      <c r="BI75" s="470"/>
      <c r="BJ75" s="470"/>
      <c r="BK75" s="925"/>
      <c r="BL75" s="925"/>
      <c r="BO75" s="935"/>
      <c r="BP75" s="934"/>
      <c r="BQ75" s="934"/>
      <c r="BR75" s="925"/>
      <c r="BS75" s="925"/>
      <c r="BT75" s="934"/>
      <c r="BU75" s="934"/>
      <c r="BV75" s="934"/>
      <c r="DT75" s="458"/>
      <c r="EA75" s="589"/>
    </row>
    <row r="76" spans="1:379" ht="16.899999999999999" customHeight="1" x14ac:dyDescent="0.25">
      <c r="A76" s="460" t="s">
        <v>400</v>
      </c>
      <c r="AA76" s="968"/>
      <c r="AB76" s="621"/>
      <c r="AC76" s="621"/>
      <c r="AH76" s="969"/>
      <c r="AM76" s="970"/>
      <c r="AN76" s="971"/>
      <c r="AO76" s="971"/>
      <c r="AU76" s="598"/>
      <c r="AV76" s="450"/>
      <c r="AZ76"/>
      <c r="BG76" s="934"/>
      <c r="BH76" s="935"/>
      <c r="BI76" s="470"/>
      <c r="BJ76" s="470"/>
      <c r="BK76" s="925"/>
      <c r="BL76" s="925"/>
      <c r="BO76" s="935"/>
      <c r="BP76" s="934"/>
      <c r="BQ76" s="934"/>
      <c r="BR76" s="925"/>
      <c r="BS76" s="925"/>
      <c r="BT76" s="934"/>
      <c r="BU76" s="963" t="s">
        <v>427</v>
      </c>
      <c r="BV76" s="934"/>
      <c r="BW76" s="963" t="s">
        <v>427</v>
      </c>
      <c r="CT76" s="449"/>
      <c r="CU76" s="449"/>
      <c r="CX76" s="1041" t="s">
        <v>780</v>
      </c>
      <c r="CY76" s="743"/>
      <c r="CZ76" s="744"/>
      <c r="DC76" s="1041" t="s">
        <v>779</v>
      </c>
      <c r="DD76" s="743"/>
      <c r="DE76" s="1256"/>
      <c r="DL76"/>
      <c r="DM76"/>
      <c r="DN76"/>
      <c r="DT76" s="458"/>
      <c r="EA76" s="589"/>
      <c r="EF76" s="1179" t="s">
        <v>781</v>
      </c>
      <c r="EG76" s="1180"/>
      <c r="EH76" s="1180"/>
      <c r="EI76" s="1180"/>
      <c r="EJ76" s="591"/>
      <c r="EK76" s="448"/>
      <c r="EL76" s="81"/>
      <c r="EM76" s="81"/>
      <c r="EN76" s="81"/>
      <c r="EO76" s="81"/>
      <c r="EP76" s="81"/>
      <c r="EQ76" s="448"/>
      <c r="ER76" s="448"/>
      <c r="ES76" s="81"/>
    </row>
    <row r="77" spans="1:379" ht="16.899999999999999" customHeight="1" x14ac:dyDescent="0.25">
      <c r="A77" s="460" t="s">
        <v>648</v>
      </c>
      <c r="AA77" s="968"/>
      <c r="AB77" s="621"/>
      <c r="AC77" s="621"/>
      <c r="AH77" s="969"/>
      <c r="AM77" s="970"/>
      <c r="AN77" s="971"/>
      <c r="AO77" s="971"/>
      <c r="AU77" s="598"/>
      <c r="AV77" s="450"/>
      <c r="AZ77"/>
      <c r="BG77" s="934"/>
      <c r="BH77" s="935"/>
      <c r="BI77" s="470"/>
      <c r="BJ77" s="470"/>
      <c r="BK77" s="925"/>
      <c r="BL77" s="925"/>
      <c r="BO77" s="935"/>
      <c r="BP77" s="934"/>
      <c r="BQ77" s="934"/>
      <c r="BR77" s="925"/>
      <c r="BS77" s="925"/>
      <c r="BT77" s="934"/>
      <c r="BU77" s="934"/>
      <c r="BV77" s="934"/>
      <c r="CT77" s="449"/>
      <c r="CU77" s="449"/>
      <c r="CX77" s="597"/>
      <c r="CY77" s="597"/>
      <c r="DF77" s="1254" t="s">
        <v>859</v>
      </c>
      <c r="DG77" s="1255"/>
      <c r="DJ77" s="1042" t="s">
        <v>895</v>
      </c>
      <c r="DL77"/>
      <c r="DM77"/>
      <c r="DN77"/>
      <c r="DT77" s="458"/>
      <c r="EA77" s="589"/>
      <c r="EG77" s="81"/>
      <c r="EH77" s="81"/>
      <c r="EI77" s="81"/>
      <c r="EJ77" s="591"/>
      <c r="EK77" s="448"/>
      <c r="EL77" s="1055" t="s">
        <v>782</v>
      </c>
      <c r="EM77" s="1056"/>
      <c r="EN77" s="81"/>
      <c r="EO77" s="81"/>
      <c r="EP77" s="81"/>
      <c r="EQ77" s="448"/>
      <c r="ER77" s="448"/>
      <c r="ES77" s="81"/>
    </row>
    <row r="78" spans="1:379" ht="16.899999999999999" customHeight="1" x14ac:dyDescent="0.25">
      <c r="A78" s="460" t="s">
        <v>647</v>
      </c>
      <c r="AA78" s="968"/>
      <c r="AB78" s="621"/>
      <c r="AC78" s="621"/>
      <c r="AH78" s="969"/>
      <c r="AM78" s="970"/>
      <c r="AN78" s="971"/>
      <c r="AO78" s="971"/>
      <c r="AU78" s="598"/>
      <c r="AV78" s="450"/>
      <c r="AZ78"/>
      <c r="BG78" s="934"/>
      <c r="BH78" s="935"/>
      <c r="BI78" s="470"/>
      <c r="BJ78" s="470"/>
      <c r="BK78" s="925"/>
      <c r="BL78" s="925"/>
      <c r="BO78" s="935"/>
      <c r="BP78" s="934"/>
      <c r="BQ78" s="934"/>
      <c r="BR78" s="925"/>
      <c r="BS78" s="925"/>
      <c r="BT78" s="934"/>
      <c r="BU78" s="934"/>
      <c r="BV78" s="934"/>
      <c r="CQ78" s="597"/>
      <c r="CR78" s="597"/>
      <c r="CS78" s="597"/>
      <c r="CT78" s="449"/>
      <c r="CU78" s="449"/>
      <c r="DE78" s="1262" t="s">
        <v>868</v>
      </c>
      <c r="DF78" s="1263"/>
      <c r="DJ78" s="743" t="s">
        <v>894</v>
      </c>
      <c r="DK78" s="715"/>
      <c r="DT78" s="458"/>
      <c r="EA78" s="589"/>
      <c r="EG78" s="81"/>
      <c r="EH78" s="81"/>
      <c r="EI78" s="81"/>
      <c r="EJ78" s="591"/>
      <c r="EK78" s="448"/>
      <c r="EL78" s="1053" t="s">
        <v>782</v>
      </c>
      <c r="EM78" s="1052"/>
      <c r="EN78" s="1054"/>
      <c r="EO78" s="81"/>
      <c r="EP78" s="81"/>
      <c r="EQ78" s="448"/>
      <c r="ER78" s="448"/>
      <c r="ES78" s="81"/>
    </row>
    <row r="79" spans="1:379" ht="16.899999999999999" customHeight="1" x14ac:dyDescent="0.25">
      <c r="A79" s="1069" t="s">
        <v>783</v>
      </c>
      <c r="AA79" s="968"/>
      <c r="AB79" s="621"/>
      <c r="AC79" s="621"/>
      <c r="AH79" s="969"/>
      <c r="AM79" s="970"/>
      <c r="AN79" s="971"/>
      <c r="AO79" s="971"/>
      <c r="AU79" s="598"/>
      <c r="AV79" s="450"/>
      <c r="AZ79"/>
      <c r="BG79" s="934"/>
      <c r="BH79" s="935"/>
      <c r="BI79" s="470"/>
      <c r="BJ79" s="470"/>
      <c r="BK79" s="925"/>
      <c r="BL79" s="925"/>
      <c r="BO79" s="935"/>
      <c r="BP79" s="934"/>
      <c r="BQ79" s="934"/>
      <c r="BR79" s="925"/>
      <c r="BS79" s="925"/>
      <c r="BT79" s="934"/>
      <c r="BU79" s="934"/>
      <c r="BV79" s="934"/>
      <c r="DJ79" s="1256" t="s">
        <v>866</v>
      </c>
      <c r="DK79" s="1256" t="s">
        <v>867</v>
      </c>
      <c r="DR79" s="1242" t="s">
        <v>934</v>
      </c>
      <c r="DS79" s="1342" t="s">
        <v>894</v>
      </c>
      <c r="DT79" s="458"/>
      <c r="EA79" s="589"/>
      <c r="EG79" s="81"/>
      <c r="EH79" s="81"/>
      <c r="EI79" s="81"/>
      <c r="EJ79" s="591"/>
      <c r="EK79" s="448"/>
      <c r="EL79" s="81"/>
      <c r="EM79" s="81"/>
      <c r="EN79" s="1058" t="s">
        <v>782</v>
      </c>
      <c r="EO79" s="1059"/>
      <c r="EP79" s="1059"/>
      <c r="EQ79" s="448"/>
      <c r="ER79" s="448"/>
      <c r="ES79" s="1060"/>
    </row>
    <row r="80" spans="1:379" ht="16.899999999999999" customHeight="1" x14ac:dyDescent="0.25">
      <c r="A80" s="81"/>
      <c r="AA80" s="627"/>
      <c r="AB80" s="621"/>
      <c r="AC80" s="621"/>
      <c r="AM80" s="130"/>
      <c r="AN80" s="130"/>
      <c r="AO80" s="130"/>
      <c r="AZ80" s="1033"/>
      <c r="BG80" s="604"/>
      <c r="BH80" s="470"/>
      <c r="BI80" s="470"/>
      <c r="BJ80" s="470"/>
      <c r="DT80" s="458"/>
      <c r="EA80" s="589"/>
    </row>
    <row r="81" spans="1:379" s="1343" customFormat="1" ht="16.899999999999999" customHeight="1" x14ac:dyDescent="0.25">
      <c r="A81" s="1354" t="s">
        <v>650</v>
      </c>
      <c r="R81" s="1355"/>
      <c r="AV81" s="1355"/>
      <c r="AY81" s="1356"/>
      <c r="BG81" s="1356"/>
      <c r="CT81" s="1357"/>
      <c r="CU81" s="1357"/>
      <c r="CV81" s="1359" t="s">
        <v>786</v>
      </c>
      <c r="DA81" s="1357"/>
      <c r="DB81" s="1357"/>
      <c r="DE81" s="1355"/>
      <c r="DH81" s="1357"/>
      <c r="DI81" s="1357"/>
      <c r="DO81" s="1357"/>
      <c r="DP81" s="1357"/>
      <c r="DT81" s="1344" t="s">
        <v>551</v>
      </c>
      <c r="DV81" s="1357"/>
      <c r="DW81" s="1357"/>
      <c r="EC81" s="1357"/>
      <c r="ED81" s="1357"/>
      <c r="EJ81" s="1461"/>
      <c r="EQ81" s="1356"/>
      <c r="ER81" s="1356"/>
      <c r="EX81" s="1358"/>
      <c r="EY81" s="1358"/>
      <c r="FE81" s="1358"/>
      <c r="FF81" s="1358"/>
      <c r="FL81" s="1358"/>
      <c r="FM81" s="1358"/>
      <c r="FN81" s="1255"/>
      <c r="GU81" s="1468"/>
      <c r="GV81" s="1468"/>
      <c r="HB81" s="1472"/>
      <c r="HC81" s="1472"/>
      <c r="HI81" s="1516"/>
      <c r="HJ81" s="1516"/>
      <c r="HP81" s="1472"/>
      <c r="HQ81" s="1472"/>
      <c r="HW81" s="1516"/>
      <c r="HX81" s="1516"/>
      <c r="IA81" s="1472"/>
      <c r="ID81" s="1516"/>
      <c r="IE81" s="1516"/>
      <c r="IK81" s="1516"/>
      <c r="IL81" s="1516"/>
      <c r="IR81" s="1516"/>
      <c r="IS81" s="1516"/>
      <c r="IY81" s="1472"/>
      <c r="IZ81" s="1472"/>
      <c r="JF81" s="1472"/>
      <c r="JG81" s="1472"/>
      <c r="JM81" s="1472"/>
      <c r="JN81" s="1472"/>
      <c r="JT81" s="1472"/>
      <c r="JU81" s="1472"/>
      <c r="KA81" s="1513"/>
      <c r="KB81" s="1513"/>
      <c r="KH81" s="1472"/>
      <c r="KI81" s="1472"/>
      <c r="KK81" s="1522"/>
      <c r="KL81" s="1522"/>
      <c r="KO81" s="1472"/>
      <c r="KP81" s="1472"/>
      <c r="KR81" s="1522"/>
      <c r="KS81" s="1522"/>
      <c r="KV81" s="1472"/>
      <c r="KW81" s="1472"/>
      <c r="KY81" s="1522"/>
      <c r="KZ81" s="1522"/>
      <c r="LC81" s="1472"/>
      <c r="LD81" s="1472"/>
      <c r="LF81" s="1524"/>
      <c r="LG81" s="1524"/>
      <c r="LJ81" s="1472"/>
      <c r="LK81" s="1472"/>
      <c r="LQ81" s="1472"/>
      <c r="LR81" s="1472"/>
      <c r="LX81" s="1472"/>
      <c r="LY81" s="1472"/>
      <c r="ME81" s="1472"/>
      <c r="MF81" s="1472"/>
      <c r="ML81" s="1472"/>
      <c r="MM81" s="1472"/>
      <c r="MS81" s="1472"/>
      <c r="MT81" s="1472"/>
      <c r="MZ81" s="1472"/>
      <c r="NA81" s="1472"/>
      <c r="NG81" s="1472"/>
      <c r="NH81" s="1472"/>
      <c r="NN81" s="1472"/>
      <c r="NO81" s="1472"/>
    </row>
    <row r="82" spans="1:379" ht="16.899999999999999" customHeight="1" x14ac:dyDescent="0.25">
      <c r="A82" s="460" t="s">
        <v>404</v>
      </c>
      <c r="AR82" s="457" t="s">
        <v>431</v>
      </c>
      <c r="AS82" s="82"/>
      <c r="AU82"/>
      <c r="AW82" s="450"/>
      <c r="BT82" s="127" t="s">
        <v>638</v>
      </c>
      <c r="BU82" s="127" t="s">
        <v>639</v>
      </c>
      <c r="DT82" s="81"/>
      <c r="EA82" s="81"/>
    </row>
    <row r="83" spans="1:379" ht="16.899999999999999" customHeight="1" x14ac:dyDescent="0.25">
      <c r="A83" s="460" t="s">
        <v>633</v>
      </c>
      <c r="AR83"/>
      <c r="AW83" s="450"/>
      <c r="AY83" s="636" t="s">
        <v>387</v>
      </c>
      <c r="AZ83" s="640"/>
      <c r="BA83" s="640"/>
      <c r="BB83" s="640"/>
      <c r="BC83" s="640"/>
      <c r="CC83" s="1037" t="s">
        <v>775</v>
      </c>
      <c r="CD83" s="458"/>
      <c r="CE83" s="458"/>
      <c r="CH83" s="458"/>
      <c r="CI83" s="458"/>
      <c r="CS83" s="1061" t="s">
        <v>785</v>
      </c>
      <c r="DT83" s="81"/>
      <c r="EA83" s="81"/>
    </row>
    <row r="84" spans="1:379" ht="16.899999999999999" customHeight="1" x14ac:dyDescent="0.25">
      <c r="A84" s="460" t="s">
        <v>648</v>
      </c>
      <c r="AT84"/>
      <c r="AU84"/>
      <c r="AW84" s="450"/>
      <c r="BI84" s="81"/>
      <c r="BJ84" s="81"/>
      <c r="CY84" s="1146" t="s">
        <v>778</v>
      </c>
      <c r="CZ84" s="1146"/>
      <c r="DC84" s="1237"/>
      <c r="DG84" t="s">
        <v>126</v>
      </c>
      <c r="DT84" s="81"/>
      <c r="EA84" s="81"/>
    </row>
    <row r="85" spans="1:379" ht="16.899999999999999" customHeight="1" x14ac:dyDescent="0.25">
      <c r="A85" s="1069" t="s">
        <v>844</v>
      </c>
      <c r="AW85" s="450"/>
      <c r="DE85" s="1041" t="s">
        <v>777</v>
      </c>
      <c r="DF85" s="1261"/>
      <c r="DG85" s="1261"/>
      <c r="DT85" s="81"/>
      <c r="EA85" s="81"/>
    </row>
    <row r="86" spans="1:379" ht="16.899999999999999" customHeight="1" x14ac:dyDescent="0.25">
      <c r="A86" s="1069" t="s">
        <v>658</v>
      </c>
      <c r="AW86" s="450"/>
      <c r="CA86" s="81"/>
      <c r="CB86" s="81"/>
      <c r="DF86" s="1041" t="s">
        <v>778</v>
      </c>
      <c r="DG86" s="1261"/>
      <c r="DM86" s="739" t="s">
        <v>777</v>
      </c>
      <c r="DN86" s="739" t="s">
        <v>933</v>
      </c>
      <c r="DT86" s="81"/>
      <c r="EA86" s="81"/>
    </row>
    <row r="87" spans="1:379" ht="16.899999999999999" customHeight="1" x14ac:dyDescent="0.25">
      <c r="A87" s="1069"/>
      <c r="AW87" s="450"/>
      <c r="CA87" s="81"/>
      <c r="CB87" s="81"/>
      <c r="DT87" s="81"/>
      <c r="EA87" s="81"/>
      <c r="GW87" s="1473" t="s">
        <v>957</v>
      </c>
      <c r="GX87" s="1473" t="s">
        <v>958</v>
      </c>
      <c r="GY87" s="1473" t="s">
        <v>959</v>
      </c>
      <c r="GZ87" s="1473" t="s">
        <v>960</v>
      </c>
    </row>
    <row r="88" spans="1:379" x14ac:dyDescent="0.25">
      <c r="A88" s="1069"/>
      <c r="AW88" s="450"/>
      <c r="CA88" s="81"/>
      <c r="CB88" s="81"/>
      <c r="DT88" s="81"/>
      <c r="EA88" s="81"/>
      <c r="GW88" s="1474" t="s">
        <v>961</v>
      </c>
      <c r="GX88" s="1474" t="s">
        <v>962</v>
      </c>
      <c r="GY88" s="1474" t="s">
        <v>959</v>
      </c>
      <c r="GZ88" s="1474" t="s">
        <v>963</v>
      </c>
    </row>
    <row r="89" spans="1:379" x14ac:dyDescent="0.25">
      <c r="DT89" s="81"/>
      <c r="EA89" s="81"/>
      <c r="GW89" s="1474" t="s">
        <v>964</v>
      </c>
      <c r="GX89" s="1474" t="s">
        <v>965</v>
      </c>
      <c r="GY89" s="1474" t="s">
        <v>966</v>
      </c>
      <c r="GZ89" s="1474" t="s">
        <v>967</v>
      </c>
    </row>
    <row r="90" spans="1:379" x14ac:dyDescent="0.25">
      <c r="DT90" s="81"/>
      <c r="EA90" s="81"/>
      <c r="GW90" s="1474" t="s">
        <v>968</v>
      </c>
      <c r="GX90" s="1474" t="s">
        <v>969</v>
      </c>
      <c r="GY90" s="1474" t="s">
        <v>970</v>
      </c>
      <c r="GZ90" s="1474" t="s">
        <v>971</v>
      </c>
    </row>
    <row r="91" spans="1:379" x14ac:dyDescent="0.25">
      <c r="DT91" s="81"/>
      <c r="EA91" s="81"/>
      <c r="GW91" s="1474" t="s">
        <v>972</v>
      </c>
      <c r="GX91" s="1474" t="s">
        <v>973</v>
      </c>
      <c r="GY91" s="1474" t="s">
        <v>974</v>
      </c>
      <c r="GZ91" s="1474" t="s">
        <v>960</v>
      </c>
    </row>
    <row r="92" spans="1:379" x14ac:dyDescent="0.25">
      <c r="DT92" s="81"/>
      <c r="EA92" s="81"/>
    </row>
    <row r="93" spans="1:379" x14ac:dyDescent="0.25">
      <c r="DT93" s="81"/>
      <c r="EA93" s="81"/>
    </row>
    <row r="94" spans="1:379" x14ac:dyDescent="0.25">
      <c r="BM94" s="729"/>
      <c r="DT94" s="81"/>
      <c r="EA94" s="81"/>
    </row>
    <row r="95" spans="1:379" x14ac:dyDescent="0.25">
      <c r="DT95" s="81"/>
      <c r="EA95" s="81"/>
    </row>
    <row r="96" spans="1:379" x14ac:dyDescent="0.25">
      <c r="DT96" s="81"/>
      <c r="EA96" s="81"/>
    </row>
    <row r="97" spans="124:131" x14ac:dyDescent="0.25">
      <c r="DT97" s="81"/>
      <c r="EA97" s="81"/>
    </row>
    <row r="98" spans="124:131" x14ac:dyDescent="0.25">
      <c r="DT98" s="81"/>
      <c r="EA98" s="81"/>
    </row>
    <row r="99" spans="124:131" x14ac:dyDescent="0.25">
      <c r="DT99" s="81"/>
      <c r="EA99" s="81"/>
    </row>
    <row r="100" spans="124:131" x14ac:dyDescent="0.25">
      <c r="DT100" s="81"/>
      <c r="EA100" s="81"/>
    </row>
    <row r="101" spans="124:131" x14ac:dyDescent="0.25">
      <c r="DT101" s="81"/>
      <c r="EA101" s="81"/>
    </row>
    <row r="102" spans="124:131" x14ac:dyDescent="0.25">
      <c r="DT102" s="81"/>
      <c r="EA102" s="81"/>
    </row>
    <row r="103" spans="124:131" x14ac:dyDescent="0.25">
      <c r="DT103" s="81"/>
      <c r="EA103" s="81"/>
    </row>
    <row r="104" spans="124:131" x14ac:dyDescent="0.25">
      <c r="DT104" s="81"/>
      <c r="EA104" s="81"/>
    </row>
    <row r="105" spans="124:131" x14ac:dyDescent="0.25">
      <c r="DT105" s="81"/>
      <c r="EA105" s="81"/>
    </row>
    <row r="106" spans="124:131" x14ac:dyDescent="0.25">
      <c r="DT106" s="81"/>
      <c r="EA106" s="81"/>
    </row>
    <row r="107" spans="124:131" x14ac:dyDescent="0.25">
      <c r="DT107" s="81"/>
      <c r="EA107" s="81"/>
    </row>
    <row r="108" spans="124:131" x14ac:dyDescent="0.25">
      <c r="DT108" s="81"/>
      <c r="EA108" s="81"/>
    </row>
    <row r="109" spans="124:131" x14ac:dyDescent="0.25">
      <c r="DT109" s="81"/>
      <c r="EA109" s="81"/>
    </row>
    <row r="110" spans="124:131" x14ac:dyDescent="0.25">
      <c r="DT110" s="81"/>
      <c r="EA110" s="81"/>
    </row>
    <row r="111" spans="124:131" x14ac:dyDescent="0.25">
      <c r="DT111" s="81"/>
      <c r="EA111" s="81"/>
    </row>
    <row r="112" spans="124:131" x14ac:dyDescent="0.25">
      <c r="DT112" s="81"/>
      <c r="EA112" s="81"/>
    </row>
    <row r="113" spans="124:131" x14ac:dyDescent="0.25">
      <c r="DT113" s="81"/>
      <c r="EA113" s="81"/>
    </row>
    <row r="114" spans="124:131" x14ac:dyDescent="0.25">
      <c r="DT114" s="81"/>
      <c r="EA114" s="81"/>
    </row>
    <row r="115" spans="124:131" x14ac:dyDescent="0.25">
      <c r="DT115" s="81"/>
      <c r="EA115" s="81"/>
    </row>
    <row r="116" spans="124:131" x14ac:dyDescent="0.25">
      <c r="DT116" s="81"/>
      <c r="EA116" s="81"/>
    </row>
    <row r="117" spans="124:131" x14ac:dyDescent="0.25">
      <c r="DT117" s="81"/>
      <c r="EA117" s="81"/>
    </row>
    <row r="118" spans="124:131" x14ac:dyDescent="0.25">
      <c r="DT118" s="81"/>
      <c r="EA118" s="81"/>
    </row>
    <row r="119" spans="124:131" x14ac:dyDescent="0.25">
      <c r="DT119" s="81"/>
      <c r="EA119" s="81"/>
    </row>
    <row r="120" spans="124:131" x14ac:dyDescent="0.25">
      <c r="DT120" s="81"/>
      <c r="EA120" s="81"/>
    </row>
    <row r="121" spans="124:131" x14ac:dyDescent="0.25">
      <c r="DT121" s="81"/>
      <c r="EA121" s="81"/>
    </row>
    <row r="122" spans="124:131" x14ac:dyDescent="0.25">
      <c r="DT122" s="81"/>
      <c r="EA122" s="81"/>
    </row>
    <row r="123" spans="124:131" x14ac:dyDescent="0.25">
      <c r="DT123" s="81"/>
      <c r="EA123" s="81"/>
    </row>
    <row r="124" spans="124:131" x14ac:dyDescent="0.25">
      <c r="DT124" s="81"/>
      <c r="EA124" s="81"/>
    </row>
    <row r="125" spans="124:131" x14ac:dyDescent="0.25">
      <c r="DT125" s="81"/>
      <c r="EA125" s="81"/>
    </row>
    <row r="126" spans="124:131" x14ac:dyDescent="0.25">
      <c r="DT126" s="81"/>
      <c r="EA126" s="81"/>
    </row>
    <row r="127" spans="124:131" x14ac:dyDescent="0.25">
      <c r="DT127" s="81"/>
      <c r="EA127" s="81"/>
    </row>
    <row r="128" spans="124:131" x14ac:dyDescent="0.25">
      <c r="DT128" s="81"/>
      <c r="EA128" s="81"/>
    </row>
    <row r="129" spans="124:131" x14ac:dyDescent="0.25">
      <c r="DT129" s="81"/>
      <c r="EA129" s="81"/>
    </row>
    <row r="130" spans="124:131" x14ac:dyDescent="0.25">
      <c r="DT130" s="81"/>
      <c r="EA130" s="81"/>
    </row>
    <row r="131" spans="124:131" x14ac:dyDescent="0.25">
      <c r="DT131" s="81"/>
      <c r="EA131" s="81"/>
    </row>
    <row r="132" spans="124:131" x14ac:dyDescent="0.25">
      <c r="DT132" s="81"/>
      <c r="EA132" s="81"/>
    </row>
    <row r="133" spans="124:131" x14ac:dyDescent="0.25">
      <c r="DT133" s="81"/>
      <c r="EA133" s="81"/>
    </row>
    <row r="134" spans="124:131" x14ac:dyDescent="0.25">
      <c r="DT134" s="81"/>
      <c r="EA134" s="81"/>
    </row>
    <row r="135" spans="124:131" x14ac:dyDescent="0.25">
      <c r="DT135" s="81"/>
      <c r="EA135" s="81"/>
    </row>
    <row r="136" spans="124:131" x14ac:dyDescent="0.25">
      <c r="DT136" s="81"/>
      <c r="EA136" s="81"/>
    </row>
    <row r="137" spans="124:131" x14ac:dyDescent="0.25">
      <c r="DT137" s="81"/>
      <c r="EA137" s="81"/>
    </row>
    <row r="138" spans="124:131" x14ac:dyDescent="0.25">
      <c r="DT138" s="81"/>
      <c r="EA138" s="81"/>
    </row>
    <row r="139" spans="124:131" x14ac:dyDescent="0.25">
      <c r="DT139" s="81"/>
      <c r="EA139" s="81"/>
    </row>
    <row r="140" spans="124:131" x14ac:dyDescent="0.25">
      <c r="DT140" s="81"/>
      <c r="EA140" s="81"/>
    </row>
    <row r="141" spans="124:131" x14ac:dyDescent="0.25">
      <c r="DT141" s="81"/>
      <c r="EA141" s="81"/>
    </row>
    <row r="142" spans="124:131" x14ac:dyDescent="0.25">
      <c r="DT142" s="81"/>
      <c r="EA142" s="81"/>
    </row>
    <row r="143" spans="124:131" x14ac:dyDescent="0.25">
      <c r="DT143" s="81"/>
      <c r="EA143" s="81"/>
    </row>
    <row r="144" spans="124:131" x14ac:dyDescent="0.25">
      <c r="DT144" s="81"/>
      <c r="EA144" s="81"/>
    </row>
    <row r="145" spans="124:131" x14ac:dyDescent="0.25">
      <c r="DT145" s="81"/>
      <c r="EA145" s="81"/>
    </row>
    <row r="146" spans="124:131" x14ac:dyDescent="0.25">
      <c r="DT146" s="81"/>
      <c r="EA146" s="81"/>
    </row>
    <row r="147" spans="124:131" x14ac:dyDescent="0.25">
      <c r="DT147" s="81"/>
      <c r="EA147" s="81"/>
    </row>
    <row r="148" spans="124:131" x14ac:dyDescent="0.25">
      <c r="DT148" s="81"/>
      <c r="EA148" s="81"/>
    </row>
    <row r="149" spans="124:131" x14ac:dyDescent="0.25">
      <c r="DT149" s="81"/>
      <c r="EA149" s="81"/>
    </row>
    <row r="150" spans="124:131" x14ac:dyDescent="0.25">
      <c r="DT150" s="81"/>
      <c r="EA150" s="81"/>
    </row>
    <row r="151" spans="124:131" x14ac:dyDescent="0.25">
      <c r="DT151" s="81"/>
      <c r="EA151" s="81"/>
    </row>
    <row r="152" spans="124:131" x14ac:dyDescent="0.25">
      <c r="DT152" s="81"/>
      <c r="EA152" s="81"/>
    </row>
    <row r="153" spans="124:131" x14ac:dyDescent="0.25">
      <c r="DT153" s="81"/>
      <c r="EA153" s="81"/>
    </row>
    <row r="154" spans="124:131" x14ac:dyDescent="0.25">
      <c r="DT154" s="81"/>
      <c r="EA154" s="81"/>
    </row>
    <row r="155" spans="124:131" x14ac:dyDescent="0.25">
      <c r="DT155" s="81"/>
      <c r="EA155" s="81"/>
    </row>
    <row r="156" spans="124:131" x14ac:dyDescent="0.25">
      <c r="DT156" s="81"/>
      <c r="EA156" s="81"/>
    </row>
    <row r="157" spans="124:131" x14ac:dyDescent="0.25">
      <c r="DT157" s="81"/>
      <c r="EA157" s="81"/>
    </row>
    <row r="158" spans="124:131" x14ac:dyDescent="0.25">
      <c r="DT158" s="81"/>
      <c r="EA158" s="81"/>
    </row>
    <row r="159" spans="124:131" x14ac:dyDescent="0.25">
      <c r="DT159" s="81"/>
      <c r="EA159" s="81"/>
    </row>
    <row r="160" spans="124:131" x14ac:dyDescent="0.25">
      <c r="DT160" s="81"/>
      <c r="EA160" s="81"/>
    </row>
    <row r="161" spans="124:131" x14ac:dyDescent="0.25">
      <c r="DT161" s="81"/>
      <c r="EA161" s="81"/>
    </row>
    <row r="162" spans="124:131" x14ac:dyDescent="0.25">
      <c r="DT162" s="81"/>
      <c r="EA162" s="81"/>
    </row>
    <row r="163" spans="124:131" x14ac:dyDescent="0.25">
      <c r="DT163" s="81"/>
      <c r="EA163" s="81"/>
    </row>
    <row r="164" spans="124:131" x14ac:dyDescent="0.25">
      <c r="DT164" s="81"/>
      <c r="EA164" s="81"/>
    </row>
    <row r="165" spans="124:131" x14ac:dyDescent="0.25">
      <c r="DT165" s="81"/>
      <c r="EA165" s="81"/>
    </row>
    <row r="166" spans="124:131" x14ac:dyDescent="0.25">
      <c r="DT166" s="81"/>
      <c r="EA166" s="81"/>
    </row>
    <row r="167" spans="124:131" x14ac:dyDescent="0.25">
      <c r="DT167" s="81"/>
      <c r="EA167" s="81"/>
    </row>
    <row r="168" spans="124:131" x14ac:dyDescent="0.25">
      <c r="DT168" s="81"/>
      <c r="EA168" s="81"/>
    </row>
    <row r="169" spans="124:131" x14ac:dyDescent="0.25">
      <c r="DT169" s="81"/>
      <c r="EA169" s="81"/>
    </row>
    <row r="170" spans="124:131" x14ac:dyDescent="0.25">
      <c r="DT170" s="81"/>
      <c r="EA170" s="81"/>
    </row>
    <row r="171" spans="124:131" x14ac:dyDescent="0.25">
      <c r="DT171" s="81"/>
      <c r="EA171" s="81"/>
    </row>
    <row r="172" spans="124:131" x14ac:dyDescent="0.25">
      <c r="DT172" s="81"/>
      <c r="EA172" s="81"/>
    </row>
    <row r="173" spans="124:131" x14ac:dyDescent="0.25">
      <c r="DT173" s="81"/>
      <c r="EA173" s="81"/>
    </row>
    <row r="174" spans="124:131" x14ac:dyDescent="0.25">
      <c r="DT174" s="81"/>
      <c r="EA174" s="81"/>
    </row>
    <row r="175" spans="124:131" x14ac:dyDescent="0.25">
      <c r="DT175" s="81"/>
      <c r="EA175" s="81"/>
    </row>
    <row r="176" spans="124:131" x14ac:dyDescent="0.25">
      <c r="DT176" s="81"/>
      <c r="EA176" s="81"/>
    </row>
    <row r="177" spans="124:131" x14ac:dyDescent="0.25">
      <c r="DT177" s="81"/>
      <c r="EA177" s="81"/>
    </row>
    <row r="178" spans="124:131" x14ac:dyDescent="0.25">
      <c r="DT178" s="81"/>
      <c r="EA178" s="81"/>
    </row>
    <row r="179" spans="124:131" x14ac:dyDescent="0.25">
      <c r="DT179" s="81"/>
      <c r="EA179" s="81"/>
    </row>
    <row r="180" spans="124:131" x14ac:dyDescent="0.25">
      <c r="DT180" s="81"/>
      <c r="EA180" s="81"/>
    </row>
    <row r="181" spans="124:131" x14ac:dyDescent="0.25">
      <c r="DT181" s="81"/>
      <c r="EA181" s="81"/>
    </row>
    <row r="182" spans="124:131" x14ac:dyDescent="0.25">
      <c r="DT182" s="81"/>
      <c r="EA182" s="81"/>
    </row>
    <row r="183" spans="124:131" x14ac:dyDescent="0.25">
      <c r="DT183" s="81"/>
      <c r="EA183" s="81"/>
    </row>
    <row r="184" spans="124:131" x14ac:dyDescent="0.25">
      <c r="DT184" s="81"/>
      <c r="EA184" s="81"/>
    </row>
    <row r="185" spans="124:131" x14ac:dyDescent="0.25">
      <c r="DT185" s="81"/>
      <c r="EA185" s="81"/>
    </row>
    <row r="186" spans="124:131" x14ac:dyDescent="0.25">
      <c r="DT186" s="81"/>
      <c r="EA186" s="81"/>
    </row>
    <row r="187" spans="124:131" x14ac:dyDescent="0.25">
      <c r="DT187" s="81"/>
      <c r="EA187" s="81"/>
    </row>
    <row r="188" spans="124:131" x14ac:dyDescent="0.25">
      <c r="DT188" s="81"/>
      <c r="EA188" s="81"/>
    </row>
    <row r="189" spans="124:131" x14ac:dyDescent="0.25">
      <c r="DT189" s="81"/>
      <c r="EA189" s="81"/>
    </row>
    <row r="190" spans="124:131" x14ac:dyDescent="0.25">
      <c r="DT190" s="81"/>
      <c r="EA190" s="81"/>
    </row>
    <row r="191" spans="124:131" x14ac:dyDescent="0.25">
      <c r="DT191" s="81"/>
      <c r="EA191" s="81"/>
    </row>
    <row r="192" spans="124:131" x14ac:dyDescent="0.25">
      <c r="DT192" s="81"/>
      <c r="EA192" s="81"/>
    </row>
    <row r="193" spans="124:131" x14ac:dyDescent="0.25">
      <c r="DT193" s="81"/>
      <c r="EA193" s="81"/>
    </row>
    <row r="194" spans="124:131" x14ac:dyDescent="0.25">
      <c r="DT194" s="81"/>
      <c r="EA194" s="81"/>
    </row>
    <row r="195" spans="124:131" x14ac:dyDescent="0.25">
      <c r="DT195" s="81"/>
      <c r="EA195" s="81"/>
    </row>
    <row r="196" spans="124:131" x14ac:dyDescent="0.25">
      <c r="DT196" s="81"/>
      <c r="EA196" s="81"/>
    </row>
    <row r="197" spans="124:131" x14ac:dyDescent="0.25">
      <c r="DT197" s="81"/>
      <c r="EA197" s="81"/>
    </row>
    <row r="198" spans="124:131" x14ac:dyDescent="0.25">
      <c r="DT198" s="81"/>
      <c r="EA198" s="81"/>
    </row>
    <row r="199" spans="124:131" x14ac:dyDescent="0.25">
      <c r="DT199" s="81"/>
      <c r="EA199" s="81"/>
    </row>
    <row r="200" spans="124:131" x14ac:dyDescent="0.25">
      <c r="DT200" s="81"/>
      <c r="EA200" s="81"/>
    </row>
    <row r="201" spans="124:131" x14ac:dyDescent="0.25">
      <c r="DT201" s="81"/>
      <c r="EA201" s="81"/>
    </row>
    <row r="202" spans="124:131" x14ac:dyDescent="0.25">
      <c r="DT202" s="81"/>
      <c r="EA202" s="81"/>
    </row>
    <row r="203" spans="124:131" x14ac:dyDescent="0.25">
      <c r="DT203" s="81"/>
      <c r="EA203" s="81"/>
    </row>
    <row r="204" spans="124:131" x14ac:dyDescent="0.25">
      <c r="DT204" s="81"/>
      <c r="EA204" s="81"/>
    </row>
    <row r="205" spans="124:131" x14ac:dyDescent="0.25">
      <c r="DT205" s="81"/>
      <c r="EA205" s="81"/>
    </row>
    <row r="206" spans="124:131" x14ac:dyDescent="0.25">
      <c r="DT206" s="81"/>
      <c r="EA206" s="81"/>
    </row>
    <row r="207" spans="124:131" x14ac:dyDescent="0.25">
      <c r="DT207" s="81"/>
      <c r="EA207" s="81"/>
    </row>
    <row r="208" spans="124:131" x14ac:dyDescent="0.25">
      <c r="DT208" s="81"/>
      <c r="EA208" s="81"/>
    </row>
    <row r="209" spans="124:131" x14ac:dyDescent="0.25">
      <c r="DT209" s="81"/>
      <c r="EA209" s="81"/>
    </row>
    <row r="210" spans="124:131" x14ac:dyDescent="0.25">
      <c r="DT210" s="81"/>
      <c r="EA210" s="81"/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CDE8-CBBA-4694-B098-500C6F81D40F}">
  <dimension ref="A1:H54"/>
  <sheetViews>
    <sheetView workbookViewId="0">
      <selection activeCell="C54" sqref="A6:C54"/>
    </sheetView>
  </sheetViews>
  <sheetFormatPr defaultRowHeight="15" x14ac:dyDescent="0.25"/>
  <cols>
    <col min="1" max="1" width="33" style="163" customWidth="1"/>
    <col min="2" max="2" width="39" style="1267" bestFit="1" customWidth="1"/>
    <col min="3" max="3" width="15.140625" customWidth="1"/>
    <col min="4" max="4" width="12.28515625" customWidth="1"/>
    <col min="5" max="5" width="12.7109375" customWidth="1"/>
    <col min="7" max="7" width="21.5703125" customWidth="1"/>
  </cols>
  <sheetData>
    <row r="1" spans="1:8" ht="37.5" x14ac:dyDescent="0.25">
      <c r="A1" s="1268" t="s">
        <v>932</v>
      </c>
      <c r="C1" s="69" t="s">
        <v>928</v>
      </c>
    </row>
    <row r="2" spans="1:8" x14ac:dyDescent="0.25">
      <c r="C2" t="s">
        <v>910</v>
      </c>
      <c r="D2" t="s">
        <v>925</v>
      </c>
    </row>
    <row r="3" spans="1:8" x14ac:dyDescent="0.25">
      <c r="C3" t="s">
        <v>911</v>
      </c>
      <c r="D3" t="s">
        <v>926</v>
      </c>
    </row>
    <row r="4" spans="1:8" x14ac:dyDescent="0.25">
      <c r="C4" t="s">
        <v>924</v>
      </c>
      <c r="D4" t="s">
        <v>927</v>
      </c>
    </row>
    <row r="6" spans="1:8" ht="15.75" x14ac:dyDescent="0.25">
      <c r="A6" s="1272" t="s">
        <v>906</v>
      </c>
      <c r="B6" s="1273" t="s">
        <v>931</v>
      </c>
      <c r="C6" s="1273" t="s">
        <v>905</v>
      </c>
    </row>
    <row r="7" spans="1:8" x14ac:dyDescent="0.25">
      <c r="A7" s="1559" t="s">
        <v>917</v>
      </c>
      <c r="B7" s="1559"/>
      <c r="C7" s="181"/>
      <c r="D7" s="163"/>
      <c r="G7" s="1558"/>
      <c r="H7" s="1558"/>
    </row>
    <row r="8" spans="1:8" x14ac:dyDescent="0.25">
      <c r="B8" s="1267" t="s">
        <v>901</v>
      </c>
      <c r="C8" t="s">
        <v>910</v>
      </c>
      <c r="G8" s="69"/>
    </row>
    <row r="9" spans="1:8" x14ac:dyDescent="0.25">
      <c r="B9" s="1267" t="s">
        <v>902</v>
      </c>
      <c r="C9" t="s">
        <v>910</v>
      </c>
    </row>
    <row r="10" spans="1:8" x14ac:dyDescent="0.25">
      <c r="B10" s="1267" t="s">
        <v>903</v>
      </c>
      <c r="C10" t="s">
        <v>910</v>
      </c>
    </row>
    <row r="11" spans="1:8" x14ac:dyDescent="0.25">
      <c r="B11" s="1267" t="s">
        <v>904</v>
      </c>
      <c r="C11" t="s">
        <v>910</v>
      </c>
    </row>
    <row r="13" spans="1:8" x14ac:dyDescent="0.25">
      <c r="A13" s="1559" t="s">
        <v>919</v>
      </c>
      <c r="B13" s="1559"/>
      <c r="C13" s="181"/>
    </row>
    <row r="14" spans="1:8" x14ac:dyDescent="0.25">
      <c r="A14" s="1269"/>
      <c r="B14" s="1267" t="s">
        <v>339</v>
      </c>
      <c r="C14" t="s">
        <v>910</v>
      </c>
    </row>
    <row r="15" spans="1:8" x14ac:dyDescent="0.25">
      <c r="A15" s="1269"/>
      <c r="B15" s="1267" t="s">
        <v>901</v>
      </c>
      <c r="C15" t="s">
        <v>910</v>
      </c>
    </row>
    <row r="16" spans="1:8" x14ac:dyDescent="0.25">
      <c r="B16" s="1267" t="s">
        <v>902</v>
      </c>
      <c r="C16" t="s">
        <v>911</v>
      </c>
    </row>
    <row r="17" spans="1:3" x14ac:dyDescent="0.25">
      <c r="B17" s="1267" t="s">
        <v>903</v>
      </c>
      <c r="C17" t="s">
        <v>911</v>
      </c>
    </row>
    <row r="18" spans="1:3" x14ac:dyDescent="0.25">
      <c r="B18" s="1267" t="s">
        <v>904</v>
      </c>
      <c r="C18" t="s">
        <v>911</v>
      </c>
    </row>
    <row r="19" spans="1:3" x14ac:dyDescent="0.25">
      <c r="B19" s="1267" t="s">
        <v>912</v>
      </c>
      <c r="C19" t="s">
        <v>910</v>
      </c>
    </row>
    <row r="21" spans="1:3" x14ac:dyDescent="0.25">
      <c r="A21" s="1559" t="s">
        <v>913</v>
      </c>
      <c r="B21" s="1559"/>
      <c r="C21" s="181"/>
    </row>
    <row r="22" spans="1:3" x14ac:dyDescent="0.25">
      <c r="B22" s="1267" t="s">
        <v>339</v>
      </c>
      <c r="C22" t="s">
        <v>911</v>
      </c>
    </row>
    <row r="23" spans="1:3" x14ac:dyDescent="0.25">
      <c r="B23" s="1267" t="s">
        <v>912</v>
      </c>
      <c r="C23" t="s">
        <v>911</v>
      </c>
    </row>
    <row r="24" spans="1:3" x14ac:dyDescent="0.25">
      <c r="B24" s="1267" t="s">
        <v>914</v>
      </c>
      <c r="C24" t="s">
        <v>911</v>
      </c>
    </row>
    <row r="26" spans="1:3" x14ac:dyDescent="0.25">
      <c r="A26" s="1270" t="s">
        <v>909</v>
      </c>
      <c r="B26" s="1271"/>
      <c r="C26" s="181"/>
    </row>
    <row r="27" spans="1:3" x14ac:dyDescent="0.25">
      <c r="B27" s="1267" t="s">
        <v>912</v>
      </c>
      <c r="C27" t="s">
        <v>911</v>
      </c>
    </row>
    <row r="29" spans="1:3" ht="51.6" customHeight="1" x14ac:dyDescent="0.25">
      <c r="A29" s="1559" t="s">
        <v>920</v>
      </c>
      <c r="B29" s="1560"/>
      <c r="C29" s="181"/>
    </row>
    <row r="30" spans="1:3" x14ac:dyDescent="0.25">
      <c r="B30" s="1267" t="s">
        <v>901</v>
      </c>
      <c r="C30" t="s">
        <v>918</v>
      </c>
    </row>
    <row r="31" spans="1:3" x14ac:dyDescent="0.25">
      <c r="B31" s="1267" t="s">
        <v>902</v>
      </c>
      <c r="C31" t="s">
        <v>918</v>
      </c>
    </row>
    <row r="32" spans="1:3" x14ac:dyDescent="0.25">
      <c r="B32" s="1267" t="s">
        <v>903</v>
      </c>
      <c r="C32" t="s">
        <v>918</v>
      </c>
    </row>
    <row r="33" spans="1:4" x14ac:dyDescent="0.25">
      <c r="B33" s="1267" t="s">
        <v>904</v>
      </c>
      <c r="C33" t="s">
        <v>918</v>
      </c>
    </row>
    <row r="35" spans="1:4" ht="28.9" customHeight="1" x14ac:dyDescent="0.25">
      <c r="A35" s="1559" t="s">
        <v>915</v>
      </c>
      <c r="B35" s="1559"/>
      <c r="C35" s="181"/>
    </row>
    <row r="36" spans="1:4" x14ac:dyDescent="0.25">
      <c r="B36" s="1267" t="s">
        <v>339</v>
      </c>
      <c r="C36" t="s">
        <v>911</v>
      </c>
    </row>
    <row r="37" spans="1:4" x14ac:dyDescent="0.25">
      <c r="B37" s="1267" t="s">
        <v>912</v>
      </c>
      <c r="C37" t="s">
        <v>911</v>
      </c>
    </row>
    <row r="39" spans="1:4" ht="28.9" customHeight="1" x14ac:dyDescent="0.25">
      <c r="A39" s="1559" t="s">
        <v>916</v>
      </c>
      <c r="B39" s="1559"/>
      <c r="C39" s="181"/>
      <c r="D39" t="s">
        <v>126</v>
      </c>
    </row>
    <row r="40" spans="1:4" x14ac:dyDescent="0.25">
      <c r="B40" s="1267" t="s">
        <v>339</v>
      </c>
      <c r="C40" t="s">
        <v>911</v>
      </c>
    </row>
    <row r="41" spans="1:4" x14ac:dyDescent="0.25">
      <c r="B41" s="1267" t="s">
        <v>912</v>
      </c>
      <c r="C41" t="s">
        <v>911</v>
      </c>
    </row>
    <row r="42" spans="1:4" x14ac:dyDescent="0.25">
      <c r="B42" s="1269"/>
    </row>
    <row r="43" spans="1:4" ht="15.75" x14ac:dyDescent="0.25">
      <c r="A43" s="1272" t="s">
        <v>907</v>
      </c>
      <c r="B43" s="1274"/>
      <c r="C43" s="1273" t="s">
        <v>905</v>
      </c>
    </row>
    <row r="44" spans="1:4" ht="30" x14ac:dyDescent="0.25">
      <c r="A44" s="1270" t="s">
        <v>923</v>
      </c>
      <c r="B44" s="1271"/>
      <c r="C44" s="181"/>
    </row>
    <row r="45" spans="1:4" x14ac:dyDescent="0.25">
      <c r="B45" s="729" t="s">
        <v>339</v>
      </c>
      <c r="C45" s="81" t="s">
        <v>445</v>
      </c>
    </row>
    <row r="46" spans="1:4" x14ac:dyDescent="0.25">
      <c r="A46" s="1559" t="s">
        <v>908</v>
      </c>
      <c r="B46" s="1559"/>
      <c r="C46" s="181"/>
    </row>
    <row r="47" spans="1:4" x14ac:dyDescent="0.25">
      <c r="B47" s="1267" t="s">
        <v>929</v>
      </c>
      <c r="C47" t="s">
        <v>445</v>
      </c>
    </row>
    <row r="48" spans="1:4" x14ac:dyDescent="0.25">
      <c r="B48" s="1267" t="s">
        <v>930</v>
      </c>
      <c r="C48" t="s">
        <v>911</v>
      </c>
    </row>
    <row r="49" spans="1:3" x14ac:dyDescent="0.25">
      <c r="B49" s="1267" t="s">
        <v>921</v>
      </c>
      <c r="C49" t="s">
        <v>911</v>
      </c>
    </row>
    <row r="50" spans="1:3" x14ac:dyDescent="0.25">
      <c r="A50" s="1559" t="s">
        <v>922</v>
      </c>
      <c r="B50" s="1559"/>
      <c r="C50" s="181"/>
    </row>
    <row r="51" spans="1:3" x14ac:dyDescent="0.25">
      <c r="B51" s="1267" t="s">
        <v>901</v>
      </c>
      <c r="C51" t="s">
        <v>911</v>
      </c>
    </row>
    <row r="52" spans="1:3" x14ac:dyDescent="0.25">
      <c r="B52" s="1267" t="s">
        <v>902</v>
      </c>
      <c r="C52" t="s">
        <v>911</v>
      </c>
    </row>
    <row r="53" spans="1:3" x14ac:dyDescent="0.25">
      <c r="B53" s="1267" t="s">
        <v>903</v>
      </c>
      <c r="C53" t="s">
        <v>911</v>
      </c>
    </row>
    <row r="54" spans="1:3" x14ac:dyDescent="0.25">
      <c r="B54" s="1267" t="s">
        <v>904</v>
      </c>
      <c r="C54" t="s">
        <v>911</v>
      </c>
    </row>
  </sheetData>
  <mergeCells count="9">
    <mergeCell ref="G7:H7"/>
    <mergeCell ref="A46:B46"/>
    <mergeCell ref="A50:B50"/>
    <mergeCell ref="A29:B29"/>
    <mergeCell ref="A13:B13"/>
    <mergeCell ref="A21:B21"/>
    <mergeCell ref="A35:B35"/>
    <mergeCell ref="A39:B39"/>
    <mergeCell ref="A7:B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CC562-B2EF-46F4-A189-2B6F7183E5D1}">
  <dimension ref="A1:GY1604"/>
  <sheetViews>
    <sheetView zoomScale="69" zoomScaleNormal="60" workbookViewId="0">
      <selection activeCell="AO15" sqref="AO15"/>
    </sheetView>
  </sheetViews>
  <sheetFormatPr defaultRowHeight="15" x14ac:dyDescent="0.25"/>
  <cols>
    <col min="1" max="1" width="64.85546875" bestFit="1" customWidth="1"/>
    <col min="2" max="2" width="16.42578125" customWidth="1"/>
    <col min="3" max="3" width="15.28515625" customWidth="1"/>
    <col min="4" max="4" width="14.28515625" customWidth="1"/>
    <col min="5" max="76" width="4.140625" customWidth="1"/>
    <col min="77" max="79" width="3.28515625" customWidth="1"/>
    <col min="80" max="81" width="3.28515625" style="447" customWidth="1"/>
    <col min="82" max="83" width="3.28515625" customWidth="1"/>
    <col min="84" max="84" width="3.7109375" customWidth="1"/>
    <col min="85" max="85" width="3.85546875" customWidth="1"/>
    <col min="86" max="86" width="3.28515625" customWidth="1"/>
    <col min="87" max="88" width="3.28515625" style="447" customWidth="1"/>
    <col min="89" max="89" width="4.28515625" customWidth="1"/>
    <col min="90" max="90" width="3.28515625" customWidth="1"/>
    <col min="91" max="91" width="3.7109375" style="466" customWidth="1"/>
    <col min="92" max="92" width="3.7109375" customWidth="1"/>
    <col min="93" max="93" width="3.28515625" customWidth="1"/>
    <col min="94" max="95" width="3.28515625" style="447" customWidth="1"/>
    <col min="96" max="97" width="3.28515625" customWidth="1"/>
    <col min="98" max="99" width="3.42578125" customWidth="1"/>
    <col min="100" max="100" width="3.28515625" customWidth="1"/>
    <col min="101" max="102" width="3.28515625" style="447" customWidth="1"/>
    <col min="103" max="104" width="3.28515625" customWidth="1"/>
    <col min="105" max="106" width="2.85546875" customWidth="1"/>
    <col min="107" max="107" width="3.5703125" customWidth="1"/>
    <col min="108" max="108" width="3.28515625" style="447" customWidth="1"/>
    <col min="109" max="109" width="3.28515625" style="468" customWidth="1"/>
    <col min="110" max="113" width="3.28515625" customWidth="1"/>
    <col min="114" max="114" width="4" customWidth="1"/>
    <col min="115" max="116" width="4" style="447" customWidth="1"/>
    <col min="117" max="118" width="4" customWidth="1"/>
    <col min="119" max="120" width="3.7109375" customWidth="1"/>
    <col min="121" max="121" width="3.28515625" style="468" customWidth="1"/>
    <col min="122" max="123" width="3.28515625" style="447" customWidth="1"/>
    <col min="124" max="124" width="3.28515625" style="597" customWidth="1"/>
    <col min="125" max="125" width="3.28515625" customWidth="1"/>
    <col min="126" max="128" width="3.5703125" customWidth="1"/>
    <col min="129" max="129" width="3.5703125" style="447" customWidth="1"/>
    <col min="130" max="130" width="6.28515625" style="447" customWidth="1"/>
    <col min="131" max="131" width="3.5703125" style="447" customWidth="1"/>
    <col min="132" max="132" width="3.5703125" style="597" customWidth="1"/>
    <col min="133" max="135" width="3.5703125" customWidth="1"/>
    <col min="136" max="137" width="3.5703125" style="447" customWidth="1"/>
    <col min="138" max="138" width="3.5703125" customWidth="1"/>
    <col min="139" max="142" width="3.85546875" bestFit="1" customWidth="1"/>
    <col min="143" max="144" width="3.5703125" style="447" customWidth="1"/>
    <col min="145" max="145" width="3.7109375" customWidth="1"/>
    <col min="146" max="147" width="3.85546875" bestFit="1" customWidth="1"/>
    <col min="148" max="149" width="3.5703125" customWidth="1"/>
    <col min="150" max="151" width="2.28515625" style="447" customWidth="1"/>
    <col min="152" max="152" width="7.140625" style="466" customWidth="1"/>
    <col min="153" max="156" width="3.28515625" customWidth="1"/>
    <col min="157" max="158" width="3.28515625" style="447" customWidth="1"/>
    <col min="159" max="163" width="3.42578125" customWidth="1"/>
    <col min="164" max="165" width="2.7109375" style="447" customWidth="1"/>
    <col min="166" max="170" width="3.42578125" customWidth="1"/>
    <col min="171" max="172" width="2.7109375" style="448" customWidth="1"/>
    <col min="173" max="177" width="3.42578125" customWidth="1"/>
    <col min="178" max="179" width="2.28515625" style="448" customWidth="1"/>
    <col min="180" max="181" width="3" customWidth="1"/>
    <col min="182" max="182" width="3.28515625" style="466" customWidth="1"/>
    <col min="183" max="184" width="3.28515625" customWidth="1"/>
    <col min="185" max="186" width="3.28515625" style="447" customWidth="1"/>
    <col min="187" max="191" width="3.28515625" customWidth="1"/>
    <col min="192" max="193" width="3.28515625" style="447" customWidth="1"/>
    <col min="194" max="198" width="3.28515625" customWidth="1"/>
    <col min="199" max="200" width="3.28515625" style="447" customWidth="1"/>
    <col min="201" max="205" width="3.28515625" customWidth="1"/>
    <col min="206" max="207" width="3.28515625" style="447" customWidth="1"/>
    <col min="208" max="211" width="3.28515625" customWidth="1"/>
    <col min="213" max="213" width="18" customWidth="1"/>
    <col min="214" max="266" width="4" customWidth="1"/>
  </cols>
  <sheetData>
    <row r="1" spans="1:207" ht="23.25" x14ac:dyDescent="0.35">
      <c r="A1" s="759" t="s">
        <v>590</v>
      </c>
      <c r="B1" s="760"/>
      <c r="D1" s="763" t="s">
        <v>597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595"/>
      <c r="AN1" s="82"/>
      <c r="AO1" s="82"/>
      <c r="AP1" s="82"/>
      <c r="AQ1" s="82"/>
      <c r="AR1" s="595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594"/>
      <c r="BH1" s="594"/>
      <c r="BI1" s="594"/>
      <c r="BJ1" s="594"/>
      <c r="BK1" s="594"/>
      <c r="BL1" s="594"/>
      <c r="BM1" s="594"/>
      <c r="BN1" s="594"/>
      <c r="BO1" s="594"/>
      <c r="BP1" s="594"/>
      <c r="BQ1" s="594"/>
      <c r="BR1" s="594"/>
      <c r="BS1" s="594"/>
      <c r="BT1" s="594"/>
      <c r="BU1" s="594"/>
      <c r="CB1"/>
      <c r="CC1"/>
      <c r="CI1"/>
      <c r="CJ1"/>
      <c r="CM1"/>
      <c r="CP1"/>
      <c r="CQ1"/>
      <c r="CW1"/>
      <c r="CX1"/>
      <c r="DD1"/>
      <c r="DE1" s="466"/>
      <c r="DK1"/>
      <c r="DL1"/>
      <c r="DQ1"/>
      <c r="DR1"/>
      <c r="DS1"/>
      <c r="DT1"/>
      <c r="DY1"/>
      <c r="DZ1"/>
      <c r="EA1"/>
      <c r="EB1"/>
      <c r="EF1"/>
      <c r="EG1"/>
      <c r="EM1"/>
      <c r="EN1"/>
      <c r="ET1"/>
      <c r="EU1"/>
      <c r="EV1"/>
      <c r="FA1"/>
      <c r="FB1"/>
      <c r="FH1"/>
      <c r="FI1"/>
      <c r="FO1"/>
      <c r="FP1"/>
      <c r="FV1"/>
      <c r="FW1"/>
      <c r="FZ1"/>
      <c r="GC1"/>
      <c r="GD1"/>
      <c r="GJ1"/>
      <c r="GK1"/>
      <c r="GQ1"/>
      <c r="GR1"/>
      <c r="GX1"/>
      <c r="GY1"/>
    </row>
    <row r="2" spans="1:207" x14ac:dyDescent="0.25">
      <c r="A2" s="854" t="s">
        <v>371</v>
      </c>
      <c r="B2" s="855">
        <v>10</v>
      </c>
      <c r="D2" s="853" t="s">
        <v>391</v>
      </c>
      <c r="E2" s="765">
        <v>1</v>
      </c>
      <c r="F2" s="765">
        <v>2</v>
      </c>
      <c r="G2" s="765">
        <v>3</v>
      </c>
      <c r="H2" s="765">
        <v>4</v>
      </c>
      <c r="I2" s="765">
        <v>5</v>
      </c>
      <c r="J2" s="765">
        <v>6</v>
      </c>
      <c r="K2" s="765">
        <v>7</v>
      </c>
      <c r="L2" s="765">
        <v>8</v>
      </c>
      <c r="M2" s="765">
        <v>9</v>
      </c>
      <c r="N2" s="765">
        <v>10</v>
      </c>
      <c r="O2" s="894"/>
      <c r="P2" s="894"/>
      <c r="Q2" s="894"/>
      <c r="R2" s="894"/>
      <c r="S2" s="894"/>
      <c r="T2" s="894"/>
      <c r="U2" s="894"/>
      <c r="V2" s="894"/>
      <c r="W2" s="894"/>
      <c r="X2" s="894"/>
      <c r="Y2" s="894"/>
      <c r="Z2" s="894"/>
      <c r="AA2" s="894"/>
      <c r="AB2" s="894"/>
      <c r="AC2" s="894"/>
      <c r="AD2" s="894"/>
      <c r="AE2" s="894"/>
      <c r="AF2" s="894"/>
      <c r="AG2" s="894"/>
      <c r="AH2" s="894"/>
      <c r="AI2" s="894"/>
      <c r="AJ2" s="894"/>
      <c r="AK2" s="894"/>
      <c r="AL2" s="569"/>
      <c r="AM2" s="794"/>
      <c r="AN2" s="569"/>
      <c r="AO2" s="569"/>
      <c r="AP2" s="569"/>
      <c r="AQ2" s="569"/>
      <c r="AR2" s="794"/>
      <c r="AS2" s="569"/>
      <c r="AT2" s="569"/>
      <c r="AU2" s="569"/>
      <c r="AV2" s="569"/>
      <c r="AW2" s="569"/>
      <c r="AX2" s="569"/>
      <c r="AY2" s="569"/>
      <c r="AZ2" s="569"/>
      <c r="BA2" s="569"/>
      <c r="BB2" s="569"/>
      <c r="BC2" s="569"/>
      <c r="BD2" s="569"/>
      <c r="BE2" s="569"/>
      <c r="BG2" s="594"/>
      <c r="BH2" s="594"/>
      <c r="BI2" s="594"/>
      <c r="BJ2" s="594"/>
      <c r="BK2" s="594"/>
      <c r="BL2" s="594"/>
      <c r="BM2" s="594"/>
      <c r="BN2" s="594"/>
      <c r="BO2" s="594"/>
      <c r="BP2" s="594"/>
      <c r="BQ2" s="594"/>
      <c r="BR2" s="594"/>
      <c r="BS2" s="594"/>
      <c r="BT2" s="594"/>
      <c r="BU2" s="594"/>
      <c r="CB2"/>
      <c r="CC2"/>
      <c r="CI2"/>
      <c r="CJ2"/>
      <c r="CM2"/>
      <c r="CP2"/>
      <c r="CQ2"/>
      <c r="CW2"/>
      <c r="CX2"/>
      <c r="DD2"/>
      <c r="DE2" s="466"/>
      <c r="DK2"/>
      <c r="DL2"/>
      <c r="DQ2"/>
      <c r="DR2"/>
      <c r="DS2"/>
      <c r="DT2"/>
      <c r="DY2"/>
      <c r="DZ2"/>
      <c r="EA2"/>
      <c r="EB2"/>
      <c r="EF2"/>
      <c r="EG2"/>
      <c r="EM2"/>
      <c r="EN2"/>
      <c r="ET2"/>
      <c r="EU2"/>
      <c r="EV2"/>
      <c r="FA2"/>
      <c r="FB2"/>
      <c r="FH2"/>
      <c r="FI2"/>
      <c r="FO2"/>
      <c r="FP2"/>
      <c r="FV2"/>
      <c r="FW2"/>
      <c r="FZ2"/>
      <c r="GC2"/>
      <c r="GD2"/>
      <c r="GJ2"/>
      <c r="GK2"/>
      <c r="GQ2"/>
      <c r="GR2"/>
      <c r="GX2"/>
      <c r="GY2"/>
    </row>
    <row r="3" spans="1:207" x14ac:dyDescent="0.25">
      <c r="A3" s="856" t="s">
        <v>584</v>
      </c>
      <c r="B3" s="857"/>
      <c r="E3" t="s">
        <v>608</v>
      </c>
      <c r="O3" s="904" t="s">
        <v>607</v>
      </c>
      <c r="P3" t="s">
        <v>609</v>
      </c>
      <c r="AA3" t="s">
        <v>610</v>
      </c>
      <c r="BG3" s="594"/>
      <c r="BH3" s="594"/>
      <c r="BI3" s="594"/>
      <c r="BJ3" s="594"/>
      <c r="BK3" s="594"/>
      <c r="BL3" s="594"/>
      <c r="BM3" s="594"/>
      <c r="BN3" s="594"/>
      <c r="BO3" s="594"/>
      <c r="BP3" s="594"/>
      <c r="BQ3" s="594"/>
      <c r="BR3" s="594"/>
      <c r="BS3" s="594"/>
      <c r="BT3" s="594"/>
      <c r="BU3" s="594"/>
      <c r="CB3"/>
      <c r="CC3"/>
      <c r="CI3"/>
      <c r="CJ3"/>
      <c r="CM3"/>
      <c r="CP3"/>
      <c r="CQ3"/>
      <c r="CW3"/>
      <c r="CX3"/>
      <c r="DD3"/>
      <c r="DE3" s="466"/>
      <c r="DK3"/>
      <c r="DL3"/>
      <c r="DQ3"/>
      <c r="DR3"/>
      <c r="DS3"/>
      <c r="DT3"/>
      <c r="DY3"/>
      <c r="DZ3"/>
      <c r="EA3"/>
      <c r="EB3"/>
      <c r="EF3"/>
      <c r="EG3"/>
      <c r="EM3"/>
      <c r="EN3"/>
      <c r="ET3"/>
      <c r="EU3"/>
      <c r="EV3"/>
      <c r="FA3"/>
      <c r="FB3"/>
      <c r="FH3"/>
      <c r="FI3"/>
      <c r="FO3"/>
      <c r="FP3"/>
      <c r="FV3"/>
      <c r="FW3"/>
      <c r="FZ3"/>
      <c r="GC3"/>
      <c r="GD3"/>
      <c r="GJ3"/>
      <c r="GK3"/>
      <c r="GQ3"/>
      <c r="GR3"/>
      <c r="GX3"/>
      <c r="GY3"/>
    </row>
    <row r="4" spans="1:207" ht="33.6" customHeight="1" x14ac:dyDescent="0.25">
      <c r="A4" s="856" t="s">
        <v>566</v>
      </c>
      <c r="B4" s="857"/>
      <c r="D4" s="853" t="s">
        <v>594</v>
      </c>
      <c r="E4" s="892">
        <v>1</v>
      </c>
      <c r="F4" s="892">
        <v>2</v>
      </c>
      <c r="G4" s="892">
        <v>3</v>
      </c>
      <c r="H4" s="892">
        <v>4</v>
      </c>
      <c r="I4" s="892">
        <v>5</v>
      </c>
      <c r="J4" s="892">
        <v>6</v>
      </c>
      <c r="K4" s="892">
        <v>7</v>
      </c>
      <c r="L4" s="892">
        <v>8</v>
      </c>
      <c r="M4" s="892">
        <v>9</v>
      </c>
      <c r="N4" s="892">
        <v>10</v>
      </c>
      <c r="O4" s="903">
        <v>11</v>
      </c>
      <c r="P4" s="899">
        <v>12</v>
      </c>
      <c r="Q4" s="897">
        <v>13</v>
      </c>
      <c r="R4" s="897">
        <v>14</v>
      </c>
      <c r="S4" s="897">
        <v>15</v>
      </c>
      <c r="T4" s="897">
        <v>16</v>
      </c>
      <c r="U4" s="897">
        <v>17</v>
      </c>
      <c r="V4" s="897">
        <v>18</v>
      </c>
      <c r="W4" s="897">
        <v>19</v>
      </c>
      <c r="X4" s="897">
        <v>20</v>
      </c>
      <c r="Y4" s="897">
        <v>21</v>
      </c>
      <c r="Z4" s="898">
        <v>22</v>
      </c>
      <c r="AA4" s="900">
        <v>23</v>
      </c>
      <c r="AB4" s="901">
        <v>24</v>
      </c>
      <c r="AC4" s="901">
        <v>25</v>
      </c>
      <c r="AD4" s="901">
        <v>26</v>
      </c>
      <c r="AE4" s="901">
        <v>27</v>
      </c>
      <c r="AF4" s="901">
        <v>28</v>
      </c>
      <c r="AG4" s="901">
        <v>29</v>
      </c>
      <c r="AH4" s="901">
        <v>30</v>
      </c>
      <c r="AI4" s="901">
        <v>31</v>
      </c>
      <c r="AJ4" s="901">
        <v>32</v>
      </c>
      <c r="AK4" s="902">
        <v>33</v>
      </c>
      <c r="AL4" s="893">
        <v>34</v>
      </c>
      <c r="AM4" s="794"/>
      <c r="AN4" s="569"/>
      <c r="AO4" s="569"/>
      <c r="AP4" s="569"/>
      <c r="AQ4" s="569"/>
      <c r="AR4" s="794"/>
      <c r="AS4" s="569"/>
      <c r="AT4" s="569"/>
      <c r="AU4" s="569"/>
      <c r="AV4" s="569"/>
      <c r="AW4" s="569"/>
      <c r="AX4" s="569"/>
      <c r="AY4" s="569"/>
      <c r="AZ4" s="569"/>
      <c r="BA4" s="569"/>
      <c r="BB4" s="569"/>
      <c r="BC4" s="569"/>
      <c r="BD4" s="569"/>
      <c r="BE4" s="569"/>
      <c r="BG4" s="594"/>
      <c r="BH4" s="594"/>
      <c r="BI4" s="594"/>
      <c r="BJ4" s="594"/>
      <c r="BK4" s="594"/>
      <c r="BL4" s="594"/>
      <c r="BM4" s="594"/>
      <c r="BN4" s="594"/>
      <c r="BO4" s="594"/>
      <c r="BP4" s="594"/>
      <c r="BQ4" s="594"/>
      <c r="BR4" s="594"/>
      <c r="BS4" s="594"/>
      <c r="BT4" s="594"/>
      <c r="BU4" s="594"/>
      <c r="CB4"/>
      <c r="CC4"/>
      <c r="CI4"/>
      <c r="CJ4"/>
      <c r="CM4"/>
      <c r="CP4"/>
      <c r="CQ4"/>
      <c r="CW4"/>
      <c r="CX4"/>
      <c r="DD4"/>
      <c r="DE4" s="466"/>
      <c r="DK4"/>
      <c r="DL4"/>
      <c r="DQ4"/>
      <c r="DR4"/>
      <c r="DS4"/>
      <c r="DT4"/>
      <c r="DY4"/>
      <c r="DZ4"/>
      <c r="EA4"/>
      <c r="EB4"/>
      <c r="EF4"/>
      <c r="EG4"/>
      <c r="EM4"/>
      <c r="EN4"/>
      <c r="ET4"/>
      <c r="EU4"/>
      <c r="EV4"/>
      <c r="FA4"/>
      <c r="FB4"/>
      <c r="FH4"/>
      <c r="FI4"/>
      <c r="FO4"/>
      <c r="FP4"/>
      <c r="FV4"/>
      <c r="FW4"/>
      <c r="FZ4"/>
      <c r="GC4"/>
      <c r="GD4"/>
      <c r="GJ4"/>
      <c r="GK4"/>
      <c r="GQ4"/>
      <c r="GR4"/>
      <c r="GX4"/>
      <c r="GY4"/>
    </row>
    <row r="5" spans="1:207" x14ac:dyDescent="0.25">
      <c r="A5" s="856" t="s">
        <v>567</v>
      </c>
      <c r="B5" s="857"/>
      <c r="D5" s="853" t="s">
        <v>593</v>
      </c>
      <c r="E5" s="569"/>
      <c r="F5" s="569"/>
      <c r="G5" s="569"/>
      <c r="H5" s="569"/>
      <c r="I5" s="569"/>
      <c r="J5" s="569"/>
      <c r="K5" s="569"/>
      <c r="L5" s="569"/>
      <c r="M5" s="569"/>
      <c r="N5" s="569"/>
      <c r="O5" s="569"/>
      <c r="P5" s="896"/>
      <c r="Q5" s="896"/>
      <c r="R5" s="896"/>
      <c r="S5" s="896"/>
      <c r="T5" s="896"/>
      <c r="U5" s="896"/>
      <c r="V5" s="895">
        <v>1</v>
      </c>
      <c r="W5" s="895">
        <v>2</v>
      </c>
      <c r="X5" s="895">
        <v>3</v>
      </c>
      <c r="Y5" s="895">
        <v>4</v>
      </c>
      <c r="Z5" s="895">
        <v>5</v>
      </c>
      <c r="AA5" s="895">
        <v>6</v>
      </c>
      <c r="AB5" s="895">
        <v>7</v>
      </c>
      <c r="AC5" s="895">
        <v>8</v>
      </c>
      <c r="AD5" s="895">
        <v>9</v>
      </c>
      <c r="AE5" s="895">
        <v>10</v>
      </c>
      <c r="AF5" s="895">
        <v>11</v>
      </c>
      <c r="AG5" s="895">
        <v>12</v>
      </c>
      <c r="AH5" s="895">
        <v>13</v>
      </c>
      <c r="AI5" s="896"/>
      <c r="AJ5" s="896"/>
      <c r="AK5" s="896"/>
      <c r="AL5" s="569"/>
      <c r="AM5" s="794"/>
      <c r="AN5" s="569"/>
      <c r="AO5" s="569"/>
      <c r="AP5" s="569"/>
      <c r="AQ5" s="569"/>
      <c r="AR5" s="794"/>
      <c r="AS5" s="569"/>
      <c r="AT5" s="569"/>
      <c r="AU5" s="569"/>
      <c r="AV5" s="569"/>
      <c r="AW5" s="569"/>
      <c r="AX5" s="569"/>
      <c r="AY5" s="569"/>
      <c r="AZ5" s="569"/>
      <c r="BA5" s="569"/>
      <c r="BB5" s="569"/>
      <c r="BC5" s="569"/>
      <c r="BD5" s="569"/>
      <c r="BE5" s="569"/>
      <c r="BG5" s="594"/>
      <c r="BH5" s="594"/>
      <c r="BI5" s="594"/>
      <c r="BJ5" s="594"/>
      <c r="BK5" s="594"/>
      <c r="BL5" s="594"/>
      <c r="BM5" s="594"/>
      <c r="BN5" s="594"/>
      <c r="BO5" s="594"/>
      <c r="BP5" s="594"/>
      <c r="BQ5" s="594"/>
      <c r="BR5" s="594"/>
      <c r="BS5" s="594"/>
      <c r="BT5" s="594"/>
      <c r="BU5" s="594"/>
      <c r="CB5"/>
      <c r="CC5"/>
      <c r="CI5"/>
      <c r="CJ5"/>
      <c r="CM5"/>
      <c r="CP5"/>
      <c r="CQ5"/>
      <c r="CW5"/>
      <c r="CX5"/>
      <c r="DD5"/>
      <c r="DE5" s="466"/>
      <c r="DK5"/>
      <c r="DL5"/>
      <c r="DQ5"/>
      <c r="DR5"/>
      <c r="DS5"/>
      <c r="DT5"/>
      <c r="DY5"/>
      <c r="DZ5"/>
      <c r="EA5"/>
      <c r="EB5"/>
      <c r="EF5"/>
      <c r="EG5"/>
      <c r="EM5"/>
      <c r="EN5"/>
      <c r="ET5"/>
      <c r="EU5"/>
      <c r="EV5"/>
      <c r="FA5"/>
      <c r="FB5"/>
      <c r="FH5"/>
      <c r="FI5"/>
      <c r="FO5"/>
      <c r="FP5"/>
      <c r="FV5"/>
      <c r="FW5"/>
      <c r="FZ5"/>
      <c r="GC5"/>
      <c r="GD5"/>
      <c r="GJ5"/>
      <c r="GK5"/>
      <c r="GQ5"/>
      <c r="GR5"/>
      <c r="GX5"/>
      <c r="GY5"/>
    </row>
    <row r="6" spans="1:207" x14ac:dyDescent="0.25">
      <c r="A6" s="856" t="s">
        <v>568</v>
      </c>
      <c r="B6" s="857"/>
      <c r="D6" s="836" t="s">
        <v>592</v>
      </c>
      <c r="E6" s="569"/>
      <c r="F6" s="569"/>
      <c r="G6" s="569"/>
      <c r="H6" s="569"/>
      <c r="I6" s="569"/>
      <c r="J6" s="569"/>
      <c r="K6" s="569"/>
      <c r="L6" s="569"/>
      <c r="M6" s="569"/>
      <c r="N6" s="569"/>
      <c r="O6" s="569"/>
      <c r="P6" s="569"/>
      <c r="Q6" s="569"/>
      <c r="R6" s="569"/>
      <c r="S6" s="569"/>
      <c r="T6" s="569"/>
      <c r="U6" s="569"/>
      <c r="V6" s="569"/>
      <c r="W6" s="569"/>
      <c r="X6" s="569"/>
      <c r="Y6" s="569"/>
      <c r="Z6" s="569"/>
      <c r="AA6" s="569"/>
      <c r="AB6" s="569"/>
      <c r="AC6" s="569"/>
      <c r="AD6" s="569"/>
      <c r="AE6" s="569"/>
      <c r="AF6" s="569"/>
      <c r="AG6" s="769">
        <v>1</v>
      </c>
      <c r="AH6" s="769">
        <v>2</v>
      </c>
      <c r="AI6" s="769">
        <v>3</v>
      </c>
      <c r="AJ6" s="769">
        <v>4</v>
      </c>
      <c r="AK6" s="769">
        <v>5</v>
      </c>
      <c r="AL6" s="769">
        <v>6</v>
      </c>
      <c r="AM6" s="770">
        <v>7</v>
      </c>
      <c r="AN6" s="769">
        <v>8</v>
      </c>
      <c r="AO6" s="769">
        <v>9</v>
      </c>
      <c r="AP6" s="769">
        <v>10</v>
      </c>
      <c r="AQ6" s="769">
        <v>11</v>
      </c>
      <c r="AR6" s="770">
        <v>12</v>
      </c>
      <c r="AS6" s="769">
        <v>13</v>
      </c>
      <c r="AT6" s="769">
        <v>14</v>
      </c>
      <c r="AU6" s="769">
        <v>15</v>
      </c>
      <c r="AV6" s="569"/>
      <c r="AW6" s="569"/>
      <c r="AX6" s="569"/>
      <c r="AY6" s="569"/>
      <c r="AZ6" s="569"/>
      <c r="BA6" s="569"/>
      <c r="BB6" s="569"/>
      <c r="BC6" s="569"/>
      <c r="BD6" s="569"/>
      <c r="BE6" s="569"/>
      <c r="BG6" s="594"/>
      <c r="BH6" s="594"/>
      <c r="BI6" s="594"/>
      <c r="BJ6" s="594"/>
      <c r="BK6" s="594"/>
      <c r="BL6" s="594"/>
      <c r="BM6" s="594"/>
      <c r="BN6" s="594"/>
      <c r="BO6" s="594"/>
      <c r="BP6" s="594"/>
      <c r="BQ6" s="594"/>
      <c r="BR6" s="594"/>
      <c r="BS6" s="594"/>
      <c r="BT6" s="594"/>
      <c r="BU6" s="594"/>
      <c r="CB6"/>
      <c r="CC6"/>
      <c r="CI6"/>
      <c r="CJ6"/>
      <c r="CM6"/>
      <c r="CP6"/>
      <c r="CQ6"/>
      <c r="CW6"/>
      <c r="CX6"/>
      <c r="DD6"/>
      <c r="DE6" s="466"/>
      <c r="DK6"/>
      <c r="DL6"/>
      <c r="DQ6"/>
      <c r="DR6"/>
      <c r="DS6"/>
      <c r="DT6"/>
      <c r="DY6"/>
      <c r="DZ6"/>
      <c r="EA6"/>
      <c r="EB6"/>
      <c r="EF6"/>
      <c r="EG6"/>
      <c r="EM6"/>
      <c r="EN6"/>
      <c r="ET6"/>
      <c r="EU6"/>
      <c r="EV6"/>
      <c r="FA6"/>
      <c r="FB6"/>
      <c r="FH6"/>
      <c r="FI6"/>
      <c r="FO6"/>
      <c r="FP6"/>
      <c r="FV6"/>
      <c r="FW6"/>
      <c r="FZ6"/>
      <c r="GC6"/>
      <c r="GD6"/>
      <c r="GJ6"/>
      <c r="GK6"/>
      <c r="GQ6"/>
      <c r="GR6"/>
      <c r="GX6"/>
      <c r="GY6"/>
    </row>
    <row r="7" spans="1:207" x14ac:dyDescent="0.25">
      <c r="A7" s="858" t="s">
        <v>585</v>
      </c>
      <c r="B7" s="857"/>
      <c r="D7" s="836" t="s">
        <v>124</v>
      </c>
      <c r="E7" s="569"/>
      <c r="F7" s="569"/>
      <c r="G7" s="569"/>
      <c r="H7" s="569"/>
      <c r="I7" s="569"/>
      <c r="J7" s="569"/>
      <c r="K7" s="569"/>
      <c r="L7" s="569"/>
      <c r="M7" s="569"/>
      <c r="N7" s="569"/>
      <c r="O7" s="569"/>
      <c r="P7" s="569"/>
      <c r="Q7" s="569"/>
      <c r="R7" s="569"/>
      <c r="S7" s="569"/>
      <c r="T7" s="569"/>
      <c r="U7" s="569"/>
      <c r="V7" s="569"/>
      <c r="W7" s="569"/>
      <c r="X7" s="569"/>
      <c r="Y7" s="569"/>
      <c r="Z7" s="569"/>
      <c r="AA7" s="569"/>
      <c r="AB7" s="569"/>
      <c r="AC7" s="569"/>
      <c r="AD7" s="771">
        <v>1</v>
      </c>
      <c r="AE7" s="771">
        <v>2</v>
      </c>
      <c r="AF7" s="771">
        <v>3</v>
      </c>
      <c r="AG7" s="771">
        <v>4</v>
      </c>
      <c r="AH7" s="771">
        <v>5</v>
      </c>
      <c r="AI7" s="771">
        <v>6</v>
      </c>
      <c r="AJ7" s="771">
        <v>7</v>
      </c>
      <c r="AK7" s="771">
        <v>8</v>
      </c>
      <c r="AL7" s="771">
        <v>9</v>
      </c>
      <c r="AM7" s="772">
        <v>10</v>
      </c>
      <c r="AN7" s="771">
        <v>11</v>
      </c>
      <c r="AO7" s="771">
        <v>12</v>
      </c>
      <c r="AP7" s="771">
        <v>13</v>
      </c>
      <c r="AQ7" s="771">
        <v>14</v>
      </c>
      <c r="AR7" s="772">
        <v>15</v>
      </c>
      <c r="AS7" s="771">
        <v>16</v>
      </c>
      <c r="AT7" s="771">
        <v>17</v>
      </c>
      <c r="AU7" s="771">
        <v>18</v>
      </c>
      <c r="AV7" s="771">
        <v>19</v>
      </c>
      <c r="AW7" s="771">
        <v>20</v>
      </c>
      <c r="AX7" s="771">
        <v>21</v>
      </c>
      <c r="AY7" s="771">
        <v>22</v>
      </c>
      <c r="AZ7" s="771">
        <v>23</v>
      </c>
      <c r="BA7" s="771">
        <v>24</v>
      </c>
      <c r="BB7" s="771">
        <v>25</v>
      </c>
      <c r="BC7" s="771">
        <v>26</v>
      </c>
      <c r="BD7" s="771">
        <v>27</v>
      </c>
      <c r="BE7" s="771">
        <v>28</v>
      </c>
      <c r="BF7" s="180"/>
      <c r="BG7" s="594"/>
      <c r="BH7" s="594"/>
      <c r="BI7" s="594"/>
      <c r="BJ7" s="594"/>
      <c r="BK7" s="594"/>
      <c r="BL7" s="594"/>
      <c r="BM7" s="594"/>
      <c r="BN7" s="594"/>
      <c r="BO7" s="594"/>
      <c r="BP7" s="594"/>
      <c r="BQ7" s="594"/>
      <c r="BR7" s="594"/>
      <c r="BS7" s="594"/>
      <c r="BT7" s="594"/>
      <c r="BU7" s="594"/>
      <c r="CB7"/>
      <c r="CC7"/>
      <c r="CI7"/>
      <c r="CJ7"/>
      <c r="CM7"/>
      <c r="CP7"/>
      <c r="CQ7"/>
      <c r="CW7"/>
      <c r="CX7"/>
      <c r="DD7"/>
      <c r="DE7" s="466"/>
      <c r="DK7"/>
      <c r="DL7"/>
      <c r="DQ7"/>
      <c r="DR7"/>
      <c r="DS7"/>
      <c r="DT7"/>
      <c r="DY7"/>
      <c r="DZ7"/>
      <c r="EA7"/>
      <c r="EB7"/>
      <c r="EF7"/>
      <c r="EG7"/>
      <c r="EM7"/>
      <c r="EN7"/>
      <c r="ET7"/>
      <c r="EU7"/>
      <c r="EV7"/>
      <c r="FA7"/>
      <c r="FB7"/>
      <c r="FH7"/>
      <c r="FI7"/>
      <c r="FO7"/>
      <c r="FP7"/>
      <c r="FV7"/>
      <c r="FW7"/>
      <c r="FZ7"/>
      <c r="GC7"/>
      <c r="GD7"/>
      <c r="GJ7"/>
      <c r="GK7"/>
      <c r="GQ7"/>
      <c r="GR7"/>
      <c r="GX7"/>
      <c r="GY7"/>
    </row>
    <row r="8" spans="1:207" ht="18.75" x14ac:dyDescent="0.3">
      <c r="A8" s="859" t="s">
        <v>372</v>
      </c>
      <c r="B8" s="855">
        <f>3+8+3+8+11+3</f>
        <v>36</v>
      </c>
      <c r="BC8" s="876" t="s">
        <v>598</v>
      </c>
      <c r="BD8" s="458"/>
      <c r="BE8" s="458"/>
      <c r="BF8" s="458"/>
      <c r="BG8" s="594"/>
      <c r="BH8" s="594"/>
      <c r="BI8" s="594"/>
      <c r="BJ8" s="594"/>
      <c r="BK8" s="594"/>
      <c r="BL8" s="594"/>
      <c r="BM8" s="594"/>
      <c r="BN8" s="594"/>
      <c r="BO8" s="594"/>
      <c r="BP8" s="594"/>
      <c r="BQ8" s="594"/>
      <c r="BR8" s="594"/>
      <c r="BS8" s="594"/>
      <c r="BT8" s="594"/>
      <c r="BU8" s="594"/>
      <c r="CB8"/>
      <c r="CC8"/>
      <c r="CI8"/>
      <c r="CJ8"/>
      <c r="CM8"/>
      <c r="CP8"/>
      <c r="CQ8"/>
      <c r="CW8"/>
      <c r="CX8"/>
      <c r="DD8"/>
      <c r="DE8" s="466"/>
      <c r="DK8"/>
      <c r="DL8"/>
      <c r="DQ8"/>
      <c r="DR8"/>
      <c r="DS8"/>
      <c r="DT8"/>
      <c r="DY8"/>
      <c r="DZ8"/>
      <c r="EA8"/>
      <c r="EB8"/>
      <c r="EF8"/>
      <c r="EG8"/>
      <c r="EM8"/>
      <c r="EN8"/>
      <c r="ET8"/>
      <c r="EU8"/>
      <c r="EV8"/>
      <c r="FA8"/>
      <c r="FB8"/>
      <c r="FH8"/>
      <c r="FI8"/>
      <c r="FO8"/>
      <c r="FP8"/>
      <c r="FV8"/>
      <c r="FW8"/>
      <c r="FZ8"/>
      <c r="GC8"/>
      <c r="GD8"/>
      <c r="GJ8"/>
      <c r="GK8"/>
      <c r="GQ8"/>
      <c r="GR8"/>
      <c r="GX8"/>
      <c r="GY8"/>
    </row>
    <row r="9" spans="1:207" x14ac:dyDescent="0.25">
      <c r="A9" s="856" t="s">
        <v>122</v>
      </c>
      <c r="B9" s="860"/>
      <c r="N9" s="594"/>
      <c r="BG9" s="594"/>
      <c r="BH9" s="594"/>
      <c r="BI9" s="594"/>
      <c r="BJ9" s="594"/>
      <c r="BK9" s="594"/>
      <c r="BL9" s="594"/>
      <c r="BM9" s="594"/>
      <c r="BN9" s="594"/>
      <c r="BO9" s="594"/>
      <c r="BP9" s="594"/>
      <c r="BQ9" s="594"/>
      <c r="BR9" s="594"/>
      <c r="BS9" s="594"/>
      <c r="BT9" s="594"/>
      <c r="BU9" s="594"/>
      <c r="CB9"/>
      <c r="CC9"/>
      <c r="CI9"/>
      <c r="CJ9"/>
      <c r="CM9"/>
      <c r="CP9"/>
      <c r="CQ9"/>
      <c r="CW9"/>
      <c r="CX9"/>
      <c r="DD9"/>
      <c r="DE9" s="466"/>
      <c r="DK9"/>
      <c r="DL9"/>
      <c r="DQ9"/>
      <c r="DR9"/>
      <c r="DS9"/>
      <c r="DT9"/>
      <c r="DY9"/>
      <c r="DZ9"/>
      <c r="EA9"/>
      <c r="EB9"/>
      <c r="EF9"/>
      <c r="EG9"/>
      <c r="EM9"/>
      <c r="EN9"/>
      <c r="ET9"/>
      <c r="EU9"/>
      <c r="EV9"/>
      <c r="FA9"/>
      <c r="FB9"/>
      <c r="FH9"/>
      <c r="FI9"/>
      <c r="FO9"/>
      <c r="FP9"/>
      <c r="FV9"/>
      <c r="FW9"/>
      <c r="FZ9"/>
      <c r="GC9"/>
      <c r="GD9"/>
      <c r="GJ9"/>
      <c r="GK9"/>
      <c r="GQ9"/>
      <c r="GR9"/>
      <c r="GX9"/>
      <c r="GY9"/>
    </row>
    <row r="10" spans="1:207" x14ac:dyDescent="0.25">
      <c r="A10" s="854" t="s">
        <v>575</v>
      </c>
      <c r="B10" s="860"/>
      <c r="N10" s="594"/>
      <c r="BG10" s="594"/>
      <c r="BH10" s="594"/>
      <c r="BI10" s="594"/>
      <c r="BJ10" s="594"/>
      <c r="BK10" s="594"/>
      <c r="BL10" s="594"/>
      <c r="BM10" s="594"/>
      <c r="BN10" s="594"/>
      <c r="BO10" s="594"/>
      <c r="BP10" s="594"/>
      <c r="BQ10" s="594"/>
      <c r="BR10" s="594"/>
      <c r="BS10" s="594"/>
      <c r="BT10" s="594"/>
      <c r="BU10" s="594"/>
      <c r="CB10"/>
      <c r="CC10"/>
      <c r="CI10"/>
      <c r="CJ10"/>
      <c r="CM10"/>
      <c r="CP10"/>
      <c r="CQ10"/>
      <c r="CW10"/>
      <c r="CX10"/>
      <c r="DD10"/>
      <c r="DE10" s="466"/>
      <c r="DK10"/>
      <c r="DL10"/>
      <c r="DQ10"/>
      <c r="DR10"/>
      <c r="DS10"/>
      <c r="DT10"/>
      <c r="DY10"/>
      <c r="DZ10"/>
      <c r="EA10"/>
      <c r="EB10"/>
      <c r="EF10"/>
      <c r="EG10"/>
      <c r="EM10"/>
      <c r="EN10"/>
      <c r="ET10"/>
      <c r="EU10"/>
      <c r="EV10"/>
      <c r="FA10"/>
      <c r="FB10"/>
      <c r="FH10"/>
      <c r="FI10"/>
      <c r="FO10"/>
      <c r="FP10"/>
      <c r="FV10"/>
      <c r="FW10"/>
      <c r="FZ10"/>
      <c r="GC10"/>
      <c r="GD10"/>
      <c r="GJ10"/>
      <c r="GK10"/>
      <c r="GQ10"/>
      <c r="GR10"/>
      <c r="GX10"/>
      <c r="GY10"/>
    </row>
    <row r="11" spans="1:207" x14ac:dyDescent="0.25">
      <c r="A11" s="854" t="s">
        <v>576</v>
      </c>
      <c r="B11" s="860"/>
      <c r="C11" s="61"/>
      <c r="CB11"/>
      <c r="CC11"/>
      <c r="CI11"/>
      <c r="CJ11"/>
      <c r="CM11"/>
      <c r="CP11"/>
      <c r="CQ11"/>
      <c r="CW11"/>
      <c r="CX11"/>
      <c r="DD11"/>
      <c r="DE11" s="466"/>
      <c r="DK11"/>
      <c r="DL11"/>
      <c r="DQ11"/>
      <c r="DR11"/>
      <c r="DS11"/>
      <c r="DT11"/>
      <c r="DY11"/>
      <c r="DZ11"/>
      <c r="EA11"/>
      <c r="EB11"/>
      <c r="EF11"/>
      <c r="EG11"/>
      <c r="EM11"/>
      <c r="EN11"/>
      <c r="ET11"/>
      <c r="EU11"/>
      <c r="EV11"/>
      <c r="FA11"/>
      <c r="FB11"/>
      <c r="FH11"/>
      <c r="FI11"/>
      <c r="FO11"/>
      <c r="FP11"/>
      <c r="FV11"/>
      <c r="FW11"/>
      <c r="FZ11"/>
      <c r="GC11"/>
      <c r="GD11"/>
      <c r="GJ11"/>
      <c r="GK11"/>
      <c r="GQ11"/>
      <c r="GR11"/>
      <c r="GX11"/>
      <c r="GY11"/>
    </row>
    <row r="12" spans="1:207" x14ac:dyDescent="0.25">
      <c r="A12" s="856" t="s">
        <v>123</v>
      </c>
      <c r="B12" s="860"/>
      <c r="CB12"/>
      <c r="CC12"/>
      <c r="CI12"/>
      <c r="CJ12"/>
      <c r="CM12"/>
      <c r="CP12"/>
      <c r="CQ12"/>
      <c r="CW12"/>
      <c r="CX12"/>
      <c r="DD12"/>
      <c r="DE12" s="466"/>
      <c r="DK12"/>
      <c r="DL12"/>
      <c r="DQ12"/>
      <c r="DR12"/>
      <c r="DS12"/>
      <c r="DT12"/>
      <c r="DY12"/>
      <c r="DZ12"/>
      <c r="EA12"/>
      <c r="EB12"/>
      <c r="EF12"/>
      <c r="EG12"/>
      <c r="EM12"/>
      <c r="EN12"/>
      <c r="ET12"/>
      <c r="EU12"/>
      <c r="EV12"/>
      <c r="FA12"/>
      <c r="FB12"/>
      <c r="FH12"/>
      <c r="FI12"/>
      <c r="FO12"/>
      <c r="FP12"/>
      <c r="FV12"/>
      <c r="FW12"/>
      <c r="FZ12"/>
      <c r="GC12"/>
      <c r="GD12"/>
      <c r="GJ12"/>
      <c r="GK12"/>
      <c r="GQ12"/>
      <c r="GR12"/>
      <c r="GX12"/>
      <c r="GY12"/>
    </row>
    <row r="13" spans="1:207" ht="45" x14ac:dyDescent="0.25">
      <c r="A13" s="861" t="s">
        <v>577</v>
      </c>
      <c r="B13" s="860"/>
      <c r="D13" s="61"/>
      <c r="CB13"/>
      <c r="CC13"/>
      <c r="CI13"/>
      <c r="CJ13"/>
      <c r="CM13"/>
      <c r="CP13"/>
      <c r="CQ13"/>
      <c r="CW13"/>
      <c r="CX13"/>
      <c r="DD13"/>
      <c r="DE13" s="466"/>
      <c r="DK13"/>
      <c r="DL13"/>
      <c r="DQ13"/>
      <c r="DR13"/>
      <c r="DS13"/>
      <c r="DT13"/>
      <c r="DY13"/>
      <c r="DZ13"/>
      <c r="EA13"/>
      <c r="EB13"/>
      <c r="EF13"/>
      <c r="EG13"/>
      <c r="EM13"/>
      <c r="EN13"/>
      <c r="ET13"/>
      <c r="EU13"/>
      <c r="EV13"/>
      <c r="FA13"/>
      <c r="FB13"/>
      <c r="FH13"/>
      <c r="FI13"/>
      <c r="FO13"/>
      <c r="FP13"/>
      <c r="FV13"/>
      <c r="FW13"/>
      <c r="FZ13"/>
      <c r="GC13"/>
      <c r="GD13"/>
      <c r="GJ13"/>
      <c r="GK13"/>
      <c r="GQ13"/>
      <c r="GR13"/>
      <c r="GX13"/>
      <c r="GY13"/>
    </row>
    <row r="14" spans="1:207" x14ac:dyDescent="0.25">
      <c r="A14" s="861" t="s">
        <v>578</v>
      </c>
      <c r="B14" s="860"/>
      <c r="D14" s="61"/>
      <c r="CB14"/>
      <c r="CC14"/>
      <c r="CI14"/>
      <c r="CJ14"/>
      <c r="CM14"/>
      <c r="CP14"/>
      <c r="CQ14"/>
      <c r="CW14"/>
      <c r="CX14"/>
      <c r="DD14"/>
      <c r="DE14" s="466"/>
      <c r="DK14"/>
      <c r="DL14"/>
      <c r="DQ14"/>
      <c r="DR14"/>
      <c r="DS14"/>
      <c r="DT14"/>
      <c r="DY14"/>
      <c r="DZ14"/>
      <c r="EA14"/>
      <c r="EB14"/>
      <c r="EF14"/>
      <c r="EG14"/>
      <c r="EM14"/>
      <c r="EN14"/>
      <c r="ET14"/>
      <c r="EU14"/>
      <c r="EV14"/>
      <c r="FA14"/>
      <c r="FB14"/>
      <c r="FH14"/>
      <c r="FI14"/>
      <c r="FO14"/>
      <c r="FP14"/>
      <c r="FV14"/>
      <c r="FW14"/>
      <c r="FZ14"/>
      <c r="GC14"/>
      <c r="GD14"/>
      <c r="GJ14"/>
      <c r="GK14"/>
      <c r="GQ14"/>
      <c r="GR14"/>
      <c r="GX14"/>
      <c r="GY14"/>
    </row>
    <row r="15" spans="1:207" ht="45" x14ac:dyDescent="0.25">
      <c r="A15" s="861" t="s">
        <v>579</v>
      </c>
      <c r="B15" s="860"/>
      <c r="D15" s="61"/>
      <c r="CB15"/>
      <c r="CC15"/>
      <c r="CI15"/>
      <c r="CJ15"/>
      <c r="CM15"/>
      <c r="CP15"/>
      <c r="CQ15"/>
      <c r="CW15"/>
      <c r="CX15"/>
      <c r="DD15"/>
      <c r="DE15" s="466"/>
      <c r="DK15"/>
      <c r="DL15"/>
      <c r="DQ15"/>
      <c r="DR15"/>
      <c r="DS15"/>
      <c r="DT15"/>
      <c r="DY15"/>
      <c r="DZ15"/>
      <c r="EA15"/>
      <c r="EB15"/>
      <c r="EF15"/>
      <c r="EG15"/>
      <c r="EM15"/>
      <c r="EN15"/>
      <c r="ET15"/>
      <c r="EU15"/>
      <c r="EV15"/>
      <c r="FA15"/>
      <c r="FB15"/>
      <c r="FH15"/>
      <c r="FI15"/>
      <c r="FO15"/>
      <c r="FP15"/>
      <c r="FV15"/>
      <c r="FW15"/>
      <c r="FZ15"/>
      <c r="GC15"/>
      <c r="GD15"/>
      <c r="GJ15"/>
      <c r="GK15"/>
      <c r="GQ15"/>
      <c r="GR15"/>
      <c r="GX15"/>
      <c r="GY15"/>
    </row>
    <row r="16" spans="1:207" x14ac:dyDescent="0.25">
      <c r="A16" s="862" t="s">
        <v>565</v>
      </c>
      <c r="B16" s="855">
        <v>12</v>
      </c>
      <c r="D16" s="61"/>
      <c r="CB16"/>
      <c r="CC16"/>
      <c r="CI16"/>
      <c r="CJ16"/>
      <c r="CM16"/>
      <c r="CP16"/>
      <c r="CQ16"/>
      <c r="CW16"/>
      <c r="CX16"/>
      <c r="DD16"/>
      <c r="DE16" s="466"/>
      <c r="DK16"/>
      <c r="DL16"/>
      <c r="DQ16"/>
      <c r="DR16"/>
      <c r="DS16"/>
      <c r="DT16"/>
      <c r="DY16"/>
      <c r="DZ16"/>
      <c r="EA16"/>
      <c r="EB16"/>
      <c r="EF16"/>
      <c r="EG16"/>
      <c r="EM16"/>
      <c r="EN16"/>
      <c r="ET16"/>
      <c r="EU16"/>
      <c r="EV16"/>
      <c r="FA16"/>
      <c r="FB16"/>
      <c r="FH16"/>
      <c r="FI16"/>
      <c r="FO16"/>
      <c r="FP16"/>
      <c r="FV16"/>
      <c r="FW16"/>
      <c r="FZ16"/>
      <c r="GC16"/>
      <c r="GD16"/>
      <c r="GJ16"/>
      <c r="GK16"/>
      <c r="GQ16"/>
      <c r="GR16"/>
      <c r="GX16"/>
      <c r="GY16"/>
    </row>
    <row r="17" spans="1:207" x14ac:dyDescent="0.25">
      <c r="A17" s="856" t="s">
        <v>584</v>
      </c>
      <c r="B17" s="860"/>
      <c r="D17" s="61"/>
      <c r="CB17"/>
      <c r="CC17"/>
      <c r="CI17"/>
      <c r="CJ17"/>
      <c r="CM17"/>
      <c r="CP17"/>
      <c r="CQ17"/>
      <c r="CW17"/>
      <c r="CX17"/>
      <c r="DD17"/>
      <c r="DE17" s="466"/>
      <c r="DK17"/>
      <c r="DL17"/>
      <c r="DQ17"/>
      <c r="DR17"/>
      <c r="DS17"/>
      <c r="DT17"/>
      <c r="DY17"/>
      <c r="DZ17"/>
      <c r="EA17"/>
      <c r="EB17"/>
      <c r="EF17"/>
      <c r="EG17"/>
      <c r="EM17"/>
      <c r="EN17"/>
      <c r="ET17"/>
      <c r="EU17"/>
      <c r="EV17"/>
      <c r="FA17"/>
      <c r="FB17"/>
      <c r="FH17"/>
      <c r="FI17"/>
      <c r="FO17"/>
      <c r="FP17"/>
      <c r="FV17"/>
      <c r="FW17"/>
      <c r="FZ17"/>
      <c r="GC17"/>
      <c r="GD17"/>
      <c r="GJ17"/>
      <c r="GK17"/>
      <c r="GQ17"/>
      <c r="GR17"/>
      <c r="GX17"/>
      <c r="GY17"/>
    </row>
    <row r="18" spans="1:207" x14ac:dyDescent="0.25">
      <c r="A18" s="856" t="s">
        <v>566</v>
      </c>
      <c r="B18" s="860"/>
      <c r="D18" s="61"/>
      <c r="CB18"/>
      <c r="CC18"/>
      <c r="CI18"/>
      <c r="CJ18"/>
      <c r="CM18"/>
      <c r="CP18"/>
      <c r="CQ18"/>
      <c r="CW18"/>
      <c r="CX18"/>
      <c r="DD18"/>
      <c r="DE18" s="466"/>
      <c r="DK18"/>
      <c r="DL18"/>
      <c r="DQ18"/>
      <c r="DR18"/>
      <c r="DS18"/>
      <c r="DT18"/>
      <c r="DY18"/>
      <c r="DZ18"/>
      <c r="EA18"/>
      <c r="EB18"/>
      <c r="EF18"/>
      <c r="EG18"/>
      <c r="EM18"/>
      <c r="EN18"/>
      <c r="ET18"/>
      <c r="EU18"/>
      <c r="EV18"/>
      <c r="FA18"/>
      <c r="FB18"/>
      <c r="FH18"/>
      <c r="FI18"/>
      <c r="FO18"/>
      <c r="FP18"/>
      <c r="FV18"/>
      <c r="FW18"/>
      <c r="FZ18"/>
      <c r="GC18"/>
      <c r="GD18"/>
      <c r="GJ18"/>
      <c r="GK18"/>
      <c r="GQ18"/>
      <c r="GR18"/>
      <c r="GX18"/>
      <c r="GY18"/>
    </row>
    <row r="19" spans="1:207" x14ac:dyDescent="0.25">
      <c r="A19" s="856" t="s">
        <v>567</v>
      </c>
      <c r="B19" s="860"/>
      <c r="D19" s="61"/>
      <c r="CB19"/>
      <c r="CC19"/>
      <c r="CI19"/>
      <c r="CJ19"/>
      <c r="CM19"/>
      <c r="CP19"/>
      <c r="CQ19"/>
      <c r="CW19"/>
      <c r="CX19"/>
      <c r="DD19"/>
      <c r="DE19" s="466"/>
      <c r="DK19"/>
      <c r="DL19"/>
      <c r="DQ19"/>
      <c r="DR19"/>
      <c r="DS19"/>
      <c r="DT19"/>
      <c r="DY19"/>
      <c r="DZ19"/>
      <c r="EA19"/>
      <c r="EB19"/>
      <c r="EF19"/>
      <c r="EG19"/>
      <c r="EM19"/>
      <c r="EN19"/>
      <c r="ET19"/>
      <c r="EU19"/>
      <c r="EV19"/>
      <c r="FA19"/>
      <c r="FB19"/>
      <c r="FH19"/>
      <c r="FI19"/>
      <c r="FO19"/>
      <c r="FP19"/>
      <c r="FV19"/>
      <c r="FW19"/>
      <c r="FZ19"/>
      <c r="GC19"/>
      <c r="GD19"/>
      <c r="GJ19"/>
      <c r="GK19"/>
      <c r="GQ19"/>
      <c r="GR19"/>
      <c r="GX19"/>
      <c r="GY19"/>
    </row>
    <row r="20" spans="1:207" x14ac:dyDescent="0.25">
      <c r="A20" s="856" t="s">
        <v>568</v>
      </c>
      <c r="B20" s="860"/>
      <c r="D20" s="61"/>
      <c r="CB20"/>
      <c r="CC20"/>
      <c r="CI20"/>
      <c r="CJ20"/>
      <c r="CM20"/>
      <c r="CP20"/>
      <c r="CQ20"/>
      <c r="CW20"/>
      <c r="CX20"/>
      <c r="DD20"/>
      <c r="DE20" s="466"/>
      <c r="DK20"/>
      <c r="DL20"/>
      <c r="DQ20"/>
      <c r="DR20"/>
      <c r="DS20"/>
      <c r="DT20"/>
      <c r="DY20"/>
      <c r="DZ20"/>
      <c r="EA20"/>
      <c r="EB20"/>
      <c r="EF20"/>
      <c r="EG20"/>
      <c r="EM20"/>
      <c r="EN20"/>
      <c r="ET20"/>
      <c r="EU20"/>
      <c r="EV20"/>
      <c r="FA20"/>
      <c r="FB20"/>
      <c r="FH20"/>
      <c r="FI20"/>
      <c r="FO20"/>
      <c r="FP20"/>
      <c r="FV20"/>
      <c r="FW20"/>
      <c r="FZ20"/>
      <c r="GC20"/>
      <c r="GD20"/>
      <c r="GJ20"/>
      <c r="GK20"/>
      <c r="GQ20"/>
      <c r="GR20"/>
      <c r="GX20"/>
      <c r="GY20"/>
    </row>
    <row r="21" spans="1:207" x14ac:dyDescent="0.25">
      <c r="A21" s="856" t="s">
        <v>581</v>
      </c>
      <c r="B21" s="857"/>
      <c r="D21" s="61"/>
      <c r="CB21"/>
      <c r="CC21"/>
      <c r="CI21"/>
      <c r="CJ21"/>
      <c r="CM21"/>
      <c r="CP21"/>
      <c r="CQ21"/>
      <c r="CW21"/>
      <c r="CX21"/>
      <c r="DD21"/>
      <c r="DE21" s="466"/>
      <c r="DK21"/>
      <c r="DL21"/>
      <c r="DQ21"/>
      <c r="DR21"/>
      <c r="DS21"/>
      <c r="DT21"/>
      <c r="DY21"/>
      <c r="DZ21"/>
      <c r="EA21"/>
      <c r="EB21"/>
      <c r="EF21"/>
      <c r="EG21"/>
      <c r="EM21"/>
      <c r="EN21"/>
      <c r="ET21"/>
      <c r="EU21"/>
      <c r="EV21"/>
      <c r="FA21"/>
      <c r="FB21"/>
      <c r="FH21"/>
      <c r="FI21"/>
      <c r="FO21"/>
      <c r="FP21"/>
      <c r="FV21"/>
      <c r="FW21"/>
      <c r="FZ21"/>
      <c r="GC21"/>
      <c r="GD21"/>
      <c r="GJ21"/>
      <c r="GK21"/>
      <c r="GQ21"/>
      <c r="GR21"/>
      <c r="GX21"/>
      <c r="GY21"/>
    </row>
    <row r="22" spans="1:207" x14ac:dyDescent="0.25">
      <c r="A22" s="862" t="s">
        <v>580</v>
      </c>
      <c r="B22" s="855">
        <f>13</f>
        <v>13</v>
      </c>
      <c r="D22" s="61"/>
      <c r="CB22"/>
      <c r="CC22"/>
      <c r="CI22"/>
      <c r="CJ22"/>
      <c r="CM22"/>
      <c r="CP22"/>
      <c r="CQ22"/>
      <c r="CW22"/>
      <c r="CX22"/>
      <c r="DD22"/>
      <c r="DE22" s="466"/>
      <c r="DK22"/>
      <c r="DL22"/>
      <c r="DQ22"/>
      <c r="DR22"/>
      <c r="DS22"/>
      <c r="DT22"/>
      <c r="DY22"/>
      <c r="DZ22"/>
      <c r="EA22"/>
      <c r="EB22"/>
      <c r="EF22"/>
      <c r="EG22"/>
      <c r="EM22"/>
      <c r="EN22"/>
      <c r="ET22"/>
      <c r="EU22"/>
      <c r="EV22"/>
      <c r="FA22"/>
      <c r="FB22"/>
      <c r="FH22"/>
      <c r="FI22"/>
      <c r="FO22"/>
      <c r="FP22"/>
      <c r="FV22"/>
      <c r="FW22"/>
      <c r="FZ22"/>
      <c r="GC22"/>
      <c r="GD22"/>
      <c r="GJ22"/>
      <c r="GK22"/>
      <c r="GQ22"/>
      <c r="GR22"/>
      <c r="GX22"/>
      <c r="GY22"/>
    </row>
    <row r="23" spans="1:207" x14ac:dyDescent="0.25">
      <c r="A23" s="856" t="s">
        <v>569</v>
      </c>
      <c r="B23" s="860"/>
      <c r="D23" s="61"/>
      <c r="CB23"/>
      <c r="CC23"/>
      <c r="CI23"/>
      <c r="CJ23"/>
      <c r="CM23"/>
      <c r="CP23"/>
      <c r="CQ23"/>
      <c r="CW23"/>
      <c r="CX23"/>
      <c r="DD23"/>
      <c r="DE23" s="466"/>
      <c r="DK23"/>
      <c r="DL23"/>
      <c r="DQ23"/>
      <c r="DR23"/>
      <c r="DS23"/>
      <c r="DT23"/>
      <c r="DY23"/>
      <c r="DZ23"/>
      <c r="EA23"/>
      <c r="EB23"/>
      <c r="EF23"/>
      <c r="EG23"/>
      <c r="EM23"/>
      <c r="EN23"/>
      <c r="ET23"/>
      <c r="EU23"/>
      <c r="EV23"/>
      <c r="FA23"/>
      <c r="FB23"/>
      <c r="FH23"/>
      <c r="FI23"/>
      <c r="FO23"/>
      <c r="FP23"/>
      <c r="FV23"/>
      <c r="FW23"/>
      <c r="FZ23"/>
      <c r="GC23"/>
      <c r="GD23"/>
      <c r="GJ23"/>
      <c r="GK23"/>
      <c r="GQ23"/>
      <c r="GR23"/>
      <c r="GX23"/>
      <c r="GY23"/>
    </row>
    <row r="24" spans="1:207" x14ac:dyDescent="0.25">
      <c r="A24" s="856" t="s">
        <v>570</v>
      </c>
      <c r="B24" s="860"/>
      <c r="D24" s="61"/>
      <c r="CB24"/>
      <c r="CC24"/>
      <c r="CI24"/>
      <c r="CJ24"/>
      <c r="CM24"/>
      <c r="CP24"/>
      <c r="CQ24"/>
      <c r="CW24"/>
      <c r="CX24"/>
      <c r="DD24"/>
      <c r="DE24" s="466"/>
      <c r="DK24"/>
      <c r="DL24"/>
      <c r="DQ24"/>
      <c r="DR24"/>
      <c r="DS24"/>
      <c r="DT24"/>
      <c r="DY24"/>
      <c r="DZ24"/>
      <c r="EA24"/>
      <c r="EB24"/>
      <c r="EF24"/>
      <c r="EG24"/>
      <c r="EM24"/>
      <c r="EN24"/>
      <c r="ET24"/>
      <c r="EU24"/>
      <c r="EV24"/>
      <c r="FA24"/>
      <c r="FB24"/>
      <c r="FH24"/>
      <c r="FI24"/>
      <c r="FO24"/>
      <c r="FP24"/>
      <c r="FV24"/>
      <c r="FW24"/>
      <c r="FZ24"/>
      <c r="GC24"/>
      <c r="GD24"/>
      <c r="GJ24"/>
      <c r="GK24"/>
      <c r="GQ24"/>
      <c r="GR24"/>
      <c r="GX24"/>
      <c r="GY24"/>
    </row>
    <row r="25" spans="1:207" x14ac:dyDescent="0.25">
      <c r="A25" s="856" t="s">
        <v>571</v>
      </c>
      <c r="B25" s="860"/>
      <c r="D25" s="61"/>
      <c r="CB25"/>
      <c r="CC25"/>
      <c r="CI25"/>
      <c r="CJ25"/>
      <c r="CM25"/>
      <c r="CP25"/>
      <c r="CQ25"/>
      <c r="CW25"/>
      <c r="CX25"/>
      <c r="DD25"/>
      <c r="DE25" s="466"/>
      <c r="DK25"/>
      <c r="DL25"/>
      <c r="DQ25"/>
      <c r="DR25"/>
      <c r="DS25"/>
      <c r="DT25"/>
      <c r="DY25"/>
      <c r="DZ25"/>
      <c r="EA25"/>
      <c r="EB25"/>
      <c r="EF25"/>
      <c r="EG25"/>
      <c r="EM25"/>
      <c r="EN25"/>
      <c r="ET25"/>
      <c r="EU25"/>
      <c r="EV25"/>
      <c r="FA25"/>
      <c r="FB25"/>
      <c r="FH25"/>
      <c r="FI25"/>
      <c r="FO25"/>
      <c r="FP25"/>
      <c r="FV25"/>
      <c r="FW25"/>
      <c r="FZ25"/>
      <c r="GC25"/>
      <c r="GD25"/>
      <c r="GJ25"/>
      <c r="GK25"/>
      <c r="GQ25"/>
      <c r="GR25"/>
      <c r="GX25"/>
      <c r="GY25"/>
    </row>
    <row r="26" spans="1:207" x14ac:dyDescent="0.25">
      <c r="A26" s="856" t="s">
        <v>572</v>
      </c>
      <c r="B26" s="860"/>
      <c r="D26" s="61"/>
      <c r="CB26"/>
      <c r="CC26"/>
      <c r="CI26"/>
      <c r="CJ26"/>
      <c r="CM26"/>
      <c r="CP26"/>
      <c r="CQ26"/>
      <c r="CW26"/>
      <c r="CX26"/>
      <c r="DD26"/>
      <c r="DE26" s="466"/>
      <c r="DK26"/>
      <c r="DL26"/>
      <c r="DQ26"/>
      <c r="DR26"/>
      <c r="DS26"/>
      <c r="DT26"/>
      <c r="DY26"/>
      <c r="DZ26"/>
      <c r="EA26"/>
      <c r="EB26"/>
      <c r="EF26"/>
      <c r="EG26"/>
      <c r="EM26"/>
      <c r="EN26"/>
      <c r="ET26"/>
      <c r="EU26"/>
      <c r="EV26"/>
      <c r="FA26"/>
      <c r="FB26"/>
      <c r="FH26"/>
      <c r="FI26"/>
      <c r="FO26"/>
      <c r="FP26"/>
      <c r="FV26"/>
      <c r="FW26"/>
      <c r="FZ26"/>
      <c r="GC26"/>
      <c r="GD26"/>
      <c r="GJ26"/>
      <c r="GK26"/>
      <c r="GQ26"/>
      <c r="GR26"/>
      <c r="GX26"/>
      <c r="GY26"/>
    </row>
    <row r="27" spans="1:207" x14ac:dyDescent="0.25">
      <c r="A27" s="856" t="s">
        <v>573</v>
      </c>
      <c r="B27" s="860"/>
      <c r="D27" s="61"/>
      <c r="CB27"/>
      <c r="CC27"/>
      <c r="CI27"/>
      <c r="CJ27"/>
      <c r="CM27"/>
      <c r="CP27"/>
      <c r="CQ27"/>
      <c r="CW27"/>
      <c r="CX27"/>
      <c r="DD27"/>
      <c r="DE27" s="466"/>
      <c r="DK27"/>
      <c r="DL27"/>
      <c r="DQ27"/>
      <c r="DR27"/>
      <c r="DS27"/>
      <c r="DT27"/>
      <c r="DY27"/>
      <c r="DZ27"/>
      <c r="EA27"/>
      <c r="EB27"/>
      <c r="EF27"/>
      <c r="EG27"/>
      <c r="EM27"/>
      <c r="EN27"/>
      <c r="ET27"/>
      <c r="EU27"/>
      <c r="EV27"/>
      <c r="FA27"/>
      <c r="FB27"/>
      <c r="FH27"/>
      <c r="FI27"/>
      <c r="FO27"/>
      <c r="FP27"/>
      <c r="FV27"/>
      <c r="FW27"/>
      <c r="FZ27"/>
      <c r="GC27"/>
      <c r="GD27"/>
      <c r="GJ27"/>
      <c r="GK27"/>
      <c r="GQ27"/>
      <c r="GR27"/>
      <c r="GX27"/>
      <c r="GY27"/>
    </row>
    <row r="28" spans="1:207" x14ac:dyDescent="0.25">
      <c r="A28" s="856" t="s">
        <v>574</v>
      </c>
      <c r="B28" s="860"/>
      <c r="D28" s="61"/>
      <c r="CB28"/>
      <c r="CC28"/>
      <c r="CI28"/>
      <c r="CJ28"/>
      <c r="CM28"/>
      <c r="CP28"/>
      <c r="CQ28"/>
      <c r="CW28"/>
      <c r="CX28"/>
      <c r="DD28"/>
      <c r="DE28" s="466"/>
      <c r="DK28"/>
      <c r="DL28"/>
      <c r="DQ28"/>
      <c r="DR28"/>
      <c r="DS28"/>
      <c r="DT28"/>
      <c r="DY28"/>
      <c r="DZ28"/>
      <c r="EA28"/>
      <c r="EB28"/>
      <c r="EF28"/>
      <c r="EG28"/>
      <c r="EM28"/>
      <c r="EN28"/>
      <c r="ET28"/>
      <c r="EU28"/>
      <c r="EV28"/>
      <c r="FA28"/>
      <c r="FB28"/>
      <c r="FH28"/>
      <c r="FI28"/>
      <c r="FO28"/>
      <c r="FP28"/>
      <c r="FV28"/>
      <c r="FW28"/>
      <c r="FZ28"/>
      <c r="GC28"/>
      <c r="GD28"/>
      <c r="GJ28"/>
      <c r="GK28"/>
      <c r="GQ28"/>
      <c r="GR28"/>
      <c r="GX28"/>
      <c r="GY28"/>
    </row>
    <row r="29" spans="1:207" x14ac:dyDescent="0.25">
      <c r="A29" s="856" t="s">
        <v>581</v>
      </c>
      <c r="B29" s="860"/>
      <c r="D29" s="61"/>
      <c r="CB29"/>
      <c r="CC29"/>
      <c r="CI29"/>
      <c r="CJ29"/>
      <c r="CM29"/>
      <c r="CP29"/>
      <c r="CQ29"/>
      <c r="CW29"/>
      <c r="CX29"/>
      <c r="DD29"/>
      <c r="DE29" s="466"/>
      <c r="DK29"/>
      <c r="DL29"/>
      <c r="DQ29"/>
      <c r="DR29"/>
      <c r="DS29"/>
      <c r="DT29"/>
      <c r="DY29"/>
      <c r="DZ29"/>
      <c r="EA29"/>
      <c r="EB29"/>
      <c r="EF29"/>
      <c r="EG29"/>
      <c r="EM29"/>
      <c r="EN29"/>
      <c r="ET29"/>
      <c r="EU29"/>
      <c r="EV29"/>
      <c r="FA29"/>
      <c r="FB29"/>
      <c r="FH29"/>
      <c r="FI29"/>
      <c r="FO29"/>
      <c r="FP29"/>
      <c r="FV29"/>
      <c r="FW29"/>
      <c r="FZ29"/>
      <c r="GC29"/>
      <c r="GD29"/>
      <c r="GJ29"/>
      <c r="GK29"/>
      <c r="GQ29"/>
      <c r="GR29"/>
      <c r="GX29"/>
      <c r="GY29"/>
    </row>
    <row r="30" spans="1:207" x14ac:dyDescent="0.25">
      <c r="A30" s="854" t="s">
        <v>513</v>
      </c>
      <c r="B30" s="855">
        <v>30</v>
      </c>
      <c r="D30" s="61"/>
      <c r="CB30"/>
      <c r="CC30"/>
      <c r="CI30"/>
      <c r="CJ30"/>
      <c r="CM30"/>
      <c r="CP30"/>
      <c r="CQ30"/>
      <c r="CW30"/>
      <c r="CX30"/>
      <c r="DD30"/>
      <c r="DE30" s="466"/>
      <c r="DK30"/>
      <c r="DL30"/>
      <c r="DQ30"/>
      <c r="DR30"/>
      <c r="DS30"/>
      <c r="DT30"/>
      <c r="DY30"/>
      <c r="DZ30"/>
      <c r="EA30"/>
      <c r="EB30"/>
      <c r="EF30"/>
      <c r="EG30"/>
      <c r="EM30"/>
      <c r="EN30"/>
      <c r="ET30"/>
      <c r="EU30"/>
      <c r="EV30"/>
      <c r="FA30"/>
      <c r="FB30"/>
      <c r="FH30"/>
      <c r="FI30"/>
      <c r="FO30"/>
      <c r="FP30"/>
      <c r="FV30"/>
      <c r="FW30"/>
      <c r="FZ30"/>
      <c r="GC30"/>
      <c r="GD30"/>
      <c r="GJ30"/>
      <c r="GK30"/>
      <c r="GQ30"/>
      <c r="GR30"/>
      <c r="GX30"/>
      <c r="GY30"/>
    </row>
    <row r="31" spans="1:207" x14ac:dyDescent="0.25">
      <c r="A31" s="856" t="s">
        <v>582</v>
      </c>
      <c r="B31" s="857"/>
      <c r="D31" s="61"/>
      <c r="CB31"/>
      <c r="CC31"/>
      <c r="CI31"/>
      <c r="CJ31"/>
      <c r="CM31"/>
      <c r="CP31"/>
      <c r="CQ31"/>
      <c r="CW31"/>
      <c r="CX31"/>
      <c r="DD31"/>
      <c r="DE31" s="466"/>
      <c r="DK31"/>
      <c r="DL31"/>
      <c r="DQ31"/>
      <c r="DR31"/>
      <c r="DS31"/>
      <c r="DT31"/>
      <c r="DY31"/>
      <c r="DZ31"/>
      <c r="EA31"/>
      <c r="EB31"/>
      <c r="EF31"/>
      <c r="EG31"/>
      <c r="EM31"/>
      <c r="EN31"/>
      <c r="ET31"/>
      <c r="EU31"/>
      <c r="EV31"/>
      <c r="FA31"/>
      <c r="FB31"/>
      <c r="FH31"/>
      <c r="FI31"/>
      <c r="FO31"/>
      <c r="FP31"/>
      <c r="FV31"/>
      <c r="FW31"/>
      <c r="FZ31"/>
      <c r="GC31"/>
      <c r="GD31"/>
      <c r="GJ31"/>
      <c r="GK31"/>
      <c r="GQ31"/>
      <c r="GR31"/>
      <c r="GX31"/>
      <c r="GY31"/>
    </row>
    <row r="32" spans="1:207" x14ac:dyDescent="0.25">
      <c r="A32" s="858" t="s">
        <v>583</v>
      </c>
      <c r="B32" s="857"/>
      <c r="D32" s="61"/>
      <c r="CB32"/>
      <c r="CC32"/>
      <c r="CI32"/>
      <c r="CJ32"/>
      <c r="CM32"/>
      <c r="CP32"/>
      <c r="CQ32"/>
      <c r="CW32"/>
      <c r="CX32"/>
      <c r="DD32"/>
      <c r="DE32" s="466"/>
      <c r="DK32"/>
      <c r="DL32"/>
      <c r="DQ32"/>
      <c r="DR32"/>
      <c r="DS32"/>
      <c r="DT32"/>
      <c r="DY32"/>
      <c r="DZ32"/>
      <c r="EA32"/>
      <c r="EB32"/>
      <c r="EF32"/>
      <c r="EG32"/>
      <c r="EM32"/>
      <c r="EN32"/>
      <c r="ET32"/>
      <c r="EU32"/>
      <c r="EV32"/>
      <c r="FA32"/>
      <c r="FB32"/>
      <c r="FH32"/>
      <c r="FI32"/>
      <c r="FO32"/>
      <c r="FP32"/>
      <c r="FV32"/>
      <c r="FW32"/>
      <c r="FZ32"/>
      <c r="GC32"/>
      <c r="GD32"/>
      <c r="GJ32"/>
      <c r="GK32"/>
      <c r="GQ32"/>
      <c r="GR32"/>
      <c r="GX32"/>
      <c r="GY32"/>
    </row>
    <row r="33" spans="1:207" x14ac:dyDescent="0.25">
      <c r="D33" s="61"/>
      <c r="CB33"/>
      <c r="CC33"/>
      <c r="CI33"/>
      <c r="CJ33"/>
      <c r="CM33"/>
      <c r="CP33"/>
      <c r="CQ33"/>
      <c r="CW33"/>
      <c r="CX33"/>
      <c r="DD33"/>
      <c r="DE33" s="466"/>
      <c r="DK33"/>
      <c r="DL33"/>
      <c r="DQ33"/>
      <c r="DR33"/>
      <c r="DS33"/>
      <c r="DT33"/>
      <c r="DY33"/>
      <c r="DZ33"/>
      <c r="EA33"/>
      <c r="EB33"/>
      <c r="EF33"/>
      <c r="EG33"/>
      <c r="EM33"/>
      <c r="EN33"/>
      <c r="ET33"/>
      <c r="EU33"/>
      <c r="EV33"/>
      <c r="FA33"/>
      <c r="FB33"/>
      <c r="FH33"/>
      <c r="FI33"/>
      <c r="FO33"/>
      <c r="FP33"/>
      <c r="FV33"/>
      <c r="FW33"/>
      <c r="FZ33"/>
      <c r="GC33"/>
      <c r="GD33"/>
      <c r="GJ33"/>
      <c r="GK33"/>
      <c r="GQ33"/>
      <c r="GR33"/>
      <c r="GX33"/>
      <c r="GY33"/>
    </row>
    <row r="34" spans="1:207" x14ac:dyDescent="0.25">
      <c r="D34" s="61"/>
      <c r="CB34"/>
      <c r="CC34"/>
      <c r="CI34"/>
      <c r="CJ34"/>
      <c r="CM34"/>
      <c r="CP34"/>
      <c r="CQ34"/>
      <c r="CW34"/>
      <c r="CX34"/>
      <c r="DD34"/>
      <c r="DE34" s="466"/>
      <c r="DK34"/>
      <c r="DL34"/>
      <c r="DQ34"/>
      <c r="DR34"/>
      <c r="DS34"/>
      <c r="DT34"/>
      <c r="DY34"/>
      <c r="DZ34"/>
      <c r="EA34"/>
      <c r="EB34"/>
      <c r="EF34"/>
      <c r="EG34"/>
      <c r="EM34"/>
      <c r="EN34"/>
      <c r="ET34"/>
      <c r="EU34"/>
      <c r="EV34"/>
      <c r="FA34"/>
      <c r="FB34"/>
      <c r="FH34"/>
      <c r="FI34"/>
      <c r="FO34"/>
      <c r="FP34"/>
      <c r="FV34"/>
      <c r="FW34"/>
      <c r="FZ34"/>
      <c r="GC34"/>
      <c r="GD34"/>
      <c r="GJ34"/>
      <c r="GK34"/>
      <c r="GQ34"/>
      <c r="GR34"/>
      <c r="GX34"/>
      <c r="GY34"/>
    </row>
    <row r="35" spans="1:207" x14ac:dyDescent="0.25">
      <c r="D35" s="61"/>
      <c r="CB35"/>
      <c r="CC35"/>
      <c r="CI35"/>
      <c r="CJ35"/>
      <c r="CM35"/>
      <c r="CP35"/>
      <c r="CQ35"/>
      <c r="CW35"/>
      <c r="CX35"/>
      <c r="DD35"/>
      <c r="DE35" s="466"/>
      <c r="DK35"/>
      <c r="DL35"/>
      <c r="DQ35"/>
      <c r="DR35"/>
      <c r="DS35"/>
      <c r="DT35"/>
      <c r="DY35"/>
      <c r="DZ35"/>
      <c r="EA35"/>
      <c r="EB35"/>
      <c r="EF35"/>
      <c r="EG35"/>
      <c r="EM35"/>
      <c r="EN35"/>
      <c r="ET35"/>
      <c r="EU35"/>
      <c r="EV35"/>
      <c r="FA35"/>
      <c r="FB35"/>
      <c r="FH35"/>
      <c r="FI35"/>
      <c r="FO35"/>
      <c r="FP35"/>
      <c r="FV35"/>
      <c r="FW35"/>
      <c r="FZ35"/>
      <c r="GC35"/>
      <c r="GD35"/>
      <c r="GJ35"/>
      <c r="GK35"/>
      <c r="GQ35"/>
      <c r="GR35"/>
      <c r="GX35"/>
      <c r="GY35"/>
    </row>
    <row r="36" spans="1:207" ht="23.25" x14ac:dyDescent="0.35">
      <c r="A36" s="757" t="s">
        <v>588</v>
      </c>
      <c r="B36" s="541"/>
      <c r="C36" s="542"/>
      <c r="D36" s="542"/>
      <c r="E36" s="837"/>
      <c r="F36" s="543"/>
      <c r="G36" s="543"/>
      <c r="H36" s="543"/>
      <c r="I36" s="543"/>
      <c r="J36" s="543"/>
      <c r="K36" s="543"/>
      <c r="L36" s="543"/>
      <c r="M36" s="544"/>
      <c r="CB36"/>
      <c r="CC36"/>
      <c r="CI36"/>
      <c r="CJ36"/>
      <c r="CM36"/>
      <c r="CP36"/>
      <c r="CQ36"/>
      <c r="CW36"/>
      <c r="CX36"/>
      <c r="DD36"/>
      <c r="DE36" s="466"/>
      <c r="DK36"/>
      <c r="DL36"/>
      <c r="DQ36"/>
      <c r="DR36"/>
      <c r="DS36"/>
      <c r="DT36"/>
      <c r="DY36"/>
      <c r="DZ36"/>
      <c r="EA36"/>
      <c r="EB36"/>
      <c r="EF36"/>
      <c r="EG36"/>
      <c r="EM36"/>
      <c r="EN36"/>
      <c r="ET36"/>
      <c r="EU36"/>
      <c r="EV36"/>
      <c r="FA36"/>
      <c r="FB36"/>
      <c r="FH36"/>
      <c r="FI36"/>
      <c r="FO36"/>
      <c r="FP36"/>
      <c r="FV36"/>
      <c r="FW36"/>
      <c r="FZ36"/>
      <c r="GC36"/>
      <c r="GD36"/>
      <c r="GJ36"/>
      <c r="GK36"/>
      <c r="GQ36"/>
      <c r="GR36"/>
      <c r="GX36"/>
      <c r="GY36"/>
    </row>
    <row r="37" spans="1:207" x14ac:dyDescent="0.25">
      <c r="A37" s="476"/>
      <c r="B37" s="476"/>
      <c r="C37" s="477"/>
      <c r="D37" s="477"/>
      <c r="E37" s="483"/>
      <c r="F37" s="478"/>
      <c r="G37" s="877" t="s">
        <v>370</v>
      </c>
      <c r="H37" s="762" t="s">
        <v>371</v>
      </c>
      <c r="I37" s="877" t="s">
        <v>372</v>
      </c>
      <c r="J37" s="877" t="s">
        <v>586</v>
      </c>
      <c r="K37" s="877" t="s">
        <v>587</v>
      </c>
      <c r="L37" s="878" t="s">
        <v>513</v>
      </c>
      <c r="M37" s="879"/>
      <c r="CB37"/>
      <c r="CC37"/>
      <c r="CI37"/>
      <c r="CJ37"/>
      <c r="CM37"/>
      <c r="CP37"/>
      <c r="CQ37"/>
      <c r="CW37"/>
      <c r="CX37"/>
      <c r="DD37"/>
      <c r="DE37" s="466"/>
      <c r="DK37"/>
      <c r="DL37"/>
      <c r="DQ37"/>
      <c r="DR37"/>
      <c r="DS37"/>
      <c r="DT37"/>
      <c r="DY37"/>
      <c r="DZ37"/>
      <c r="EA37"/>
      <c r="EB37"/>
      <c r="EF37"/>
      <c r="EG37"/>
      <c r="EM37"/>
      <c r="EN37"/>
      <c r="ET37"/>
      <c r="EU37"/>
      <c r="EV37"/>
      <c r="FA37"/>
      <c r="FB37"/>
      <c r="FH37"/>
      <c r="FI37"/>
      <c r="FO37"/>
      <c r="FP37"/>
      <c r="FV37"/>
      <c r="FW37"/>
      <c r="FZ37"/>
      <c r="GC37"/>
      <c r="GD37"/>
      <c r="GJ37"/>
      <c r="GK37"/>
      <c r="GQ37"/>
      <c r="GR37"/>
      <c r="GX37"/>
      <c r="GY37"/>
    </row>
    <row r="38" spans="1:207" x14ac:dyDescent="0.25">
      <c r="A38" s="490" t="s">
        <v>375</v>
      </c>
      <c r="B38" s="490" t="s">
        <v>376</v>
      </c>
      <c r="C38" s="491" t="s">
        <v>2</v>
      </c>
      <c r="D38" s="491" t="s">
        <v>369</v>
      </c>
      <c r="E38" s="758" t="s">
        <v>55</v>
      </c>
      <c r="F38" s="492" t="s">
        <v>253</v>
      </c>
      <c r="G38" s="493"/>
      <c r="H38" s="493"/>
      <c r="I38" s="493"/>
      <c r="J38" s="493"/>
      <c r="K38" s="493"/>
      <c r="L38" s="493"/>
      <c r="M38" s="493"/>
      <c r="CB38"/>
      <c r="CC38"/>
      <c r="CI38"/>
      <c r="CJ38"/>
      <c r="CM38"/>
      <c r="CP38"/>
      <c r="CQ38"/>
      <c r="CW38"/>
      <c r="CX38"/>
      <c r="DD38"/>
      <c r="DE38" s="466"/>
      <c r="DK38"/>
      <c r="DL38"/>
      <c r="DQ38"/>
      <c r="DR38"/>
      <c r="DS38"/>
      <c r="DT38"/>
      <c r="DY38"/>
      <c r="DZ38"/>
      <c r="EA38"/>
      <c r="EB38"/>
      <c r="EF38"/>
      <c r="EG38"/>
      <c r="EM38"/>
      <c r="EN38"/>
      <c r="ET38"/>
      <c r="EU38"/>
      <c r="EV38"/>
      <c r="FA38"/>
      <c r="FB38"/>
      <c r="FH38"/>
      <c r="FI38"/>
      <c r="FO38"/>
      <c r="FP38"/>
      <c r="FV38"/>
      <c r="FW38"/>
      <c r="FZ38"/>
      <c r="GC38"/>
      <c r="GD38"/>
      <c r="GJ38"/>
      <c r="GK38"/>
      <c r="GQ38"/>
      <c r="GR38"/>
      <c r="GX38"/>
      <c r="GY38"/>
    </row>
    <row r="39" spans="1:207" x14ac:dyDescent="0.25">
      <c r="A39" s="518" t="s">
        <v>564</v>
      </c>
      <c r="B39" s="510"/>
      <c r="C39" s="521"/>
      <c r="D39" s="521"/>
      <c r="E39" s="521"/>
      <c r="F39" s="761"/>
      <c r="G39" s="515">
        <v>10</v>
      </c>
      <c r="H39" s="500">
        <v>10</v>
      </c>
      <c r="I39" s="515">
        <v>36</v>
      </c>
      <c r="J39" s="515">
        <v>13</v>
      </c>
      <c r="K39" s="515">
        <v>12</v>
      </c>
      <c r="L39" s="515"/>
      <c r="M39" s="515">
        <v>30</v>
      </c>
      <c r="CB39"/>
      <c r="CC39"/>
      <c r="CI39"/>
      <c r="CJ39"/>
      <c r="CM39"/>
      <c r="CP39"/>
      <c r="CQ39"/>
      <c r="CW39"/>
      <c r="CX39"/>
      <c r="DD39"/>
      <c r="DE39" s="466"/>
      <c r="DK39"/>
      <c r="DL39"/>
      <c r="DQ39"/>
      <c r="DR39"/>
      <c r="DS39"/>
      <c r="DT39"/>
      <c r="DY39"/>
      <c r="DZ39"/>
      <c r="EA39"/>
      <c r="EB39"/>
      <c r="EF39"/>
      <c r="EG39"/>
      <c r="EM39"/>
      <c r="EN39"/>
      <c r="ET39"/>
      <c r="EU39"/>
      <c r="EV39"/>
      <c r="FA39"/>
      <c r="FB39"/>
      <c r="FH39"/>
      <c r="FI39"/>
      <c r="FO39"/>
      <c r="FP39"/>
      <c r="FV39"/>
      <c r="FW39"/>
      <c r="FZ39"/>
      <c r="GC39"/>
      <c r="GD39"/>
      <c r="GJ39"/>
      <c r="GK39"/>
      <c r="GQ39"/>
      <c r="GR39"/>
      <c r="GX39"/>
      <c r="GY39"/>
    </row>
    <row r="40" spans="1:207" ht="45" x14ac:dyDescent="0.25">
      <c r="A40" s="918" t="s">
        <v>408</v>
      </c>
      <c r="B40" s="919" t="s">
        <v>381</v>
      </c>
      <c r="C40" s="920" t="s">
        <v>380</v>
      </c>
      <c r="D40" s="921" t="s">
        <v>297</v>
      </c>
      <c r="E40" s="920" t="s">
        <v>248</v>
      </c>
      <c r="F40" s="922">
        <v>3.33</v>
      </c>
      <c r="G40" s="923">
        <v>15</v>
      </c>
      <c r="H40" s="923">
        <v>21</v>
      </c>
      <c r="I40" s="923">
        <v>21</v>
      </c>
      <c r="J40" s="923">
        <v>25</v>
      </c>
      <c r="K40" s="923">
        <v>20</v>
      </c>
      <c r="L40" s="923">
        <v>30</v>
      </c>
      <c r="M40" s="923">
        <v>35</v>
      </c>
      <c r="CB40"/>
      <c r="CC40"/>
      <c r="CI40"/>
      <c r="CJ40"/>
      <c r="CM40"/>
      <c r="CP40"/>
      <c r="CQ40"/>
      <c r="CW40"/>
      <c r="CX40"/>
      <c r="DD40"/>
      <c r="DE40" s="466"/>
      <c r="DK40"/>
      <c r="DL40"/>
      <c r="DQ40"/>
      <c r="DR40"/>
      <c r="DS40"/>
      <c r="DT40"/>
      <c r="DY40"/>
      <c r="DZ40"/>
      <c r="EA40"/>
      <c r="EB40"/>
      <c r="EF40"/>
      <c r="EG40"/>
      <c r="EM40"/>
      <c r="EN40"/>
      <c r="ET40"/>
      <c r="EU40"/>
      <c r="EV40"/>
      <c r="FA40"/>
      <c r="FB40"/>
      <c r="FH40"/>
      <c r="FI40"/>
      <c r="FO40"/>
      <c r="FP40"/>
      <c r="FV40"/>
      <c r="FW40"/>
      <c r="FZ40"/>
      <c r="GC40"/>
      <c r="GD40"/>
      <c r="GJ40"/>
      <c r="GK40"/>
      <c r="GQ40"/>
      <c r="GR40"/>
      <c r="GX40"/>
      <c r="GY40"/>
    </row>
    <row r="41" spans="1:207" ht="45" x14ac:dyDescent="0.25">
      <c r="A41" s="880" t="s">
        <v>589</v>
      </c>
      <c r="B41" s="863" t="s">
        <v>383</v>
      </c>
      <c r="C41" s="867" t="s">
        <v>204</v>
      </c>
      <c r="D41" s="867" t="s">
        <v>382</v>
      </c>
      <c r="E41" s="867" t="s">
        <v>545</v>
      </c>
      <c r="F41" s="875">
        <v>3.33</v>
      </c>
      <c r="G41" s="868">
        <v>5</v>
      </c>
      <c r="H41" s="866">
        <v>5</v>
      </c>
      <c r="I41" s="868">
        <v>10</v>
      </c>
      <c r="J41" s="868"/>
      <c r="K41" s="868"/>
      <c r="L41" s="868"/>
      <c r="M41" s="868"/>
      <c r="CB41"/>
      <c r="CC41"/>
      <c r="CI41"/>
      <c r="CJ41"/>
      <c r="CM41"/>
      <c r="CP41"/>
      <c r="CQ41"/>
      <c r="CW41"/>
      <c r="CX41"/>
      <c r="DD41"/>
      <c r="DE41" s="466"/>
      <c r="DK41"/>
      <c r="DL41"/>
      <c r="DQ41"/>
      <c r="DR41"/>
      <c r="DS41"/>
      <c r="DT41"/>
      <c r="DY41"/>
      <c r="DZ41"/>
      <c r="EA41"/>
      <c r="EB41"/>
      <c r="EF41"/>
      <c r="EG41"/>
      <c r="EM41"/>
      <c r="EN41"/>
      <c r="ET41"/>
      <c r="EU41"/>
      <c r="EV41"/>
      <c r="FA41"/>
      <c r="FB41"/>
      <c r="FH41"/>
      <c r="FI41"/>
      <c r="FO41"/>
      <c r="FP41"/>
      <c r="FV41"/>
      <c r="FW41"/>
      <c r="FZ41"/>
      <c r="GC41"/>
      <c r="GD41"/>
      <c r="GJ41"/>
      <c r="GK41"/>
      <c r="GQ41"/>
      <c r="GR41"/>
      <c r="GX41"/>
      <c r="GY41"/>
    </row>
    <row r="42" spans="1:207" ht="45" x14ac:dyDescent="0.25">
      <c r="A42" s="880" t="s">
        <v>435</v>
      </c>
      <c r="B42" s="863" t="s">
        <v>291</v>
      </c>
      <c r="C42" s="867" t="s">
        <v>204</v>
      </c>
      <c r="D42" s="867" t="s">
        <v>411</v>
      </c>
      <c r="E42" s="869"/>
      <c r="F42" s="874">
        <v>3</v>
      </c>
      <c r="G42" s="868"/>
      <c r="H42" s="866"/>
      <c r="I42" s="866"/>
      <c r="J42" s="868"/>
      <c r="K42" s="868"/>
      <c r="L42" s="868"/>
      <c r="M42" s="868"/>
      <c r="CB42"/>
      <c r="CC42"/>
      <c r="CI42"/>
      <c r="CJ42"/>
      <c r="CM42"/>
      <c r="CP42"/>
      <c r="CQ42"/>
      <c r="CW42"/>
      <c r="CX42"/>
      <c r="DD42"/>
      <c r="DE42" s="466"/>
      <c r="DK42"/>
      <c r="DL42"/>
      <c r="DQ42"/>
      <c r="DR42"/>
      <c r="DS42"/>
      <c r="DT42"/>
      <c r="DY42"/>
      <c r="DZ42"/>
      <c r="EA42"/>
      <c r="EB42"/>
      <c r="EF42"/>
      <c r="EG42"/>
      <c r="EM42"/>
      <c r="EN42"/>
      <c r="ET42"/>
      <c r="EU42"/>
      <c r="EV42"/>
      <c r="FA42"/>
      <c r="FB42"/>
      <c r="FH42"/>
      <c r="FI42"/>
      <c r="FO42"/>
      <c r="FP42"/>
      <c r="FV42"/>
      <c r="FW42"/>
      <c r="FZ42"/>
      <c r="GC42"/>
      <c r="GD42"/>
      <c r="GJ42"/>
      <c r="GK42"/>
      <c r="GQ42"/>
      <c r="GR42"/>
      <c r="GX42"/>
      <c r="GY42"/>
    </row>
    <row r="43" spans="1:207" x14ac:dyDescent="0.25">
      <c r="A43" s="870" t="s">
        <v>432</v>
      </c>
      <c r="B43" s="863"/>
      <c r="C43" s="867"/>
      <c r="D43" s="867" t="s">
        <v>126</v>
      </c>
      <c r="E43" s="871" t="s">
        <v>428</v>
      </c>
      <c r="F43" s="874"/>
      <c r="G43" s="868">
        <v>5</v>
      </c>
      <c r="H43" s="866">
        <v>5</v>
      </c>
      <c r="I43" s="866">
        <v>7</v>
      </c>
      <c r="J43" s="868"/>
      <c r="K43" s="868"/>
      <c r="L43" s="868"/>
      <c r="M43" s="868"/>
      <c r="CB43"/>
      <c r="CC43"/>
      <c r="CI43"/>
      <c r="CJ43"/>
      <c r="CM43"/>
      <c r="CP43"/>
      <c r="CQ43"/>
      <c r="CW43"/>
      <c r="CX43"/>
      <c r="DD43"/>
      <c r="DE43" s="466"/>
      <c r="DK43"/>
      <c r="DL43"/>
      <c r="DQ43"/>
      <c r="DR43"/>
      <c r="DS43"/>
      <c r="DT43"/>
      <c r="DY43"/>
      <c r="DZ43"/>
      <c r="EA43"/>
      <c r="EB43"/>
      <c r="EF43"/>
      <c r="EG43"/>
      <c r="EM43"/>
      <c r="EN43"/>
      <c r="ET43"/>
      <c r="EU43"/>
      <c r="EV43"/>
      <c r="FA43"/>
      <c r="FB43"/>
      <c r="FH43"/>
      <c r="FI43"/>
      <c r="FO43"/>
      <c r="FP43"/>
      <c r="FV43"/>
      <c r="FW43"/>
      <c r="FZ43"/>
      <c r="GC43"/>
      <c r="GD43"/>
      <c r="GJ43"/>
      <c r="GK43"/>
      <c r="GQ43"/>
      <c r="GR43"/>
      <c r="GX43"/>
      <c r="GY43"/>
    </row>
    <row r="44" spans="1:207" ht="30" x14ac:dyDescent="0.25">
      <c r="A44" s="880" t="s">
        <v>436</v>
      </c>
      <c r="B44" s="863" t="s">
        <v>398</v>
      </c>
      <c r="C44" s="865" t="s">
        <v>396</v>
      </c>
      <c r="D44" s="864" t="s">
        <v>399</v>
      </c>
      <c r="E44" s="864" t="s">
        <v>397</v>
      </c>
      <c r="F44" s="874">
        <v>4.17</v>
      </c>
      <c r="G44" s="868">
        <v>5</v>
      </c>
      <c r="H44" s="866"/>
      <c r="I44" s="868">
        <v>5</v>
      </c>
      <c r="J44" s="868">
        <v>5</v>
      </c>
      <c r="K44" s="868">
        <v>5</v>
      </c>
      <c r="L44" s="868">
        <v>5</v>
      </c>
      <c r="M44" s="868"/>
      <c r="CB44"/>
      <c r="CC44"/>
      <c r="CI44"/>
      <c r="CJ44"/>
      <c r="CM44"/>
      <c r="CP44"/>
      <c r="CQ44"/>
      <c r="CW44"/>
      <c r="CX44"/>
      <c r="DD44"/>
      <c r="DE44" s="466"/>
      <c r="DK44"/>
      <c r="DL44"/>
      <c r="DQ44"/>
      <c r="DR44"/>
      <c r="DS44"/>
      <c r="DT44"/>
      <c r="DY44"/>
      <c r="DZ44"/>
      <c r="EA44"/>
      <c r="EB44"/>
      <c r="EF44"/>
      <c r="EG44"/>
      <c r="EM44"/>
      <c r="EN44"/>
      <c r="ET44"/>
      <c r="EU44"/>
      <c r="EV44"/>
      <c r="FA44"/>
      <c r="FB44"/>
      <c r="FH44"/>
      <c r="FI44"/>
      <c r="FO44"/>
      <c r="FP44"/>
      <c r="FV44"/>
      <c r="FW44"/>
      <c r="FZ44"/>
      <c r="GC44"/>
      <c r="GD44"/>
      <c r="GJ44"/>
      <c r="GK44"/>
      <c r="GQ44"/>
      <c r="GR44"/>
      <c r="GX44"/>
      <c r="GY44"/>
    </row>
    <row r="45" spans="1:207" ht="15.75" x14ac:dyDescent="0.25">
      <c r="A45" s="872" t="s">
        <v>29</v>
      </c>
      <c r="B45" s="873" t="s">
        <v>414</v>
      </c>
      <c r="C45" s="864" t="s">
        <v>415</v>
      </c>
      <c r="D45" s="864" t="s">
        <v>413</v>
      </c>
      <c r="E45" s="864" t="s">
        <v>358</v>
      </c>
      <c r="F45" s="874">
        <v>6.75</v>
      </c>
      <c r="G45" s="868">
        <v>3</v>
      </c>
      <c r="H45" s="866">
        <v>2</v>
      </c>
      <c r="I45" s="868">
        <v>5</v>
      </c>
      <c r="J45" s="868">
        <v>3</v>
      </c>
      <c r="K45" s="868">
        <v>3</v>
      </c>
      <c r="L45" s="868"/>
      <c r="M45" s="868">
        <v>5</v>
      </c>
      <c r="CB45"/>
      <c r="CC45"/>
      <c r="CI45"/>
      <c r="CJ45"/>
      <c r="CM45"/>
      <c r="CP45"/>
      <c r="CQ45"/>
      <c r="CW45"/>
      <c r="CX45"/>
      <c r="DD45"/>
      <c r="DE45" s="466"/>
      <c r="DK45"/>
      <c r="DL45"/>
      <c r="DQ45"/>
      <c r="DR45"/>
      <c r="DS45"/>
      <c r="DT45"/>
      <c r="DY45"/>
      <c r="DZ45"/>
      <c r="EA45"/>
      <c r="EB45"/>
      <c r="EF45"/>
      <c r="EG45"/>
      <c r="EM45"/>
      <c r="EN45"/>
      <c r="ET45"/>
      <c r="EU45"/>
      <c r="EV45"/>
      <c r="FA45"/>
      <c r="FB45"/>
      <c r="FH45"/>
      <c r="FI45"/>
      <c r="FO45"/>
      <c r="FP45"/>
      <c r="FV45"/>
      <c r="FW45"/>
      <c r="FZ45"/>
      <c r="GC45"/>
      <c r="GD45"/>
      <c r="GJ45"/>
      <c r="GK45"/>
      <c r="GQ45"/>
      <c r="GR45"/>
      <c r="GX45"/>
      <c r="GY45"/>
    </row>
    <row r="46" spans="1:207" x14ac:dyDescent="0.25">
      <c r="CB46"/>
      <c r="CC46"/>
      <c r="CI46"/>
      <c r="CJ46"/>
      <c r="CM46"/>
      <c r="CP46"/>
      <c r="CQ46"/>
      <c r="CW46"/>
      <c r="CX46"/>
      <c r="DD46"/>
      <c r="DE46" s="466"/>
      <c r="DK46"/>
      <c r="DL46"/>
      <c r="DQ46"/>
      <c r="DR46"/>
      <c r="DS46"/>
      <c r="DT46"/>
      <c r="DY46"/>
      <c r="DZ46"/>
      <c r="EA46"/>
      <c r="EB46"/>
      <c r="EF46"/>
      <c r="EG46"/>
      <c r="EM46"/>
      <c r="EN46"/>
      <c r="ET46"/>
      <c r="EU46"/>
      <c r="EV46"/>
      <c r="FA46"/>
      <c r="FB46"/>
      <c r="FH46"/>
      <c r="FI46"/>
      <c r="FO46"/>
      <c r="FP46"/>
      <c r="FV46"/>
      <c r="FW46"/>
      <c r="FZ46"/>
      <c r="GC46"/>
      <c r="GD46"/>
      <c r="GJ46"/>
      <c r="GK46"/>
      <c r="GQ46"/>
      <c r="GR46"/>
      <c r="GX46"/>
      <c r="GY46"/>
    </row>
    <row r="47" spans="1:207" x14ac:dyDescent="0.25">
      <c r="CB47"/>
      <c r="CC47"/>
      <c r="CI47"/>
      <c r="CJ47"/>
      <c r="CM47"/>
      <c r="CP47"/>
      <c r="CQ47"/>
      <c r="CW47"/>
      <c r="CX47"/>
      <c r="DD47"/>
      <c r="DE47" s="466"/>
      <c r="DK47"/>
      <c r="DL47"/>
      <c r="DQ47"/>
      <c r="DR47"/>
      <c r="DS47"/>
      <c r="DT47"/>
      <c r="DY47"/>
      <c r="DZ47"/>
      <c r="EA47"/>
      <c r="EB47"/>
      <c r="EF47"/>
      <c r="EG47"/>
      <c r="EM47"/>
      <c r="EN47"/>
      <c r="ET47"/>
      <c r="EU47"/>
      <c r="EV47"/>
      <c r="FA47"/>
      <c r="FB47"/>
      <c r="FH47"/>
      <c r="FI47"/>
      <c r="FO47"/>
      <c r="FP47"/>
      <c r="FV47"/>
      <c r="FW47"/>
      <c r="FZ47"/>
      <c r="GC47"/>
      <c r="GD47"/>
      <c r="GJ47"/>
      <c r="GK47"/>
      <c r="GQ47"/>
      <c r="GR47"/>
      <c r="GX47"/>
      <c r="GY47"/>
    </row>
    <row r="48" spans="1:207" x14ac:dyDescent="0.25">
      <c r="D48" s="61"/>
      <c r="CB48"/>
      <c r="CC48"/>
      <c r="CI48"/>
      <c r="CJ48"/>
      <c r="CM48"/>
      <c r="CP48"/>
      <c r="CQ48"/>
      <c r="CW48"/>
      <c r="CX48"/>
      <c r="DD48"/>
      <c r="DE48" s="466"/>
      <c r="DK48"/>
      <c r="DL48"/>
      <c r="DQ48"/>
      <c r="DR48"/>
      <c r="DS48"/>
      <c r="DT48"/>
      <c r="DY48"/>
      <c r="DZ48"/>
      <c r="EA48"/>
      <c r="EB48"/>
      <c r="EF48"/>
      <c r="EG48"/>
      <c r="EM48"/>
      <c r="EN48"/>
      <c r="ET48"/>
      <c r="EU48"/>
      <c r="EV48"/>
      <c r="FA48"/>
      <c r="FB48"/>
      <c r="FH48"/>
      <c r="FI48"/>
      <c r="FO48"/>
      <c r="FP48"/>
      <c r="FV48"/>
      <c r="FW48"/>
      <c r="FZ48"/>
      <c r="GC48"/>
      <c r="GD48"/>
      <c r="GJ48"/>
      <c r="GK48"/>
      <c r="GQ48"/>
      <c r="GR48"/>
      <c r="GX48"/>
      <c r="GY48"/>
    </row>
    <row r="49" spans="1:207" ht="23.25" x14ac:dyDescent="0.35">
      <c r="A49" s="757" t="s">
        <v>596</v>
      </c>
      <c r="B49" s="544"/>
      <c r="C49" s="544"/>
      <c r="D49" s="544"/>
      <c r="E49" s="544"/>
      <c r="F49" s="544"/>
      <c r="G49" s="544"/>
      <c r="H49" s="544"/>
      <c r="I49" s="544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44"/>
      <c r="AB49" s="544"/>
      <c r="AC49" s="544"/>
      <c r="AD49" s="544"/>
      <c r="AE49" s="544"/>
      <c r="AF49" s="544"/>
      <c r="AG49" s="544"/>
      <c r="AH49" s="544"/>
      <c r="AI49" s="544"/>
      <c r="AJ49" s="544"/>
      <c r="AK49" s="544"/>
      <c r="AL49" s="544"/>
      <c r="AM49" s="544"/>
      <c r="AN49" s="544"/>
      <c r="AO49" s="544"/>
      <c r="AP49" s="544"/>
      <c r="AQ49" s="544"/>
      <c r="AR49" s="544"/>
      <c r="AS49" s="544"/>
      <c r="AT49" s="544"/>
      <c r="AU49" s="544"/>
      <c r="AV49" s="544"/>
      <c r="AW49" s="544"/>
      <c r="AX49" s="544"/>
      <c r="AY49" s="773"/>
      <c r="AZ49" s="544"/>
      <c r="BA49" s="544"/>
      <c r="BB49" s="544"/>
      <c r="BC49" s="544"/>
      <c r="BD49" s="544"/>
      <c r="BE49" s="544"/>
      <c r="BF49" s="544"/>
      <c r="BG49" s="773"/>
      <c r="BH49" s="544"/>
      <c r="BI49" s="544"/>
      <c r="BJ49" s="544"/>
      <c r="BK49" s="544"/>
      <c r="BL49" s="544"/>
      <c r="BM49" s="544"/>
      <c r="BN49" s="544"/>
      <c r="BO49" s="544"/>
      <c r="BP49" s="544"/>
      <c r="BQ49" s="544"/>
      <c r="BR49" s="544"/>
      <c r="BS49" s="544"/>
      <c r="BT49" s="544"/>
      <c r="BU49" s="544"/>
      <c r="BV49" s="544"/>
      <c r="BW49" s="544"/>
      <c r="BX49" s="544"/>
      <c r="BY49" s="544"/>
      <c r="BZ49" s="544"/>
      <c r="CA49" s="544"/>
      <c r="CB49" s="544"/>
      <c r="CC49" s="544"/>
      <c r="CD49" s="544"/>
      <c r="CE49" s="544"/>
      <c r="CF49" s="544"/>
      <c r="CG49" s="544"/>
      <c r="CH49" s="544"/>
      <c r="CI49" s="544"/>
      <c r="CJ49" s="544"/>
      <c r="CK49" s="544"/>
      <c r="CL49" s="544"/>
      <c r="CM49" s="544"/>
      <c r="CN49" s="544"/>
      <c r="CO49" s="544"/>
      <c r="CP49" s="544"/>
      <c r="CQ49" s="544"/>
      <c r="CR49" s="544"/>
      <c r="CS49" s="544"/>
      <c r="CT49" s="774"/>
      <c r="CU49" s="774"/>
      <c r="CV49" s="544"/>
      <c r="CW49" s="544"/>
      <c r="CX49" s="544"/>
      <c r="CY49" s="544"/>
      <c r="CZ49" s="544"/>
      <c r="DA49" s="774"/>
      <c r="DB49" s="774"/>
      <c r="DC49" s="544"/>
      <c r="DD49" s="838"/>
      <c r="DE49" s="850" t="s">
        <v>599</v>
      </c>
      <c r="DF49" s="769"/>
      <c r="DG49" s="769"/>
      <c r="DH49" s="769"/>
      <c r="DI49" s="769"/>
      <c r="DJ49" s="769"/>
      <c r="DK49" s="769"/>
      <c r="DL49" s="769"/>
      <c r="DM49" s="769"/>
      <c r="DN49" s="769"/>
      <c r="DO49" s="769"/>
      <c r="DP49" s="769"/>
      <c r="DQ49" s="769"/>
      <c r="DR49" s="769"/>
      <c r="DS49" s="769"/>
      <c r="DT49" s="769"/>
      <c r="DU49" s="769"/>
      <c r="DV49" s="769"/>
      <c r="DW49" s="769"/>
      <c r="DX49" s="769"/>
      <c r="DY49" s="769"/>
      <c r="DZ49" s="769"/>
      <c r="EA49" s="769"/>
      <c r="EB49" s="769"/>
      <c r="EC49" s="769"/>
      <c r="ED49" s="769"/>
      <c r="EE49" s="769"/>
      <c r="EF49" s="769"/>
      <c r="EG49" s="769"/>
      <c r="EH49" s="769"/>
      <c r="EI49" s="850"/>
      <c r="EJ49" s="769"/>
      <c r="EK49" s="769"/>
      <c r="EL49" s="769"/>
      <c r="EM49" s="769"/>
      <c r="EN49" s="769"/>
      <c r="EO49" s="769"/>
      <c r="EP49" s="769"/>
      <c r="EQ49" s="769"/>
      <c r="ER49" s="769"/>
      <c r="ES49" s="769"/>
      <c r="ET49" s="769"/>
      <c r="EU49" s="769"/>
      <c r="EV49" s="769"/>
      <c r="EW49" s="769"/>
      <c r="EX49" s="769"/>
      <c r="EY49" s="769"/>
      <c r="EZ49" s="769"/>
      <c r="FA49" s="769"/>
      <c r="FB49" s="769"/>
      <c r="FC49" s="769"/>
      <c r="FD49" s="769"/>
      <c r="FE49" s="769"/>
      <c r="FF49" s="769"/>
      <c r="FG49" s="769"/>
      <c r="FH49" s="769"/>
      <c r="FI49" s="769"/>
      <c r="FJ49" s="769"/>
      <c r="FK49" s="769"/>
      <c r="FL49" s="769"/>
      <c r="FO49"/>
      <c r="FP49"/>
      <c r="FV49"/>
      <c r="FW49"/>
      <c r="FZ49"/>
      <c r="GC49"/>
      <c r="GD49"/>
      <c r="GJ49"/>
      <c r="GK49"/>
      <c r="GQ49"/>
      <c r="GR49"/>
      <c r="GX49"/>
      <c r="GY49"/>
    </row>
    <row r="50" spans="1:207" x14ac:dyDescent="0.25">
      <c r="A50" s="775" t="s">
        <v>152</v>
      </c>
      <c r="B50" s="776"/>
      <c r="C50" s="776"/>
      <c r="D50" s="776"/>
      <c r="E50" s="776"/>
      <c r="F50" s="776"/>
      <c r="G50" s="776"/>
      <c r="H50" s="776"/>
      <c r="I50" s="776"/>
      <c r="J50" s="776"/>
      <c r="K50" s="776"/>
      <c r="L50" s="776"/>
      <c r="M50" s="776"/>
      <c r="N50" s="776"/>
      <c r="O50" s="776"/>
      <c r="P50" s="776"/>
      <c r="Q50" s="776"/>
      <c r="R50" s="777" t="s">
        <v>384</v>
      </c>
      <c r="S50" s="778"/>
      <c r="T50" s="778"/>
      <c r="U50" s="778"/>
      <c r="V50" s="778"/>
      <c r="W50" s="778"/>
      <c r="X50" s="778"/>
      <c r="Y50" s="778"/>
      <c r="Z50" s="778"/>
      <c r="AA50" s="778"/>
      <c r="AB50" s="778"/>
      <c r="AC50" s="778"/>
      <c r="AD50" s="778"/>
      <c r="AE50" s="778"/>
      <c r="AF50" s="778"/>
      <c r="AG50" s="778"/>
      <c r="AH50" s="778"/>
      <c r="AI50" s="778"/>
      <c r="AJ50" s="778"/>
      <c r="AK50" s="778"/>
      <c r="AL50" s="778"/>
      <c r="AM50" s="778"/>
      <c r="AN50" s="778"/>
      <c r="AO50" s="778"/>
      <c r="AP50" s="778"/>
      <c r="AQ50" s="778"/>
      <c r="AR50" s="778"/>
      <c r="AS50" s="778"/>
      <c r="AT50" s="778"/>
      <c r="AU50" s="778"/>
      <c r="AV50" s="775" t="s">
        <v>385</v>
      </c>
      <c r="AW50" s="776"/>
      <c r="AX50" s="776"/>
      <c r="AY50" s="779"/>
      <c r="AZ50" s="776"/>
      <c r="BA50" s="776"/>
      <c r="BB50" s="776"/>
      <c r="BC50" s="776"/>
      <c r="BD50" s="776"/>
      <c r="BE50" s="776"/>
      <c r="BF50" s="776"/>
      <c r="BG50" s="779"/>
      <c r="BH50" s="776"/>
      <c r="BI50" s="776"/>
      <c r="BJ50" s="776"/>
      <c r="BK50" s="776"/>
      <c r="BL50" s="776"/>
      <c r="BM50" s="776"/>
      <c r="BN50" s="776"/>
      <c r="BO50" s="776"/>
      <c r="BP50" s="776"/>
      <c r="BQ50" s="776"/>
      <c r="BR50" s="776"/>
      <c r="BS50" s="776"/>
      <c r="BT50" s="776"/>
      <c r="BU50" s="776"/>
      <c r="BV50" s="776"/>
      <c r="BW50" s="776"/>
      <c r="BX50" s="776"/>
      <c r="BY50" s="776"/>
      <c r="BZ50" s="776"/>
      <c r="CA50" s="777" t="s">
        <v>406</v>
      </c>
      <c r="CB50" s="778"/>
      <c r="CC50" s="778"/>
      <c r="CD50" s="778"/>
      <c r="CE50" s="778"/>
      <c r="CF50" s="778"/>
      <c r="CG50" s="778"/>
      <c r="CH50" s="778"/>
      <c r="CI50" s="778"/>
      <c r="CJ50" s="778"/>
      <c r="CK50" s="778"/>
      <c r="CL50" s="778"/>
      <c r="CM50" s="778"/>
      <c r="CN50" s="778"/>
      <c r="CO50" s="778"/>
      <c r="CP50" s="778"/>
      <c r="CQ50" s="778"/>
      <c r="CR50" s="778"/>
      <c r="CS50" s="778"/>
      <c r="CT50" s="778"/>
      <c r="CU50" s="778"/>
      <c r="CV50" s="778"/>
      <c r="CW50" s="778"/>
      <c r="CX50" s="778"/>
      <c r="CY50" s="778"/>
      <c r="CZ50" s="778"/>
      <c r="DA50" s="778"/>
      <c r="DB50" s="778"/>
      <c r="DC50" s="778"/>
      <c r="DD50" s="839"/>
      <c r="DE50" s="846" t="s">
        <v>458</v>
      </c>
      <c r="DF50" s="776"/>
      <c r="DG50" s="776"/>
      <c r="DH50" s="776"/>
      <c r="DI50" s="776"/>
      <c r="DJ50" s="776"/>
      <c r="DK50" s="776"/>
      <c r="DL50" s="776"/>
      <c r="DM50" s="776"/>
      <c r="DN50" s="776"/>
      <c r="DO50" s="776"/>
      <c r="DP50" s="776"/>
      <c r="DQ50" s="776"/>
      <c r="DR50" s="776"/>
      <c r="DS50" s="776"/>
      <c r="DT50" s="776"/>
      <c r="DU50" s="776"/>
      <c r="DV50" s="776"/>
      <c r="DW50" s="776"/>
      <c r="DX50" s="776"/>
      <c r="DY50" s="776"/>
      <c r="DZ50" s="776"/>
      <c r="EA50" s="776"/>
      <c r="EB50" s="776"/>
      <c r="EC50" s="776"/>
      <c r="ED50" s="776"/>
      <c r="EE50" s="776"/>
      <c r="EF50" s="776"/>
      <c r="EG50" s="776"/>
      <c r="EH50" s="776"/>
      <c r="EI50" s="846" t="s">
        <v>606</v>
      </c>
      <c r="EJ50" s="776"/>
      <c r="EK50" s="776"/>
      <c r="EL50" s="776"/>
      <c r="EM50" s="776"/>
      <c r="EN50" s="776"/>
      <c r="EO50" s="776"/>
      <c r="EP50" s="776"/>
      <c r="EQ50" s="776"/>
      <c r="ER50" s="776"/>
      <c r="ES50" s="776"/>
      <c r="ET50" s="776"/>
      <c r="EU50" s="776"/>
      <c r="EV50" s="776"/>
      <c r="EW50" s="776"/>
      <c r="EX50" s="776"/>
      <c r="EY50" s="776"/>
      <c r="EZ50" s="776"/>
      <c r="FA50" s="776"/>
      <c r="FB50" s="776"/>
      <c r="FC50" s="776"/>
      <c r="FD50" s="776"/>
      <c r="FE50" s="776"/>
      <c r="FF50" s="776"/>
      <c r="FG50" s="776"/>
      <c r="FH50" s="776"/>
      <c r="FI50" s="776"/>
      <c r="FJ50" s="776"/>
      <c r="FK50" s="776"/>
      <c r="FL50" s="776"/>
      <c r="FO50"/>
      <c r="FP50"/>
      <c r="FV50"/>
      <c r="FW50"/>
      <c r="FZ50"/>
      <c r="GC50"/>
      <c r="GD50"/>
      <c r="GJ50"/>
      <c r="GK50"/>
      <c r="GQ50"/>
      <c r="GR50"/>
      <c r="GX50"/>
      <c r="GY50"/>
    </row>
    <row r="51" spans="1:207" x14ac:dyDescent="0.25">
      <c r="A51" s="569"/>
      <c r="B51" s="780">
        <v>16</v>
      </c>
      <c r="C51" s="780">
        <v>17</v>
      </c>
      <c r="D51" s="780">
        <v>18</v>
      </c>
      <c r="E51" s="780">
        <v>19</v>
      </c>
      <c r="F51" s="780">
        <v>20</v>
      </c>
      <c r="G51" s="781">
        <v>21</v>
      </c>
      <c r="H51" s="781">
        <v>22</v>
      </c>
      <c r="I51" s="780">
        <v>23</v>
      </c>
      <c r="J51" s="780">
        <v>24</v>
      </c>
      <c r="K51" s="780">
        <v>25</v>
      </c>
      <c r="L51" s="780">
        <v>26</v>
      </c>
      <c r="M51" s="780">
        <v>27</v>
      </c>
      <c r="N51" s="781">
        <v>28</v>
      </c>
      <c r="O51" s="781">
        <v>29</v>
      </c>
      <c r="P51" s="780">
        <v>30</v>
      </c>
      <c r="Q51" s="780">
        <v>31</v>
      </c>
      <c r="R51" s="780">
        <v>1</v>
      </c>
      <c r="S51" s="780">
        <v>2</v>
      </c>
      <c r="T51" s="780">
        <v>3</v>
      </c>
      <c r="U51" s="782">
        <v>4</v>
      </c>
      <c r="V51" s="782">
        <v>5</v>
      </c>
      <c r="W51" s="780">
        <v>6</v>
      </c>
      <c r="X51" s="780">
        <v>7</v>
      </c>
      <c r="Y51" s="780">
        <v>8</v>
      </c>
      <c r="Z51" s="780">
        <v>9</v>
      </c>
      <c r="AA51" s="780">
        <v>10</v>
      </c>
      <c r="AB51" s="783">
        <v>11</v>
      </c>
      <c r="AC51" s="783">
        <v>12</v>
      </c>
      <c r="AD51" s="780">
        <v>13</v>
      </c>
      <c r="AE51" s="780">
        <v>14</v>
      </c>
      <c r="AF51" s="780">
        <v>15</v>
      </c>
      <c r="AG51" s="780">
        <v>16</v>
      </c>
      <c r="AH51" s="780">
        <v>17</v>
      </c>
      <c r="AI51" s="783">
        <v>18</v>
      </c>
      <c r="AJ51" s="783">
        <v>19</v>
      </c>
      <c r="AK51" s="780">
        <v>20</v>
      </c>
      <c r="AL51" s="780">
        <v>21</v>
      </c>
      <c r="AM51" s="780">
        <v>22</v>
      </c>
      <c r="AN51" s="780">
        <v>23</v>
      </c>
      <c r="AO51" s="780">
        <v>24</v>
      </c>
      <c r="AP51" s="783">
        <v>25</v>
      </c>
      <c r="AQ51" s="783">
        <v>26</v>
      </c>
      <c r="AR51" s="780">
        <v>27</v>
      </c>
      <c r="AS51" s="780">
        <v>28</v>
      </c>
      <c r="AT51" s="780">
        <v>29</v>
      </c>
      <c r="AU51" s="569">
        <v>30</v>
      </c>
      <c r="AV51" s="783">
        <v>1</v>
      </c>
      <c r="AW51" s="783">
        <v>2</v>
      </c>
      <c r="AX51" s="783">
        <v>3</v>
      </c>
      <c r="AY51" s="569">
        <v>4</v>
      </c>
      <c r="AZ51" s="569">
        <v>5</v>
      </c>
      <c r="BA51" s="569">
        <v>6</v>
      </c>
      <c r="BB51" s="569">
        <v>7</v>
      </c>
      <c r="BC51" s="569">
        <v>8</v>
      </c>
      <c r="BD51" s="783">
        <v>9</v>
      </c>
      <c r="BE51" s="783">
        <v>10</v>
      </c>
      <c r="BF51" s="783">
        <v>11</v>
      </c>
      <c r="BG51" s="569">
        <v>12</v>
      </c>
      <c r="BH51" s="569">
        <v>13</v>
      </c>
      <c r="BI51" s="569">
        <v>14</v>
      </c>
      <c r="BJ51" s="569">
        <v>15</v>
      </c>
      <c r="BK51" s="783">
        <v>16</v>
      </c>
      <c r="BL51" s="783">
        <v>17</v>
      </c>
      <c r="BM51" s="569">
        <v>18</v>
      </c>
      <c r="BN51" s="569">
        <v>19</v>
      </c>
      <c r="BO51" s="569">
        <v>20</v>
      </c>
      <c r="BP51" s="569">
        <v>21</v>
      </c>
      <c r="BQ51" s="569">
        <v>22</v>
      </c>
      <c r="BR51" s="783">
        <v>23</v>
      </c>
      <c r="BS51" s="783">
        <v>24</v>
      </c>
      <c r="BT51" s="569">
        <v>25</v>
      </c>
      <c r="BU51" s="569">
        <v>26</v>
      </c>
      <c r="BV51" s="569">
        <v>27</v>
      </c>
      <c r="BW51" s="569">
        <v>28</v>
      </c>
      <c r="BX51" s="569">
        <v>29</v>
      </c>
      <c r="BY51" s="783">
        <v>30</v>
      </c>
      <c r="BZ51" s="783">
        <v>31</v>
      </c>
      <c r="CA51" s="569">
        <v>1</v>
      </c>
      <c r="CB51" s="569">
        <v>2</v>
      </c>
      <c r="CC51" s="569">
        <v>3</v>
      </c>
      <c r="CD51" s="569">
        <v>4</v>
      </c>
      <c r="CE51" s="569">
        <v>5</v>
      </c>
      <c r="CF51" s="783">
        <v>6</v>
      </c>
      <c r="CG51" s="783">
        <v>7</v>
      </c>
      <c r="CH51" s="569">
        <v>8</v>
      </c>
      <c r="CI51" s="569">
        <v>9</v>
      </c>
      <c r="CJ51" s="569">
        <v>10</v>
      </c>
      <c r="CK51" s="569">
        <v>11</v>
      </c>
      <c r="CL51" s="569">
        <v>12</v>
      </c>
      <c r="CM51" s="783">
        <v>13</v>
      </c>
      <c r="CN51" s="783">
        <v>14</v>
      </c>
      <c r="CO51" s="569">
        <v>15</v>
      </c>
      <c r="CP51" s="569">
        <v>16</v>
      </c>
      <c r="CQ51" s="569">
        <v>17</v>
      </c>
      <c r="CR51" s="569">
        <v>18</v>
      </c>
      <c r="CS51" s="569">
        <v>19</v>
      </c>
      <c r="CT51" s="784">
        <v>20</v>
      </c>
      <c r="CU51" s="784">
        <v>21</v>
      </c>
      <c r="CV51" s="569">
        <v>22</v>
      </c>
      <c r="CW51" s="569">
        <v>23</v>
      </c>
      <c r="CX51" s="569">
        <v>24</v>
      </c>
      <c r="CY51" s="569">
        <v>25</v>
      </c>
      <c r="CZ51" s="569">
        <v>26</v>
      </c>
      <c r="DA51" s="784">
        <v>27</v>
      </c>
      <c r="DB51" s="784">
        <v>28</v>
      </c>
      <c r="DC51" s="569">
        <v>29</v>
      </c>
      <c r="DD51" s="840">
        <v>30</v>
      </c>
      <c r="DE51" s="847">
        <v>1</v>
      </c>
      <c r="DF51" s="569">
        <v>2</v>
      </c>
      <c r="DG51" s="569">
        <v>3</v>
      </c>
      <c r="DH51" s="785">
        <v>4</v>
      </c>
      <c r="DI51" s="785">
        <v>5</v>
      </c>
      <c r="DJ51" s="569">
        <v>6</v>
      </c>
      <c r="DK51" s="569">
        <v>7</v>
      </c>
      <c r="DL51" s="569">
        <v>8</v>
      </c>
      <c r="DM51" s="569">
        <v>9</v>
      </c>
      <c r="DN51" s="569">
        <v>10</v>
      </c>
      <c r="DO51" s="785">
        <v>11</v>
      </c>
      <c r="DP51" s="785">
        <v>12</v>
      </c>
      <c r="DQ51" s="569">
        <v>13</v>
      </c>
      <c r="DR51" s="569">
        <v>14</v>
      </c>
      <c r="DS51" s="569">
        <v>15</v>
      </c>
      <c r="DT51" s="569">
        <v>16</v>
      </c>
      <c r="DU51" s="569">
        <v>17</v>
      </c>
      <c r="DV51" s="785">
        <v>18</v>
      </c>
      <c r="DW51" s="785">
        <v>19</v>
      </c>
      <c r="DX51" s="569">
        <v>20</v>
      </c>
      <c r="DY51" s="569">
        <v>21</v>
      </c>
      <c r="DZ51" s="569">
        <v>22</v>
      </c>
      <c r="EA51" s="569">
        <v>23</v>
      </c>
      <c r="EB51" s="569">
        <v>24</v>
      </c>
      <c r="EC51" s="785">
        <v>25</v>
      </c>
      <c r="ED51" s="785">
        <v>26</v>
      </c>
      <c r="EE51" s="569">
        <v>27</v>
      </c>
      <c r="EF51" s="569">
        <v>28</v>
      </c>
      <c r="EG51" s="569">
        <v>29</v>
      </c>
      <c r="EH51" s="569">
        <v>30</v>
      </c>
      <c r="EI51" s="847">
        <v>1</v>
      </c>
      <c r="EJ51" s="785">
        <v>2</v>
      </c>
      <c r="EK51" s="785">
        <v>3</v>
      </c>
      <c r="EL51" s="571">
        <v>4</v>
      </c>
      <c r="EM51" s="571">
        <v>5</v>
      </c>
      <c r="EN51" s="571">
        <v>6</v>
      </c>
      <c r="EO51" s="571">
        <v>7</v>
      </c>
      <c r="EP51" s="571">
        <v>8</v>
      </c>
      <c r="EQ51" s="785">
        <v>9</v>
      </c>
      <c r="ER51" s="785">
        <v>10</v>
      </c>
      <c r="ES51" s="571">
        <v>11</v>
      </c>
      <c r="ET51" s="571">
        <v>12</v>
      </c>
      <c r="EU51" s="571">
        <v>13</v>
      </c>
      <c r="EV51" s="571">
        <v>14</v>
      </c>
      <c r="EW51" s="571">
        <v>15</v>
      </c>
      <c r="EX51" s="785">
        <v>16</v>
      </c>
      <c r="EY51" s="785">
        <v>17</v>
      </c>
      <c r="EZ51" s="571">
        <v>18</v>
      </c>
      <c r="FA51" s="571">
        <v>19</v>
      </c>
      <c r="FB51" s="571">
        <v>20</v>
      </c>
      <c r="FC51" s="571">
        <v>21</v>
      </c>
      <c r="FD51" s="571">
        <v>22</v>
      </c>
      <c r="FE51" s="785">
        <v>23</v>
      </c>
      <c r="FF51" s="785">
        <v>24</v>
      </c>
      <c r="FG51" s="571">
        <v>25</v>
      </c>
      <c r="FH51" s="571">
        <v>26</v>
      </c>
      <c r="FI51" s="571">
        <v>27</v>
      </c>
      <c r="FJ51" s="571">
        <v>28</v>
      </c>
      <c r="FK51" s="571">
        <v>29</v>
      </c>
      <c r="FL51" s="569">
        <v>30</v>
      </c>
      <c r="FO51"/>
      <c r="FP51"/>
      <c r="FV51"/>
      <c r="FW51"/>
      <c r="FZ51"/>
      <c r="GC51"/>
      <c r="GD51"/>
      <c r="GJ51"/>
      <c r="GK51"/>
      <c r="GQ51"/>
      <c r="GR51"/>
      <c r="GX51"/>
      <c r="GY51"/>
    </row>
    <row r="52" spans="1:207" x14ac:dyDescent="0.25">
      <c r="A52" s="569" t="s">
        <v>190</v>
      </c>
      <c r="B52" s="780"/>
      <c r="C52" s="780"/>
      <c r="D52" s="780"/>
      <c r="E52" s="780"/>
      <c r="F52" s="780"/>
      <c r="G52" s="780"/>
      <c r="H52" s="780"/>
      <c r="I52" s="780"/>
      <c r="J52" s="780"/>
      <c r="K52" s="780"/>
      <c r="L52" s="780"/>
      <c r="M52" s="780"/>
      <c r="N52" s="780"/>
      <c r="O52" s="780"/>
      <c r="P52" s="780"/>
      <c r="Q52" s="780"/>
      <c r="R52" s="780"/>
      <c r="S52" s="780"/>
      <c r="T52" s="780"/>
      <c r="U52" s="785"/>
      <c r="V52" s="785"/>
      <c r="W52" s="780"/>
      <c r="X52" s="780"/>
      <c r="Y52" s="780"/>
      <c r="Z52" s="780"/>
      <c r="AA52" s="780"/>
      <c r="AB52" s="785"/>
      <c r="AC52" s="785"/>
      <c r="AD52" s="780"/>
      <c r="AE52" s="780"/>
      <c r="AF52" s="780"/>
      <c r="AG52" s="780"/>
      <c r="AH52" s="780"/>
      <c r="AI52" s="785"/>
      <c r="AJ52" s="785"/>
      <c r="AK52" s="780"/>
      <c r="AL52" s="780"/>
      <c r="AM52" s="780"/>
      <c r="AN52" s="780"/>
      <c r="AO52" s="780"/>
      <c r="AP52" s="785"/>
      <c r="AQ52" s="785"/>
      <c r="AR52" s="780"/>
      <c r="AS52" s="780"/>
      <c r="AT52" s="780"/>
      <c r="AU52" s="569"/>
      <c r="AV52" s="785"/>
      <c r="AW52" s="785"/>
      <c r="AX52" s="785"/>
      <c r="AY52" s="794"/>
      <c r="AZ52" s="569"/>
      <c r="BA52" s="569"/>
      <c r="BB52" s="786" t="s">
        <v>387</v>
      </c>
      <c r="BC52" s="787"/>
      <c r="BD52" s="787"/>
      <c r="BE52" s="787"/>
      <c r="BF52" s="787"/>
      <c r="BG52" s="788"/>
      <c r="BH52" s="787"/>
      <c r="BI52" s="569"/>
      <c r="BJ52" s="569"/>
      <c r="BK52" s="785"/>
      <c r="BL52" s="785"/>
      <c r="BM52" s="569"/>
      <c r="BN52" s="569"/>
      <c r="BO52" s="569"/>
      <c r="BP52" s="569"/>
      <c r="BQ52" s="569"/>
      <c r="BR52" s="785"/>
      <c r="BS52" s="785"/>
      <c r="BT52" s="569"/>
      <c r="BU52" s="569"/>
      <c r="BV52" s="569"/>
      <c r="BW52" s="569"/>
      <c r="BX52" s="786" t="s">
        <v>387</v>
      </c>
      <c r="BY52" s="785"/>
      <c r="BZ52" s="785"/>
      <c r="CA52" s="787"/>
      <c r="CB52" s="787"/>
      <c r="CC52" s="787"/>
      <c r="CD52" s="787"/>
      <c r="CE52" s="787"/>
      <c r="CF52" s="785"/>
      <c r="CG52" s="785"/>
      <c r="CH52" s="569"/>
      <c r="CI52" s="569"/>
      <c r="CJ52" s="569"/>
      <c r="CK52" s="569"/>
      <c r="CL52" s="569"/>
      <c r="CM52" s="785"/>
      <c r="CN52" s="785"/>
      <c r="CO52" s="569"/>
      <c r="CP52" s="569"/>
      <c r="CQ52" s="569"/>
      <c r="CR52" s="569"/>
      <c r="CS52" s="569"/>
      <c r="CT52" s="784"/>
      <c r="CU52" s="784"/>
      <c r="CV52" s="569"/>
      <c r="CW52" s="569"/>
      <c r="CX52" s="569"/>
      <c r="CY52" s="569"/>
      <c r="CZ52" s="569"/>
      <c r="DA52" s="784"/>
      <c r="DB52" s="784"/>
      <c r="DC52" s="569"/>
      <c r="DD52" s="840"/>
      <c r="DE52" s="847"/>
      <c r="DF52" s="569"/>
      <c r="DG52" s="569"/>
      <c r="DH52" s="785"/>
      <c r="DI52" s="785"/>
      <c r="DJ52" s="569"/>
      <c r="DK52" s="569"/>
      <c r="DL52" s="569"/>
      <c r="DM52" s="569"/>
      <c r="DN52" s="569"/>
      <c r="DO52" s="785"/>
      <c r="DP52" s="785"/>
      <c r="DQ52" s="569"/>
      <c r="DR52" s="569"/>
      <c r="DS52" s="569"/>
      <c r="DT52" s="569"/>
      <c r="DU52" s="569"/>
      <c r="DV52" s="785"/>
      <c r="DW52" s="785"/>
      <c r="DX52" s="569"/>
      <c r="DY52" s="569"/>
      <c r="DZ52" s="569"/>
      <c r="EA52" s="569"/>
      <c r="EB52" s="569"/>
      <c r="EC52" s="785"/>
      <c r="ED52" s="785"/>
      <c r="EE52" s="569"/>
      <c r="EF52" s="569"/>
      <c r="EG52" s="569"/>
      <c r="EH52" s="569"/>
      <c r="EI52" s="569"/>
      <c r="EJ52" s="785"/>
      <c r="EK52" s="785"/>
      <c r="EL52" s="569"/>
      <c r="EM52" s="569"/>
      <c r="EN52" s="569"/>
      <c r="EO52" s="569"/>
      <c r="EP52" s="569"/>
      <c r="EQ52" s="785"/>
      <c r="ER52" s="785"/>
      <c r="ES52" s="569"/>
      <c r="ET52" s="569"/>
      <c r="EU52" s="569"/>
      <c r="EV52" s="569"/>
      <c r="EW52" s="569"/>
      <c r="EX52" s="785"/>
      <c r="EY52" s="785"/>
      <c r="EZ52" s="569"/>
      <c r="FA52" s="569"/>
      <c r="FB52" s="569"/>
      <c r="FC52" s="569"/>
      <c r="FD52" s="569"/>
      <c r="FE52" s="785"/>
      <c r="FF52" s="785"/>
      <c r="FH52"/>
      <c r="FI52"/>
      <c r="FO52"/>
      <c r="FP52"/>
      <c r="FV52"/>
      <c r="FW52"/>
      <c r="FZ52"/>
      <c r="GC52"/>
      <c r="GD52"/>
      <c r="GJ52"/>
      <c r="GK52"/>
      <c r="GQ52"/>
      <c r="GR52"/>
      <c r="GX52"/>
      <c r="GY52"/>
    </row>
    <row r="53" spans="1:207" x14ac:dyDescent="0.25">
      <c r="A53" s="789" t="s">
        <v>441</v>
      </c>
      <c r="B53" s="790"/>
      <c r="C53" s="790"/>
      <c r="D53" s="790"/>
      <c r="E53" s="790"/>
      <c r="F53" s="790"/>
      <c r="G53" s="790"/>
      <c r="H53" s="790"/>
      <c r="I53" s="790"/>
      <c r="J53" s="790"/>
      <c r="K53" s="790"/>
      <c r="L53" s="790"/>
      <c r="M53" s="790"/>
      <c r="N53" s="790"/>
      <c r="O53" s="790"/>
      <c r="P53" s="790"/>
      <c r="Q53" s="790"/>
      <c r="R53" s="790"/>
      <c r="S53" s="790"/>
      <c r="T53" s="790"/>
      <c r="U53" s="790"/>
      <c r="V53" s="790"/>
      <c r="W53" s="790"/>
      <c r="X53" s="790"/>
      <c r="Y53" s="790"/>
      <c r="Z53" s="790"/>
      <c r="AA53" s="790"/>
      <c r="AB53" s="790"/>
      <c r="AC53" s="790"/>
      <c r="AD53" s="790"/>
      <c r="AE53" s="790"/>
      <c r="AF53" s="790"/>
      <c r="AG53" s="790"/>
      <c r="AH53" s="790"/>
      <c r="AI53" s="790"/>
      <c r="AJ53" s="790"/>
      <c r="AK53" s="790"/>
      <c r="AL53" s="790"/>
      <c r="AM53" s="790"/>
      <c r="AN53" s="790"/>
      <c r="AO53" s="790"/>
      <c r="AP53" s="790"/>
      <c r="AQ53" s="790"/>
      <c r="AR53" s="790"/>
      <c r="AS53" s="790"/>
      <c r="AT53" s="790"/>
      <c r="AU53" s="790"/>
      <c r="AV53" s="790"/>
      <c r="AW53" s="790"/>
      <c r="AX53" s="790"/>
      <c r="AY53" s="791"/>
      <c r="AZ53" s="790"/>
      <c r="BA53" s="790"/>
      <c r="BB53" s="790"/>
      <c r="BC53" s="790"/>
      <c r="BD53" s="790"/>
      <c r="BE53" s="790"/>
      <c r="BF53" s="790"/>
      <c r="BG53" s="791"/>
      <c r="BH53" s="790"/>
      <c r="BI53" s="790"/>
      <c r="BJ53" s="790"/>
      <c r="BK53" s="790"/>
      <c r="BL53" s="790"/>
      <c r="BM53" s="790"/>
      <c r="BN53" s="790"/>
      <c r="BO53" s="790"/>
      <c r="BP53" s="790"/>
      <c r="BQ53" s="790"/>
      <c r="BR53" s="790"/>
      <c r="BS53" s="790"/>
      <c r="BT53" s="790"/>
      <c r="BU53" s="790"/>
      <c r="BV53" s="790"/>
      <c r="BW53" s="790"/>
      <c r="BX53" s="790"/>
      <c r="BY53" s="790"/>
      <c r="BZ53" s="790"/>
      <c r="CA53" s="790"/>
      <c r="CB53" s="790"/>
      <c r="CC53" s="790"/>
      <c r="CD53" s="790"/>
      <c r="CE53" s="790"/>
      <c r="CF53" s="790"/>
      <c r="CG53" s="790"/>
      <c r="CH53" s="790"/>
      <c r="CI53" s="790"/>
      <c r="CJ53" s="790"/>
      <c r="CK53" s="790"/>
      <c r="CL53" s="790"/>
      <c r="CM53" s="790"/>
      <c r="CN53" s="790"/>
      <c r="CO53" s="790"/>
      <c r="CP53" s="790"/>
      <c r="CQ53" s="790"/>
      <c r="CR53" s="790"/>
      <c r="CS53" s="790"/>
      <c r="CT53" s="792"/>
      <c r="CU53" s="792"/>
      <c r="CV53" s="790"/>
      <c r="CW53" s="790"/>
      <c r="CX53" s="790"/>
      <c r="CY53" s="790"/>
      <c r="CZ53" s="790"/>
      <c r="DA53" s="792"/>
      <c r="DB53" s="792"/>
      <c r="DC53" s="790"/>
      <c r="DD53" s="841"/>
      <c r="DE53" s="848"/>
      <c r="DF53" s="790"/>
      <c r="DG53" s="790"/>
      <c r="DH53" s="790"/>
      <c r="DI53" s="790"/>
      <c r="DJ53" s="790"/>
      <c r="DK53" s="790"/>
      <c r="DL53" s="790"/>
      <c r="DM53" s="790"/>
      <c r="DN53" s="790"/>
      <c r="DO53" s="790"/>
      <c r="DP53" s="790"/>
      <c r="DQ53" s="790"/>
      <c r="DR53" s="790"/>
      <c r="DS53" s="790"/>
      <c r="DT53" s="790"/>
      <c r="DU53" s="790"/>
      <c r="DV53" s="790"/>
      <c r="DW53" s="790"/>
      <c r="DX53" s="790"/>
      <c r="DY53" s="790"/>
      <c r="DZ53" s="790"/>
      <c r="EA53" s="790"/>
      <c r="EB53" s="790"/>
      <c r="EC53" s="790"/>
      <c r="ED53" s="790"/>
      <c r="EE53" s="790"/>
      <c r="EF53" s="790"/>
      <c r="EG53" s="790"/>
      <c r="EH53" s="790"/>
      <c r="EI53" s="790"/>
      <c r="EJ53" s="790"/>
      <c r="EK53" s="790"/>
      <c r="EL53" s="790"/>
      <c r="EM53" s="790"/>
      <c r="EN53" s="790"/>
      <c r="EO53" s="790"/>
      <c r="EP53" s="790"/>
      <c r="EQ53" s="790"/>
      <c r="ER53" s="790"/>
      <c r="ES53" s="790"/>
      <c r="ET53" s="790"/>
      <c r="EU53" s="790"/>
      <c r="EV53" s="790"/>
      <c r="EW53" s="790"/>
      <c r="EX53" s="790"/>
      <c r="EY53" s="790"/>
      <c r="EZ53" s="790"/>
      <c r="FA53" s="790"/>
      <c r="FB53" s="790"/>
      <c r="FC53" s="790"/>
      <c r="FD53" s="790"/>
      <c r="FE53" s="790"/>
      <c r="FF53" s="790"/>
      <c r="FH53"/>
      <c r="FI53"/>
      <c r="FO53"/>
      <c r="FP53"/>
      <c r="FV53"/>
      <c r="FW53"/>
      <c r="FZ53"/>
      <c r="GC53"/>
      <c r="GD53"/>
      <c r="GJ53"/>
      <c r="GK53"/>
      <c r="GQ53"/>
      <c r="GR53"/>
      <c r="GX53"/>
      <c r="GY53"/>
    </row>
    <row r="54" spans="1:207" x14ac:dyDescent="0.25">
      <c r="A54" s="569"/>
      <c r="B54" s="569"/>
      <c r="C54" s="569"/>
      <c r="D54" s="569"/>
      <c r="E54" s="569"/>
      <c r="F54" s="569"/>
      <c r="G54" s="785"/>
      <c r="H54" s="785"/>
      <c r="I54" s="569"/>
      <c r="J54" s="569"/>
      <c r="K54" s="569"/>
      <c r="L54" s="569"/>
      <c r="M54" s="569"/>
      <c r="N54" s="785"/>
      <c r="O54" s="785"/>
      <c r="P54" s="569"/>
      <c r="Q54" s="569"/>
      <c r="R54" s="569"/>
      <c r="S54" s="569"/>
      <c r="T54" s="569"/>
      <c r="U54" s="785"/>
      <c r="V54" s="785"/>
      <c r="W54" s="569"/>
      <c r="X54" s="569"/>
      <c r="Y54" s="569"/>
      <c r="Z54" s="569"/>
      <c r="AA54" s="569"/>
      <c r="AB54" s="785"/>
      <c r="AC54" s="785"/>
      <c r="AD54" s="569"/>
      <c r="AE54" s="569"/>
      <c r="AF54" s="569"/>
      <c r="AG54" s="569"/>
      <c r="AH54" s="569"/>
      <c r="AI54" s="785"/>
      <c r="AJ54" s="785"/>
      <c r="AK54" s="569"/>
      <c r="AL54" s="569"/>
      <c r="AM54" s="569"/>
      <c r="AN54" s="569"/>
      <c r="AO54" s="569"/>
      <c r="AP54" s="785"/>
      <c r="AQ54" s="785"/>
      <c r="AR54" s="569"/>
      <c r="AS54" s="569"/>
      <c r="AT54" s="569"/>
      <c r="AU54" s="569"/>
      <c r="AV54" s="785"/>
      <c r="AW54" s="785"/>
      <c r="AX54" s="785"/>
      <c r="AY54" s="794"/>
      <c r="AZ54" s="569"/>
      <c r="BA54" s="569"/>
      <c r="BB54" s="569"/>
      <c r="BC54" s="569"/>
      <c r="BD54" s="785"/>
      <c r="BE54" s="785"/>
      <c r="BF54" s="785"/>
      <c r="BG54" s="794"/>
      <c r="BH54" s="569"/>
      <c r="BI54" s="569"/>
      <c r="BJ54" s="569"/>
      <c r="BK54" s="785"/>
      <c r="BL54" s="785"/>
      <c r="BM54" s="569"/>
      <c r="BN54" s="569"/>
      <c r="BO54" s="569"/>
      <c r="BP54" s="569"/>
      <c r="BQ54" s="569"/>
      <c r="BR54" s="785"/>
      <c r="BS54" s="785"/>
      <c r="BT54" s="569"/>
      <c r="BU54" s="569"/>
      <c r="BV54" s="569"/>
      <c r="BW54" s="569"/>
      <c r="BX54" s="569"/>
      <c r="BY54" s="785"/>
      <c r="BZ54" s="785"/>
      <c r="CA54" s="569"/>
      <c r="CB54" s="569"/>
      <c r="CC54" s="569"/>
      <c r="CD54" s="569"/>
      <c r="CE54" s="569"/>
      <c r="CF54" s="785"/>
      <c r="CG54" s="785"/>
      <c r="CH54" s="569"/>
      <c r="CI54" s="569"/>
      <c r="CJ54" s="569"/>
      <c r="CK54" s="569"/>
      <c r="CL54" s="569"/>
      <c r="CM54" s="785"/>
      <c r="CN54" s="785"/>
      <c r="CO54" s="569"/>
      <c r="CP54" s="569"/>
      <c r="CQ54" s="569"/>
      <c r="CR54" s="569"/>
      <c r="CS54" s="569"/>
      <c r="CT54" s="784"/>
      <c r="CU54" s="784"/>
      <c r="CV54" s="569"/>
      <c r="CW54" s="569"/>
      <c r="CX54" s="569"/>
      <c r="CY54" s="569"/>
      <c r="CZ54" s="569"/>
      <c r="DA54" s="784"/>
      <c r="DB54" s="784"/>
      <c r="DC54" s="569"/>
      <c r="DD54" s="840"/>
      <c r="DE54" s="847"/>
      <c r="DF54" s="569"/>
      <c r="DG54" s="569"/>
      <c r="DH54" s="785"/>
      <c r="DI54" s="785"/>
      <c r="DJ54" s="569"/>
      <c r="DK54" s="569"/>
      <c r="DL54" s="569"/>
      <c r="DM54" s="569"/>
      <c r="DN54" s="569"/>
      <c r="DO54" s="785"/>
      <c r="DP54" s="785"/>
      <c r="DQ54" s="569"/>
      <c r="DR54" s="569"/>
      <c r="DS54" s="569"/>
      <c r="DT54" s="569"/>
      <c r="DU54" s="569"/>
      <c r="DV54" s="785"/>
      <c r="DW54" s="785"/>
      <c r="DX54" s="569"/>
      <c r="DY54" s="569"/>
      <c r="DZ54" s="569"/>
      <c r="EA54" s="569"/>
      <c r="EB54" s="569"/>
      <c r="EC54" s="785"/>
      <c r="ED54" s="785"/>
      <c r="EE54" s="569"/>
      <c r="EF54" s="569"/>
      <c r="EG54" s="569"/>
      <c r="EH54" s="569"/>
      <c r="EI54" s="569"/>
      <c r="EJ54" s="785"/>
      <c r="EK54" s="785"/>
      <c r="EL54" s="569"/>
      <c r="EM54" s="569"/>
      <c r="EN54" s="569"/>
      <c r="EO54" s="569"/>
      <c r="EP54" s="569"/>
      <c r="EQ54" s="785"/>
      <c r="ER54" s="785"/>
      <c r="ES54" s="569"/>
      <c r="ET54" s="569"/>
      <c r="EU54" s="569"/>
      <c r="EV54" s="569"/>
      <c r="EW54" s="569"/>
      <c r="EX54" s="785"/>
      <c r="EY54" s="785"/>
      <c r="EZ54" s="569"/>
      <c r="FA54" s="569"/>
      <c r="FB54" s="569"/>
      <c r="FC54" s="569"/>
      <c r="FD54" s="569"/>
      <c r="FE54" s="785"/>
      <c r="FF54" s="785"/>
      <c r="FH54"/>
      <c r="FI54"/>
      <c r="FO54"/>
      <c r="FP54"/>
      <c r="FV54"/>
      <c r="FW54"/>
      <c r="FZ54"/>
      <c r="GC54"/>
      <c r="GD54"/>
      <c r="GJ54"/>
      <c r="GK54"/>
      <c r="GQ54"/>
      <c r="GR54"/>
      <c r="GX54"/>
      <c r="GY54"/>
    </row>
    <row r="55" spans="1:207" x14ac:dyDescent="0.25">
      <c r="A55" s="764" t="s">
        <v>391</v>
      </c>
      <c r="B55" s="569"/>
      <c r="C55" s="569"/>
      <c r="D55" s="569"/>
      <c r="E55" s="569"/>
      <c r="F55" s="569"/>
      <c r="G55" s="783"/>
      <c r="H55" s="783"/>
      <c r="I55" s="773"/>
      <c r="J55" s="773"/>
      <c r="K55" s="773"/>
      <c r="L55" s="773"/>
      <c r="M55" s="773"/>
      <c r="N55" s="783"/>
      <c r="O55" s="783"/>
      <c r="P55" s="773"/>
      <c r="Q55" s="773"/>
      <c r="R55" s="793"/>
      <c r="S55" s="793"/>
      <c r="T55" s="793"/>
      <c r="U55" s="783"/>
      <c r="V55" s="783"/>
      <c r="W55" s="773"/>
      <c r="X55" s="773"/>
      <c r="Y55" s="773"/>
      <c r="Z55" s="794" t="s">
        <v>126</v>
      </c>
      <c r="AA55" s="794"/>
      <c r="AB55" s="783"/>
      <c r="AC55" s="783"/>
      <c r="AD55" s="795" t="s">
        <v>387</v>
      </c>
      <c r="AE55" s="795"/>
      <c r="AF55" s="795"/>
      <c r="AG55" s="795"/>
      <c r="AH55" s="796"/>
      <c r="AI55" s="785"/>
      <c r="AJ55" s="785"/>
      <c r="AK55" s="773"/>
      <c r="AL55" s="544"/>
      <c r="AM55" s="544"/>
      <c r="AN55" s="544"/>
      <c r="AO55" s="544"/>
      <c r="AP55" s="783"/>
      <c r="AQ55" s="783"/>
      <c r="AR55" s="793"/>
      <c r="AS55" s="793"/>
      <c r="AT55" s="774"/>
      <c r="AU55" s="544"/>
      <c r="AV55" s="785"/>
      <c r="AW55" s="785"/>
      <c r="AX55" s="785"/>
      <c r="AY55" s="774"/>
      <c r="AZ55" s="544"/>
      <c r="BA55" s="544"/>
      <c r="BB55" s="544"/>
      <c r="BC55" s="544"/>
      <c r="BD55" s="785"/>
      <c r="BE55" s="785"/>
      <c r="BF55" s="785"/>
      <c r="BG55" s="773"/>
      <c r="BH55" s="773"/>
      <c r="BI55" s="773"/>
      <c r="BJ55" s="773"/>
      <c r="BK55" s="785"/>
      <c r="BL55" s="785"/>
      <c r="BM55" s="773"/>
      <c r="BN55" s="569"/>
      <c r="BO55" s="569"/>
      <c r="BP55" s="569"/>
      <c r="BQ55" s="569"/>
      <c r="BR55" s="785"/>
      <c r="BS55" s="785"/>
      <c r="BT55" s="569"/>
      <c r="BU55" s="569"/>
      <c r="BV55" s="569"/>
      <c r="BW55" s="569"/>
      <c r="BX55" s="569"/>
      <c r="BY55" s="785"/>
      <c r="BZ55" s="785"/>
      <c r="CA55" s="569"/>
      <c r="CB55" s="569"/>
      <c r="CC55" s="569"/>
      <c r="CD55" s="569"/>
      <c r="CE55" s="569"/>
      <c r="CF55" s="785"/>
      <c r="CG55" s="785"/>
      <c r="CH55" s="569"/>
      <c r="CI55" s="569"/>
      <c r="CJ55" s="569"/>
      <c r="CK55" s="569"/>
      <c r="CL55" s="569"/>
      <c r="CM55" s="785"/>
      <c r="CN55" s="785"/>
      <c r="CO55" s="569"/>
      <c r="CP55" s="569"/>
      <c r="CQ55" s="569"/>
      <c r="CR55" s="569"/>
      <c r="CS55" s="569"/>
      <c r="CT55" s="784"/>
      <c r="CU55" s="784"/>
      <c r="CV55" s="569"/>
      <c r="CW55" s="569"/>
      <c r="CX55" s="569"/>
      <c r="CY55" s="569"/>
      <c r="CZ55" s="569"/>
      <c r="DA55" s="784"/>
      <c r="DB55" s="784"/>
      <c r="DC55" s="569"/>
      <c r="DD55" s="840"/>
      <c r="DE55" s="847"/>
      <c r="DF55" s="569"/>
      <c r="DG55" s="569"/>
      <c r="DH55" s="785"/>
      <c r="DI55" s="785"/>
      <c r="DJ55" s="569"/>
      <c r="DK55" s="569"/>
      <c r="DL55" s="569"/>
      <c r="DM55" s="569"/>
      <c r="DN55" s="569"/>
      <c r="DO55" s="785"/>
      <c r="DP55" s="785"/>
      <c r="DQ55" s="569"/>
      <c r="DR55" s="569"/>
      <c r="DS55" s="569"/>
      <c r="DT55" s="569"/>
      <c r="DU55" s="569"/>
      <c r="DV55" s="785"/>
      <c r="DW55" s="785"/>
      <c r="DX55" s="569"/>
      <c r="DY55" s="569"/>
      <c r="DZ55" s="569"/>
      <c r="EA55" s="569"/>
      <c r="EB55" s="569"/>
      <c r="EC55" s="785"/>
      <c r="ED55" s="785"/>
      <c r="EE55" s="569"/>
      <c r="EF55" s="569"/>
      <c r="EG55" s="569"/>
      <c r="EH55" s="569"/>
      <c r="EI55" s="569"/>
      <c r="EJ55" s="785"/>
      <c r="EK55" s="785"/>
      <c r="EL55" s="569"/>
      <c r="EM55" s="569"/>
      <c r="EN55" s="569"/>
      <c r="EO55" s="569"/>
      <c r="EP55" s="569"/>
      <c r="EQ55" s="785"/>
      <c r="ER55" s="785"/>
      <c r="ES55" s="569"/>
      <c r="ET55" s="569"/>
      <c r="EU55" s="569"/>
      <c r="EV55" s="569"/>
      <c r="EW55" s="569"/>
      <c r="EX55" s="785"/>
      <c r="EY55" s="785"/>
      <c r="EZ55" s="569"/>
      <c r="FA55" s="569"/>
      <c r="FB55" s="569"/>
      <c r="FC55" s="569"/>
      <c r="FD55" s="569"/>
      <c r="FE55" s="785"/>
      <c r="FF55" s="785"/>
      <c r="FH55"/>
      <c r="FI55"/>
      <c r="FO55"/>
      <c r="FP55"/>
      <c r="FV55"/>
      <c r="FW55"/>
      <c r="FZ55"/>
      <c r="GC55"/>
      <c r="GD55"/>
      <c r="GJ55"/>
      <c r="GK55"/>
      <c r="GQ55"/>
      <c r="GR55"/>
      <c r="GX55"/>
      <c r="GY55"/>
    </row>
    <row r="56" spans="1:207" ht="56.25" x14ac:dyDescent="0.25">
      <c r="A56" s="764" t="s">
        <v>594</v>
      </c>
      <c r="B56" s="797" t="s">
        <v>389</v>
      </c>
      <c r="C56" s="797"/>
      <c r="D56" s="797"/>
      <c r="E56" s="797"/>
      <c r="F56" s="797"/>
      <c r="G56" s="798"/>
      <c r="H56" s="798"/>
      <c r="I56" s="799" t="s">
        <v>389</v>
      </c>
      <c r="J56" s="799"/>
      <c r="K56" s="799"/>
      <c r="L56" s="799"/>
      <c r="M56" s="799"/>
      <c r="N56" s="798"/>
      <c r="O56" s="798"/>
      <c r="P56" s="799"/>
      <c r="Q56" s="799" t="s">
        <v>390</v>
      </c>
      <c r="R56" s="799"/>
      <c r="S56" s="799"/>
      <c r="T56" s="799"/>
      <c r="U56" s="798"/>
      <c r="V56" s="798"/>
      <c r="W56" s="799" t="s">
        <v>390</v>
      </c>
      <c r="X56" s="799" t="s">
        <v>389</v>
      </c>
      <c r="Y56" s="799" t="s">
        <v>469</v>
      </c>
      <c r="Z56" s="799" t="s">
        <v>389</v>
      </c>
      <c r="AA56" s="799" t="s">
        <v>390</v>
      </c>
      <c r="AB56" s="798"/>
      <c r="AC56" s="798"/>
      <c r="AD56" s="800" t="s">
        <v>473</v>
      </c>
      <c r="AE56" s="801" t="s">
        <v>474</v>
      </c>
      <c r="AF56" s="800" t="s">
        <v>526</v>
      </c>
      <c r="AG56" s="801" t="s">
        <v>389</v>
      </c>
      <c r="AH56" s="802"/>
      <c r="AI56" s="803"/>
      <c r="AJ56" s="803"/>
      <c r="AK56" s="804" t="s">
        <v>542</v>
      </c>
      <c r="AL56" s="801" t="s">
        <v>390</v>
      </c>
      <c r="AM56" s="801"/>
      <c r="AN56" s="801"/>
      <c r="AO56" s="801" t="s">
        <v>474</v>
      </c>
      <c r="AP56" s="805"/>
      <c r="AQ56" s="805"/>
      <c r="AR56" s="801" t="s">
        <v>390</v>
      </c>
      <c r="AS56" s="800" t="s">
        <v>526</v>
      </c>
      <c r="AT56" s="800"/>
      <c r="AU56" s="800"/>
      <c r="AV56" s="785"/>
      <c r="AW56" s="785"/>
      <c r="AX56" s="803"/>
      <c r="AY56" s="806" t="s">
        <v>387</v>
      </c>
      <c r="AZ56" s="807"/>
      <c r="BA56" s="807"/>
      <c r="BB56" s="807"/>
      <c r="BC56" s="807"/>
      <c r="BD56" s="803"/>
      <c r="BE56" s="803"/>
      <c r="BF56" s="803"/>
      <c r="BG56" s="808" t="s">
        <v>553</v>
      </c>
      <c r="BH56" s="808"/>
      <c r="BI56" s="809" t="s">
        <v>560</v>
      </c>
      <c r="BJ56" s="809"/>
      <c r="BK56" s="805"/>
      <c r="BL56" s="805"/>
      <c r="BM56" s="809" t="s">
        <v>388</v>
      </c>
      <c r="BN56" s="809"/>
      <c r="BO56" s="810"/>
      <c r="BP56" s="810"/>
      <c r="BQ56" s="810"/>
      <c r="BR56" s="805"/>
      <c r="BS56" s="805"/>
      <c r="BT56" s="809" t="s">
        <v>388</v>
      </c>
      <c r="BU56" s="809"/>
      <c r="BV56" s="810"/>
      <c r="BW56" s="810"/>
      <c r="BX56" s="569"/>
      <c r="BY56" s="785"/>
      <c r="BZ56" s="785"/>
      <c r="CA56" s="569"/>
      <c r="CB56" s="569"/>
      <c r="CC56" s="569"/>
      <c r="CD56" s="569"/>
      <c r="CE56" s="569"/>
      <c r="CF56" s="785"/>
      <c r="CG56" s="785"/>
      <c r="CH56" s="569"/>
      <c r="CI56" s="569"/>
      <c r="CJ56" s="569"/>
      <c r="CK56" s="569"/>
      <c r="CL56" s="569"/>
      <c r="CM56" s="785"/>
      <c r="CN56" s="785"/>
      <c r="CO56" s="569"/>
      <c r="CP56" s="569"/>
      <c r="CQ56" s="569"/>
      <c r="CR56" s="569"/>
      <c r="CS56" s="569"/>
      <c r="CT56" s="784"/>
      <c r="CU56" s="784"/>
      <c r="CV56" s="569"/>
      <c r="CW56" s="569"/>
      <c r="CX56" s="569"/>
      <c r="CY56" s="569"/>
      <c r="CZ56" s="569"/>
      <c r="DA56" s="784"/>
      <c r="DB56" s="784"/>
      <c r="DC56" s="569"/>
      <c r="DD56" s="840"/>
      <c r="DE56" s="847"/>
      <c r="DF56" s="569"/>
      <c r="DG56" s="569"/>
      <c r="DH56" s="785"/>
      <c r="DI56" s="785"/>
      <c r="DJ56" s="569"/>
      <c r="DK56" s="569"/>
      <c r="DL56" s="569"/>
      <c r="DM56" s="569"/>
      <c r="DN56" s="569"/>
      <c r="DO56" s="785"/>
      <c r="DP56" s="785"/>
      <c r="DQ56" s="569"/>
      <c r="DR56" s="569"/>
      <c r="DS56" s="569"/>
      <c r="DT56" s="569"/>
      <c r="DU56" s="569"/>
      <c r="DV56" s="785"/>
      <c r="DW56" s="785"/>
      <c r="DX56" s="569"/>
      <c r="DY56" s="569"/>
      <c r="DZ56" s="569"/>
      <c r="EA56" s="569"/>
      <c r="EB56" s="569"/>
      <c r="EC56" s="785"/>
      <c r="ED56" s="785"/>
      <c r="EE56" s="569"/>
      <c r="EF56" s="569"/>
      <c r="EG56" s="569"/>
      <c r="EH56" s="569"/>
      <c r="EI56" s="569"/>
      <c r="EJ56" s="785"/>
      <c r="EK56" s="785"/>
      <c r="EL56" s="569"/>
      <c r="EM56" s="569"/>
      <c r="EN56" s="569"/>
      <c r="EO56" s="569"/>
      <c r="EP56" s="569"/>
      <c r="EQ56" s="785"/>
      <c r="ER56" s="785"/>
      <c r="ES56" s="569"/>
      <c r="ET56" s="569"/>
      <c r="EU56" s="569"/>
      <c r="EV56" s="569"/>
      <c r="EW56" s="569"/>
      <c r="EX56" s="785"/>
      <c r="EY56" s="785"/>
      <c r="EZ56" s="569"/>
      <c r="FA56" s="569"/>
      <c r="FB56" s="569"/>
      <c r="FC56" s="569"/>
      <c r="FD56" s="569"/>
      <c r="FE56" s="785"/>
      <c r="FF56" s="785"/>
      <c r="FH56"/>
      <c r="FI56"/>
      <c r="FO56"/>
      <c r="FP56"/>
      <c r="FV56"/>
      <c r="FW56"/>
      <c r="FZ56"/>
      <c r="GC56"/>
      <c r="GD56"/>
      <c r="GJ56"/>
      <c r="GK56"/>
      <c r="GQ56"/>
      <c r="GR56"/>
      <c r="GX56"/>
      <c r="GY56"/>
    </row>
    <row r="57" spans="1:207" x14ac:dyDescent="0.25">
      <c r="A57" s="764" t="s">
        <v>593</v>
      </c>
      <c r="B57" s="569"/>
      <c r="C57" s="569"/>
      <c r="D57" s="569"/>
      <c r="E57" s="569"/>
      <c r="F57" s="569"/>
      <c r="G57" s="785"/>
      <c r="H57" s="785"/>
      <c r="I57" s="811" t="s">
        <v>389</v>
      </c>
      <c r="J57" s="811"/>
      <c r="K57" s="811"/>
      <c r="L57" s="811"/>
      <c r="M57" s="811"/>
      <c r="N57" s="785"/>
      <c r="O57" s="785"/>
      <c r="P57" s="811" t="s">
        <v>389</v>
      </c>
      <c r="Q57" s="811"/>
      <c r="R57" s="811"/>
      <c r="S57" s="811"/>
      <c r="T57" s="811"/>
      <c r="U57" s="785"/>
      <c r="V57" s="785"/>
      <c r="W57" s="811" t="s">
        <v>389</v>
      </c>
      <c r="X57" s="811"/>
      <c r="Y57" s="811"/>
      <c r="Z57" s="811"/>
      <c r="AA57" s="811"/>
      <c r="AB57" s="785"/>
      <c r="AC57" s="785"/>
      <c r="AD57" s="811" t="s">
        <v>389</v>
      </c>
      <c r="AE57" s="811"/>
      <c r="AF57" s="811"/>
      <c r="AG57" s="811"/>
      <c r="AH57" s="811"/>
      <c r="AI57" s="785"/>
      <c r="AJ57" s="785"/>
      <c r="AK57" s="811" t="s">
        <v>389</v>
      </c>
      <c r="AL57" s="811"/>
      <c r="AM57" s="811"/>
      <c r="AN57" s="811"/>
      <c r="AO57" s="811"/>
      <c r="AP57" s="783"/>
      <c r="AQ57" s="783"/>
      <c r="AR57" s="811" t="s">
        <v>389</v>
      </c>
      <c r="AS57" s="811"/>
      <c r="AT57" s="811"/>
      <c r="AU57" s="811"/>
      <c r="AV57" s="785"/>
      <c r="AW57" s="785"/>
      <c r="AX57" s="785"/>
      <c r="AY57" s="811" t="s">
        <v>389</v>
      </c>
      <c r="AZ57" s="811"/>
      <c r="BA57" s="811"/>
      <c r="BB57" s="811"/>
      <c r="BC57" s="811"/>
      <c r="BD57" s="785"/>
      <c r="BE57" s="785"/>
      <c r="BF57" s="785"/>
      <c r="BG57" s="812" t="s">
        <v>595</v>
      </c>
      <c r="BH57" s="811"/>
      <c r="BI57" s="811"/>
      <c r="BJ57" s="811"/>
      <c r="BK57" s="783"/>
      <c r="BL57" s="783"/>
      <c r="BM57" s="812" t="s">
        <v>595</v>
      </c>
      <c r="BN57" s="811"/>
      <c r="BO57" s="811"/>
      <c r="BP57" s="811"/>
      <c r="BQ57" s="794"/>
      <c r="BR57" s="783"/>
      <c r="BS57" s="783"/>
      <c r="BT57" s="794"/>
      <c r="BU57" s="794"/>
      <c r="BV57" s="794"/>
      <c r="BW57" s="794"/>
      <c r="BX57" s="794"/>
      <c r="BY57" s="783"/>
      <c r="BZ57" s="783"/>
      <c r="CA57" s="794"/>
      <c r="CB57" s="569"/>
      <c r="CC57" s="569"/>
      <c r="CD57" s="569"/>
      <c r="CE57" s="569"/>
      <c r="CF57" s="785"/>
      <c r="CG57" s="785"/>
      <c r="CH57" s="569"/>
      <c r="CI57" s="851" t="s">
        <v>595</v>
      </c>
      <c r="CJ57" s="811"/>
      <c r="CK57" s="811"/>
      <c r="CL57" s="569"/>
      <c r="CM57" s="785"/>
      <c r="CN57" s="785"/>
      <c r="CO57" s="851" t="s">
        <v>595</v>
      </c>
      <c r="CP57" s="811"/>
      <c r="CQ57" s="811"/>
      <c r="CR57" s="569"/>
      <c r="CS57" s="569"/>
      <c r="CT57" s="784"/>
      <c r="CU57" s="784"/>
      <c r="CV57" s="851" t="s">
        <v>595</v>
      </c>
      <c r="CW57" s="811"/>
      <c r="CX57" s="811"/>
      <c r="CY57" s="569"/>
      <c r="CZ57" s="569"/>
      <c r="DA57" s="784"/>
      <c r="DB57" s="784"/>
      <c r="DC57" s="569"/>
      <c r="DD57" s="840"/>
      <c r="DE57" s="847"/>
      <c r="DF57" s="569"/>
      <c r="DG57" s="569"/>
      <c r="DH57" s="785"/>
      <c r="DI57" s="785"/>
      <c r="DJ57" s="569"/>
      <c r="DK57" s="569"/>
      <c r="DL57" s="569"/>
      <c r="DM57" s="569"/>
      <c r="DN57" s="569"/>
      <c r="DO57" s="785"/>
      <c r="DP57" s="785"/>
      <c r="DQ57" s="569"/>
      <c r="DR57" s="569"/>
      <c r="DS57" s="569"/>
      <c r="DT57" s="569"/>
      <c r="DU57" s="569"/>
      <c r="DV57" s="785"/>
      <c r="DW57" s="785"/>
      <c r="DX57" s="569"/>
      <c r="DY57" s="569"/>
      <c r="DZ57" s="569"/>
      <c r="EA57" s="569"/>
      <c r="EB57" s="569"/>
      <c r="EC57" s="785"/>
      <c r="ED57" s="785"/>
      <c r="EE57" s="569"/>
      <c r="EF57" s="569"/>
      <c r="EG57" s="569"/>
      <c r="EH57" s="569"/>
      <c r="EI57" s="569"/>
      <c r="EJ57" s="785"/>
      <c r="EK57" s="785"/>
      <c r="EL57" s="569"/>
      <c r="EM57" s="569"/>
      <c r="EN57" s="569"/>
      <c r="EO57" s="569"/>
      <c r="EP57" s="569"/>
      <c r="EQ57" s="785"/>
      <c r="ER57" s="785"/>
      <c r="ES57" s="569"/>
      <c r="ET57" s="569"/>
      <c r="EU57" s="569"/>
      <c r="EV57" s="569"/>
      <c r="EW57" s="569"/>
      <c r="EX57" s="785"/>
      <c r="EY57" s="785"/>
      <c r="EZ57" s="569"/>
      <c r="FA57" s="569"/>
      <c r="FB57" s="569"/>
      <c r="FC57" s="569"/>
      <c r="FD57" s="569"/>
      <c r="FE57" s="785"/>
      <c r="FF57" s="785"/>
      <c r="FH57"/>
      <c r="FI57"/>
      <c r="FO57"/>
      <c r="FP57"/>
      <c r="FV57"/>
      <c r="FW57"/>
      <c r="FZ57"/>
      <c r="GC57"/>
      <c r="GD57"/>
      <c r="GJ57"/>
      <c r="GK57"/>
      <c r="GQ57"/>
      <c r="GR57"/>
      <c r="GX57"/>
      <c r="GY57"/>
    </row>
    <row r="58" spans="1:207" x14ac:dyDescent="0.25">
      <c r="A58" s="768" t="s">
        <v>592</v>
      </c>
      <c r="B58" s="569"/>
      <c r="C58" s="569"/>
      <c r="D58" s="569"/>
      <c r="E58" s="569"/>
      <c r="F58" s="569"/>
      <c r="G58" s="785"/>
      <c r="H58" s="785"/>
      <c r="I58" s="569"/>
      <c r="J58" s="569"/>
      <c r="K58" s="569"/>
      <c r="L58" s="569"/>
      <c r="M58" s="569"/>
      <c r="N58" s="803"/>
      <c r="O58" s="803"/>
      <c r="P58" s="569"/>
      <c r="Q58" s="569"/>
      <c r="R58" s="569"/>
      <c r="S58" s="569"/>
      <c r="T58" s="569"/>
      <c r="U58" s="803"/>
      <c r="V58" s="803"/>
      <c r="W58" s="769"/>
      <c r="X58" s="769"/>
      <c r="Y58" s="769"/>
      <c r="Z58" s="769"/>
      <c r="AA58" s="769"/>
      <c r="AB58" s="785"/>
      <c r="AC58" s="785"/>
      <c r="AD58" s="769"/>
      <c r="AE58" s="769"/>
      <c r="AF58" s="769"/>
      <c r="AG58" s="769"/>
      <c r="AH58" s="769"/>
      <c r="AI58" s="785"/>
      <c r="AJ58" s="785"/>
      <c r="AK58" s="769"/>
      <c r="AL58" s="769"/>
      <c r="AM58" s="769"/>
      <c r="AN58" s="769"/>
      <c r="AO58" s="769"/>
      <c r="AP58" s="783"/>
      <c r="AQ58" s="783"/>
      <c r="AR58" s="769"/>
      <c r="AS58" s="769"/>
      <c r="AT58" s="769"/>
      <c r="AU58" s="769"/>
      <c r="AV58" s="785"/>
      <c r="AW58" s="785"/>
      <c r="AX58" s="785"/>
      <c r="AY58" s="806" t="s">
        <v>387</v>
      </c>
      <c r="AZ58" s="807"/>
      <c r="BA58" s="807"/>
      <c r="BB58" s="807"/>
      <c r="BC58" s="807"/>
      <c r="BD58" s="785"/>
      <c r="BE58" s="785"/>
      <c r="BF58" s="785"/>
      <c r="BG58" s="769"/>
      <c r="BH58" s="769"/>
      <c r="BI58" s="769"/>
      <c r="BJ58" s="769"/>
      <c r="BK58" s="783"/>
      <c r="BL58" s="783"/>
      <c r="BM58" s="769"/>
      <c r="BN58" s="769"/>
      <c r="BO58" s="769"/>
      <c r="BP58" s="794"/>
      <c r="BQ58" s="794"/>
      <c r="BR58" s="783"/>
      <c r="BS58" s="783"/>
      <c r="BT58" s="794"/>
      <c r="BU58" s="794"/>
      <c r="BV58" s="794"/>
      <c r="BW58" s="794"/>
      <c r="BX58" s="794"/>
      <c r="BY58" s="805"/>
      <c r="BZ58" s="805"/>
      <c r="CA58" s="806" t="s">
        <v>387</v>
      </c>
      <c r="CB58" s="807"/>
      <c r="CC58" s="807"/>
      <c r="CD58" s="807"/>
      <c r="CE58" s="807"/>
      <c r="CF58" s="803"/>
      <c r="CG58" s="803"/>
      <c r="CH58" s="813"/>
      <c r="CI58" s="852" t="s">
        <v>595</v>
      </c>
      <c r="CJ58" s="769"/>
      <c r="CK58" s="769"/>
      <c r="CL58" s="813"/>
      <c r="CM58" s="803"/>
      <c r="CN58" s="803"/>
      <c r="CO58" s="852" t="s">
        <v>595</v>
      </c>
      <c r="CP58" s="769"/>
      <c r="CQ58" s="769"/>
      <c r="CR58" s="813"/>
      <c r="CS58" s="813"/>
      <c r="CT58" s="814"/>
      <c r="CU58" s="814"/>
      <c r="CV58" s="852" t="s">
        <v>595</v>
      </c>
      <c r="CW58" s="769"/>
      <c r="CX58" s="769"/>
      <c r="CY58" s="813"/>
      <c r="CZ58" s="813"/>
      <c r="DA58" s="814"/>
      <c r="DB58" s="814"/>
      <c r="DC58" s="813"/>
      <c r="DD58" s="842"/>
      <c r="DE58" s="847"/>
      <c r="DF58" s="569"/>
      <c r="DG58" s="569"/>
      <c r="DH58" s="785"/>
      <c r="DI58" s="785"/>
      <c r="DJ58" s="569"/>
      <c r="DK58" s="569"/>
      <c r="DL58" s="569"/>
      <c r="DM58" s="569"/>
      <c r="DN58" s="569"/>
      <c r="DO58" s="785"/>
      <c r="DP58" s="785"/>
      <c r="DQ58" s="569"/>
      <c r="DR58" s="569"/>
      <c r="DS58" s="569"/>
      <c r="DT58" s="569"/>
      <c r="DU58" s="569"/>
      <c r="DV58" s="785"/>
      <c r="DW58" s="785"/>
      <c r="DX58" s="569"/>
      <c r="DY58" s="569"/>
      <c r="DZ58" s="569"/>
      <c r="EA58" s="569"/>
      <c r="EB58" s="569"/>
      <c r="EC58" s="785"/>
      <c r="ED58" s="785"/>
      <c r="EE58" s="569"/>
      <c r="EF58" s="569"/>
      <c r="EG58" s="569"/>
      <c r="EH58" s="569"/>
      <c r="EI58" s="569"/>
      <c r="EJ58" s="785"/>
      <c r="EK58" s="785"/>
      <c r="EL58" s="569"/>
      <c r="EM58" s="569"/>
      <c r="EN58" s="569"/>
      <c r="EO58" s="569"/>
      <c r="EP58" s="569"/>
      <c r="EQ58" s="785"/>
      <c r="ER58" s="785"/>
      <c r="ES58" s="569"/>
      <c r="ET58" s="569"/>
      <c r="EU58" s="569"/>
      <c r="EV58" s="569"/>
      <c r="EW58" s="569"/>
      <c r="EX58" s="785"/>
      <c r="EY58" s="785"/>
      <c r="EZ58" s="569"/>
      <c r="FA58" s="569"/>
      <c r="FB58" s="569"/>
      <c r="FC58" s="569"/>
      <c r="FD58" s="569"/>
      <c r="FE58" s="785"/>
      <c r="FF58" s="785"/>
      <c r="FH58"/>
      <c r="FI58"/>
      <c r="FO58"/>
      <c r="FP58"/>
      <c r="FV58"/>
      <c r="FW58"/>
      <c r="FZ58"/>
      <c r="GC58"/>
      <c r="GD58"/>
      <c r="GJ58"/>
      <c r="GK58"/>
      <c r="GQ58"/>
      <c r="GR58"/>
      <c r="GX58"/>
      <c r="GY58"/>
    </row>
    <row r="59" spans="1:207" ht="18.75" x14ac:dyDescent="0.3">
      <c r="A59" s="768" t="s">
        <v>124</v>
      </c>
      <c r="B59" s="569"/>
      <c r="C59" s="569"/>
      <c r="D59" s="569"/>
      <c r="E59" s="569"/>
      <c r="F59" s="569"/>
      <c r="G59" s="785"/>
      <c r="H59" s="785"/>
      <c r="I59" s="569"/>
      <c r="J59" s="569"/>
      <c r="K59" s="569"/>
      <c r="L59" s="569"/>
      <c r="M59" s="569"/>
      <c r="N59" s="785"/>
      <c r="O59" s="785"/>
      <c r="P59" s="569"/>
      <c r="Q59" s="569"/>
      <c r="R59" s="771"/>
      <c r="S59" s="771"/>
      <c r="T59" s="771"/>
      <c r="U59" s="785"/>
      <c r="V59" s="785"/>
      <c r="W59" s="771"/>
      <c r="X59" s="771"/>
      <c r="Y59" s="771"/>
      <c r="Z59" s="771"/>
      <c r="AA59" s="771"/>
      <c r="AB59" s="785"/>
      <c r="AC59" s="785"/>
      <c r="AD59" s="771"/>
      <c r="AE59" s="771"/>
      <c r="AF59" s="771"/>
      <c r="AG59" s="771"/>
      <c r="AH59" s="771"/>
      <c r="AI59" s="785"/>
      <c r="AJ59" s="785"/>
      <c r="AK59" s="772"/>
      <c r="AL59" s="772"/>
      <c r="AM59" s="772"/>
      <c r="AN59" s="815"/>
      <c r="AO59" s="772"/>
      <c r="AP59" s="783"/>
      <c r="AQ59" s="783"/>
      <c r="AR59" s="771"/>
      <c r="AS59" s="771"/>
      <c r="AT59" s="771"/>
      <c r="AU59" s="771"/>
      <c r="AV59" s="785"/>
      <c r="AW59" s="785"/>
      <c r="AX59" s="785"/>
      <c r="AY59" s="772"/>
      <c r="AZ59" s="772"/>
      <c r="BA59" s="772"/>
      <c r="BB59" s="772"/>
      <c r="BC59" s="772"/>
      <c r="BD59" s="785"/>
      <c r="BE59" s="785"/>
      <c r="BF59" s="785"/>
      <c r="BG59" s="772"/>
      <c r="BH59" s="771"/>
      <c r="BI59" s="771"/>
      <c r="BJ59" s="771"/>
      <c r="BK59" s="783"/>
      <c r="BL59" s="783"/>
      <c r="BM59" s="772"/>
      <c r="BN59" s="772"/>
      <c r="BO59" s="772"/>
      <c r="BP59" s="794"/>
      <c r="BQ59" s="794"/>
      <c r="BR59" s="783"/>
      <c r="BS59" s="783"/>
      <c r="BT59" s="794"/>
      <c r="BU59" s="794"/>
      <c r="BV59" s="794"/>
      <c r="BW59" s="794"/>
      <c r="BX59" s="794"/>
      <c r="BY59" s="783"/>
      <c r="BZ59" s="783"/>
      <c r="CA59" s="794"/>
      <c r="CB59" s="569"/>
      <c r="CC59" s="569"/>
      <c r="CD59" s="569"/>
      <c r="CE59" s="569"/>
      <c r="CF59" s="785"/>
      <c r="CG59" s="785"/>
      <c r="CH59" s="569"/>
      <c r="CI59" s="771"/>
      <c r="CJ59" s="771"/>
      <c r="CK59" s="771"/>
      <c r="CL59" s="771"/>
      <c r="CM59" s="785"/>
      <c r="CN59" s="785"/>
      <c r="CO59" s="771"/>
      <c r="CP59" s="771"/>
      <c r="CQ59" s="771"/>
      <c r="CR59" s="771"/>
      <c r="CS59" s="771"/>
      <c r="CT59" s="784"/>
      <c r="CU59" s="784"/>
      <c r="CV59" s="771"/>
      <c r="CW59" s="771"/>
      <c r="CX59" s="771"/>
      <c r="CY59" s="771"/>
      <c r="CZ59" s="771"/>
      <c r="DA59" s="784"/>
      <c r="DB59" s="784"/>
      <c r="DC59" s="771"/>
      <c r="DD59" s="843"/>
      <c r="DE59" s="849"/>
      <c r="DF59" s="771"/>
      <c r="DG59" s="771"/>
      <c r="DH59" s="785"/>
      <c r="DI59" s="785"/>
      <c r="DJ59" s="569"/>
      <c r="DK59" s="569"/>
      <c r="DL59" s="569"/>
      <c r="DM59" s="569"/>
      <c r="DN59" s="569"/>
      <c r="DO59" s="785"/>
      <c r="DP59" s="785"/>
      <c r="DQ59" s="569"/>
      <c r="DR59" s="569"/>
      <c r="DS59" s="569"/>
      <c r="DT59" s="569"/>
      <c r="DU59" s="569"/>
      <c r="DV59" s="785"/>
      <c r="DW59" s="785"/>
      <c r="DX59" s="569"/>
      <c r="DY59" s="569"/>
      <c r="DZ59" s="881" t="s">
        <v>600</v>
      </c>
      <c r="EA59" s="569"/>
      <c r="EB59" s="569"/>
      <c r="EC59" s="785"/>
      <c r="ED59" s="785"/>
      <c r="EE59" s="569"/>
      <c r="EF59" s="569"/>
      <c r="EG59" s="569"/>
      <c r="EH59" s="569"/>
      <c r="EI59" s="569"/>
      <c r="EJ59" s="785"/>
      <c r="EK59" s="785"/>
      <c r="EL59" s="569"/>
      <c r="EM59" s="569"/>
      <c r="EN59" s="569"/>
      <c r="EO59" s="569"/>
      <c r="EP59" s="569"/>
      <c r="EQ59" s="785"/>
      <c r="ER59" s="785"/>
      <c r="ES59" s="569"/>
      <c r="ET59" s="569"/>
      <c r="EU59" s="569"/>
      <c r="EV59" s="569"/>
      <c r="EW59" s="569"/>
      <c r="EX59" s="785"/>
      <c r="EY59" s="785"/>
      <c r="EZ59" s="569"/>
      <c r="FA59" s="569"/>
      <c r="FB59" s="569"/>
      <c r="FC59" s="569"/>
      <c r="FD59" s="569"/>
      <c r="FE59" s="785"/>
      <c r="FF59" s="785"/>
      <c r="FH59"/>
      <c r="FI59"/>
      <c r="FO59"/>
      <c r="FP59"/>
      <c r="FV59"/>
      <c r="FW59"/>
      <c r="FZ59"/>
      <c r="GC59"/>
      <c r="GD59"/>
      <c r="GJ59"/>
      <c r="GK59"/>
      <c r="GQ59"/>
      <c r="GR59"/>
      <c r="GX59"/>
      <c r="GY59"/>
    </row>
    <row r="60" spans="1:207" x14ac:dyDescent="0.25">
      <c r="A60" s="569"/>
      <c r="B60" s="569"/>
      <c r="C60" s="569"/>
      <c r="D60" s="569"/>
      <c r="E60" s="569"/>
      <c r="F60" s="569"/>
      <c r="G60" s="785"/>
      <c r="H60" s="785"/>
      <c r="I60" s="569"/>
      <c r="J60" s="569"/>
      <c r="K60" s="569"/>
      <c r="L60" s="569"/>
      <c r="M60" s="569"/>
      <c r="N60" s="785"/>
      <c r="O60" s="785"/>
      <c r="P60" s="569"/>
      <c r="Q60" s="569"/>
      <c r="R60" s="569"/>
      <c r="S60" s="569"/>
      <c r="T60" s="569"/>
      <c r="U60" s="785"/>
      <c r="V60" s="785"/>
      <c r="W60" s="569"/>
      <c r="X60" s="569"/>
      <c r="Y60" s="816"/>
      <c r="Z60" s="569"/>
      <c r="AA60" s="569"/>
      <c r="AB60" s="785"/>
      <c r="AC60" s="785"/>
      <c r="AD60" s="569"/>
      <c r="AE60" s="569"/>
      <c r="AF60" s="569"/>
      <c r="AG60" s="569"/>
      <c r="AH60" s="569" t="s">
        <v>126</v>
      </c>
      <c r="AI60" s="785"/>
      <c r="AJ60" s="785"/>
      <c r="AK60" s="794"/>
      <c r="AL60" s="794"/>
      <c r="AM60" s="794"/>
      <c r="AN60" s="794"/>
      <c r="AO60" s="794"/>
      <c r="AP60" s="783"/>
      <c r="AQ60" s="783"/>
      <c r="AR60" s="794"/>
      <c r="AS60" s="569"/>
      <c r="AT60" s="569"/>
      <c r="AU60" s="569"/>
      <c r="AV60" s="785"/>
      <c r="AW60" s="785"/>
      <c r="AX60" s="785"/>
      <c r="AY60" s="794"/>
      <c r="AZ60" s="794"/>
      <c r="BA60" s="794"/>
      <c r="BB60" s="794"/>
      <c r="BC60" s="794"/>
      <c r="BD60" s="785"/>
      <c r="BE60" s="785"/>
      <c r="BF60" s="785"/>
      <c r="BG60" s="817" t="s">
        <v>386</v>
      </c>
      <c r="BH60" s="569"/>
      <c r="BI60" s="569"/>
      <c r="BJ60" s="569"/>
      <c r="BK60" s="785"/>
      <c r="BL60" s="785"/>
      <c r="BM60" s="569"/>
      <c r="BN60" s="569"/>
      <c r="BO60" s="569"/>
      <c r="BP60" s="569"/>
      <c r="BQ60" s="569"/>
      <c r="BR60" s="785"/>
      <c r="BS60" s="785"/>
      <c r="BT60" s="569"/>
      <c r="BU60" s="569"/>
      <c r="BV60" s="569"/>
      <c r="BW60" s="569"/>
      <c r="BX60" s="569"/>
      <c r="BY60" s="783"/>
      <c r="BZ60" s="783"/>
      <c r="CA60" s="794"/>
      <c r="CB60" s="569"/>
      <c r="CC60" s="569"/>
      <c r="CD60" s="569"/>
      <c r="CE60" s="569"/>
      <c r="CF60" s="785"/>
      <c r="CG60" s="785"/>
      <c r="CH60" s="569"/>
      <c r="CI60" s="818" t="s">
        <v>457</v>
      </c>
      <c r="CJ60" s="569"/>
      <c r="CK60" s="569"/>
      <c r="CL60" s="569"/>
      <c r="CM60" s="785"/>
      <c r="CN60" s="785"/>
      <c r="CO60" s="569"/>
      <c r="CP60" s="569"/>
      <c r="CQ60" s="569"/>
      <c r="CR60" s="569"/>
      <c r="CS60" s="569"/>
      <c r="CT60" s="784"/>
      <c r="CU60" s="784"/>
      <c r="CV60" s="569"/>
      <c r="CW60" s="569"/>
      <c r="CX60" s="819" t="s">
        <v>459</v>
      </c>
      <c r="CY60" s="820"/>
      <c r="CZ60" s="820"/>
      <c r="DA60" s="821"/>
      <c r="DB60" s="821"/>
      <c r="DC60" s="820"/>
      <c r="DD60" s="844"/>
      <c r="DE60" s="847"/>
      <c r="DF60" s="569"/>
      <c r="DG60" s="569"/>
      <c r="DH60" s="785"/>
      <c r="DI60" s="785"/>
      <c r="DJ60" s="569"/>
      <c r="DK60" s="569"/>
      <c r="DL60" s="569"/>
      <c r="DM60" s="569"/>
      <c r="DN60" s="569"/>
      <c r="DO60" s="785"/>
      <c r="DP60" s="785"/>
      <c r="DQ60" s="569"/>
      <c r="DR60" s="569"/>
      <c r="DS60" s="569"/>
      <c r="DT60" s="569"/>
      <c r="DU60" s="569"/>
      <c r="DV60" s="785"/>
      <c r="DW60" s="785"/>
      <c r="DX60" s="569"/>
      <c r="DY60" s="569"/>
      <c r="DZ60" s="569"/>
      <c r="EA60" s="569"/>
      <c r="EB60" s="569"/>
      <c r="EC60" s="785"/>
      <c r="ED60" s="785"/>
      <c r="EE60" s="569"/>
      <c r="EF60" s="569"/>
      <c r="EG60" s="569"/>
      <c r="EH60" s="569"/>
      <c r="EI60" s="569"/>
      <c r="EJ60" s="785"/>
      <c r="EK60" s="785"/>
      <c r="EL60" s="569"/>
      <c r="EM60" s="569"/>
      <c r="EN60" s="569"/>
      <c r="EO60" s="569"/>
      <c r="EP60" s="569"/>
      <c r="EQ60" s="785"/>
      <c r="ER60" s="785"/>
      <c r="ES60" s="569"/>
      <c r="ET60" s="569"/>
      <c r="EU60" s="569"/>
      <c r="EV60" s="569"/>
      <c r="EW60" s="569"/>
      <c r="EX60" s="785"/>
      <c r="EY60" s="785"/>
      <c r="EZ60" s="569"/>
      <c r="FA60" s="569"/>
      <c r="FB60" s="569"/>
      <c r="FC60" s="569"/>
      <c r="FD60" s="569"/>
      <c r="FE60" s="785"/>
      <c r="FF60" s="785"/>
      <c r="FH60"/>
      <c r="FI60"/>
      <c r="FO60"/>
      <c r="FP60"/>
      <c r="FV60"/>
      <c r="FW60"/>
      <c r="FZ60"/>
      <c r="GC60"/>
      <c r="GD60"/>
      <c r="GJ60"/>
      <c r="GK60"/>
      <c r="GQ60"/>
      <c r="GR60"/>
      <c r="GX60"/>
      <c r="GY60"/>
    </row>
    <row r="61" spans="1:207" x14ac:dyDescent="0.25">
      <c r="A61" s="569"/>
      <c r="B61" s="569"/>
      <c r="C61" s="569"/>
      <c r="D61" s="569"/>
      <c r="E61" s="569"/>
      <c r="F61" s="569"/>
      <c r="G61" s="785"/>
      <c r="H61" s="785"/>
      <c r="I61" s="569"/>
      <c r="J61" s="569"/>
      <c r="K61" s="569"/>
      <c r="L61" s="569"/>
      <c r="M61" s="569"/>
      <c r="N61" s="785"/>
      <c r="O61" s="785"/>
      <c r="P61" s="569"/>
      <c r="Q61" s="569"/>
      <c r="R61" s="569"/>
      <c r="S61" s="569"/>
      <c r="T61" s="569"/>
      <c r="U61" s="785"/>
      <c r="V61" s="785"/>
      <c r="W61" s="569"/>
      <c r="X61" s="569"/>
      <c r="Y61" s="569"/>
      <c r="Z61" s="569"/>
      <c r="AA61" s="569"/>
      <c r="AB61" s="785"/>
      <c r="AC61" s="785"/>
      <c r="AD61" s="569"/>
      <c r="AE61" s="569"/>
      <c r="AF61" s="569"/>
      <c r="AG61" s="569"/>
      <c r="AH61" s="569"/>
      <c r="AI61" s="785"/>
      <c r="AJ61" s="785"/>
      <c r="AK61" s="569"/>
      <c r="AL61" s="569"/>
      <c r="AM61" s="569"/>
      <c r="AN61" s="569"/>
      <c r="AO61" s="569"/>
      <c r="AP61" s="785"/>
      <c r="AQ61" s="785"/>
      <c r="AR61" s="569"/>
      <c r="AS61" s="569"/>
      <c r="AT61" s="569"/>
      <c r="AU61" s="569"/>
      <c r="AV61" s="785"/>
      <c r="AW61" s="785"/>
      <c r="AX61" s="785"/>
      <c r="AY61" s="794"/>
      <c r="AZ61" s="569"/>
      <c r="BA61" s="569"/>
      <c r="BB61" s="569"/>
      <c r="BC61" s="569"/>
      <c r="BD61" s="785"/>
      <c r="BE61" s="785"/>
      <c r="BF61" s="785"/>
      <c r="BG61" s="794"/>
      <c r="BH61" s="569"/>
      <c r="BI61" s="569"/>
      <c r="BJ61" s="569"/>
      <c r="BK61" s="785"/>
      <c r="BL61" s="785"/>
      <c r="BM61" s="569"/>
      <c r="BN61" s="569"/>
      <c r="BO61" s="569"/>
      <c r="BP61" s="569"/>
      <c r="BQ61" s="569"/>
      <c r="BR61" s="785"/>
      <c r="BS61" s="785"/>
      <c r="BT61" s="569"/>
      <c r="BU61" s="569"/>
      <c r="BV61" s="569"/>
      <c r="BW61" s="794"/>
      <c r="BX61" s="794"/>
      <c r="BY61" s="783"/>
      <c r="BZ61" s="783"/>
      <c r="CA61" s="794"/>
      <c r="CB61" s="569"/>
      <c r="CC61" s="569"/>
      <c r="CD61" s="569"/>
      <c r="CE61" s="569"/>
      <c r="CF61" s="785"/>
      <c r="CG61" s="785"/>
      <c r="CH61" s="569"/>
      <c r="CI61" s="569"/>
      <c r="CJ61" s="569"/>
      <c r="CK61" s="569"/>
      <c r="CL61" s="569"/>
      <c r="CM61" s="785"/>
      <c r="CN61" s="785"/>
      <c r="CO61" s="569"/>
      <c r="CP61" s="569"/>
      <c r="CQ61" s="569"/>
      <c r="CR61" s="569"/>
      <c r="CS61" s="569"/>
      <c r="CT61" s="784"/>
      <c r="CU61" s="784"/>
      <c r="CV61" s="569"/>
      <c r="CW61" s="569"/>
      <c r="CX61" s="569"/>
      <c r="CY61" s="569"/>
      <c r="CZ61" s="569"/>
      <c r="DA61" s="784"/>
      <c r="DB61" s="784"/>
      <c r="DC61" s="569"/>
      <c r="DD61" s="840"/>
      <c r="DE61" s="847"/>
      <c r="DF61" s="569"/>
      <c r="DG61" s="569"/>
      <c r="DH61" s="785"/>
      <c r="DI61" s="785"/>
      <c r="DJ61" s="569"/>
      <c r="DK61" s="569"/>
      <c r="DL61" s="569"/>
      <c r="DM61" s="569"/>
      <c r="DN61" s="569"/>
      <c r="DO61" s="785"/>
      <c r="DP61" s="785"/>
      <c r="DQ61" s="569"/>
      <c r="DR61" s="569"/>
      <c r="DS61" s="569"/>
      <c r="DT61" s="569"/>
      <c r="DU61" s="569"/>
      <c r="DV61" s="785"/>
      <c r="DW61" s="785"/>
      <c r="DX61" s="569"/>
      <c r="DY61" s="569"/>
      <c r="DZ61" s="569"/>
      <c r="EA61" s="569"/>
      <c r="EB61" s="569"/>
      <c r="EC61" s="785"/>
      <c r="ED61" s="785"/>
      <c r="EE61" s="569"/>
      <c r="EF61" s="569"/>
      <c r="EG61" s="569"/>
      <c r="EH61" s="569"/>
      <c r="EI61" s="569"/>
      <c r="EJ61" s="785"/>
      <c r="EK61" s="785"/>
      <c r="EL61" s="569"/>
      <c r="EM61" s="569"/>
      <c r="EN61" s="569"/>
      <c r="EO61" s="569"/>
      <c r="EP61" s="569"/>
      <c r="EQ61" s="785"/>
      <c r="ER61" s="785"/>
      <c r="ES61" s="569"/>
      <c r="ET61" s="569"/>
      <c r="EU61" s="569"/>
      <c r="EV61" s="569"/>
      <c r="EW61" s="569"/>
      <c r="EX61" s="785"/>
      <c r="EY61" s="785"/>
      <c r="EZ61" s="569"/>
      <c r="FA61" s="569"/>
      <c r="FB61" s="569"/>
      <c r="FC61" s="569"/>
      <c r="FD61" s="569"/>
      <c r="FE61" s="785"/>
      <c r="FF61" s="785"/>
      <c r="FH61"/>
      <c r="FI61"/>
      <c r="FO61"/>
      <c r="FP61"/>
      <c r="FV61"/>
      <c r="FW61"/>
      <c r="FZ61"/>
      <c r="GC61"/>
      <c r="GD61"/>
      <c r="GJ61"/>
      <c r="GK61"/>
      <c r="GQ61"/>
      <c r="GR61"/>
      <c r="GX61"/>
      <c r="GY61"/>
    </row>
    <row r="62" spans="1:207" x14ac:dyDescent="0.25">
      <c r="A62" s="822" t="s">
        <v>442</v>
      </c>
      <c r="B62" s="790"/>
      <c r="C62" s="790"/>
      <c r="D62" s="790"/>
      <c r="E62" s="790"/>
      <c r="F62" s="790"/>
      <c r="G62" s="790"/>
      <c r="H62" s="790"/>
      <c r="I62" s="790"/>
      <c r="J62" s="790"/>
      <c r="K62" s="790"/>
      <c r="L62" s="790"/>
      <c r="M62" s="790"/>
      <c r="N62" s="790"/>
      <c r="O62" s="790"/>
      <c r="P62" s="790"/>
      <c r="Q62" s="790"/>
      <c r="R62" s="790"/>
      <c r="S62" s="790"/>
      <c r="T62" s="790"/>
      <c r="U62" s="790"/>
      <c r="V62" s="790"/>
      <c r="W62" s="790"/>
      <c r="X62" s="790"/>
      <c r="Y62" s="790"/>
      <c r="Z62" s="790"/>
      <c r="AA62" s="790"/>
      <c r="AB62" s="790"/>
      <c r="AC62" s="790"/>
      <c r="AD62" s="790"/>
      <c r="AE62" s="790"/>
      <c r="AF62" s="790"/>
      <c r="AG62" s="790"/>
      <c r="AH62" s="790"/>
      <c r="AI62" s="790"/>
      <c r="AJ62" s="790"/>
      <c r="AK62" s="790"/>
      <c r="AL62" s="790"/>
      <c r="AM62" s="790"/>
      <c r="AN62" s="790"/>
      <c r="AO62" s="790"/>
      <c r="AP62" s="790"/>
      <c r="AQ62" s="790"/>
      <c r="AR62" s="790"/>
      <c r="AS62" s="790"/>
      <c r="AT62" s="790"/>
      <c r="AU62" s="790"/>
      <c r="AV62" s="790"/>
      <c r="AW62" s="790"/>
      <c r="AX62" s="790"/>
      <c r="AY62" s="791"/>
      <c r="AZ62" s="790"/>
      <c r="BA62" s="790"/>
      <c r="BB62" s="790"/>
      <c r="BC62" s="790"/>
      <c r="BD62" s="790"/>
      <c r="BE62" s="790"/>
      <c r="BF62" s="790"/>
      <c r="BG62" s="791"/>
      <c r="BH62" s="790"/>
      <c r="BI62" s="790"/>
      <c r="BJ62" s="790"/>
      <c r="BK62" s="790"/>
      <c r="BL62" s="790"/>
      <c r="BM62" s="790"/>
      <c r="BN62" s="790"/>
      <c r="BO62" s="790"/>
      <c r="BP62" s="790"/>
      <c r="BQ62" s="790"/>
      <c r="BR62" s="790"/>
      <c r="BS62" s="790"/>
      <c r="BT62" s="790"/>
      <c r="BU62" s="790"/>
      <c r="BV62" s="790"/>
      <c r="BW62" s="790"/>
      <c r="BX62" s="790"/>
      <c r="BY62" s="790"/>
      <c r="BZ62" s="790"/>
      <c r="CA62" s="790"/>
      <c r="CB62" s="790"/>
      <c r="CC62" s="790"/>
      <c r="CD62" s="790"/>
      <c r="CE62" s="790"/>
      <c r="CF62" s="790"/>
      <c r="CG62" s="790"/>
      <c r="CH62" s="790"/>
      <c r="CI62" s="790"/>
      <c r="CJ62" s="790"/>
      <c r="CK62" s="790"/>
      <c r="CL62" s="790"/>
      <c r="CM62" s="790"/>
      <c r="CN62" s="790"/>
      <c r="CO62" s="790"/>
      <c r="CP62" s="790"/>
      <c r="CQ62" s="790"/>
      <c r="CR62" s="790"/>
      <c r="CS62" s="790"/>
      <c r="CT62" s="792"/>
      <c r="CU62" s="792"/>
      <c r="CV62" s="790"/>
      <c r="CW62" s="790"/>
      <c r="CX62" s="790"/>
      <c r="CY62" s="790"/>
      <c r="CZ62" s="790"/>
      <c r="DA62" s="792"/>
      <c r="DB62" s="792"/>
      <c r="DC62" s="790"/>
      <c r="DD62" s="841"/>
      <c r="DE62" s="848"/>
      <c r="DF62" s="790"/>
      <c r="DG62" s="790"/>
      <c r="DH62" s="790"/>
      <c r="DI62" s="790"/>
      <c r="DJ62" s="790"/>
      <c r="DK62" s="790"/>
      <c r="DL62" s="790"/>
      <c r="DM62" s="790"/>
      <c r="DN62" s="790"/>
      <c r="DO62" s="790"/>
      <c r="DP62" s="790"/>
      <c r="DQ62" s="790"/>
      <c r="DR62" s="790"/>
      <c r="DS62" s="790"/>
      <c r="DT62" s="790"/>
      <c r="DU62" s="790"/>
      <c r="DV62" s="790"/>
      <c r="DW62" s="790"/>
      <c r="DX62" s="790"/>
      <c r="DY62" s="790"/>
      <c r="DZ62" s="790"/>
      <c r="EA62" s="790"/>
      <c r="EB62" s="790"/>
      <c r="EC62" s="790"/>
      <c r="ED62" s="790"/>
      <c r="EE62" s="790"/>
      <c r="EF62" s="790"/>
      <c r="EG62" s="790"/>
      <c r="EH62" s="790"/>
      <c r="EI62" s="790"/>
      <c r="EJ62" s="790"/>
      <c r="EK62" s="790"/>
      <c r="EL62" s="790"/>
      <c r="EM62" s="790"/>
      <c r="EN62" s="790"/>
      <c r="EO62" s="790"/>
      <c r="EP62" s="790"/>
      <c r="EQ62" s="790"/>
      <c r="ER62" s="790"/>
      <c r="ES62" s="790"/>
      <c r="ET62" s="790"/>
      <c r="EU62" s="790"/>
      <c r="EV62" s="790"/>
      <c r="EW62" s="790"/>
      <c r="EX62" s="790"/>
      <c r="EY62" s="790"/>
      <c r="EZ62" s="790"/>
      <c r="FA62" s="790"/>
      <c r="FB62" s="790"/>
      <c r="FC62" s="790"/>
      <c r="FD62" s="790"/>
      <c r="FE62" s="790"/>
      <c r="FF62" s="790"/>
      <c r="FH62"/>
      <c r="FI62"/>
      <c r="FO62"/>
      <c r="FP62"/>
      <c r="FV62"/>
      <c r="FW62"/>
      <c r="FZ62"/>
      <c r="GC62"/>
      <c r="GD62"/>
      <c r="GJ62"/>
      <c r="GK62"/>
      <c r="GQ62"/>
      <c r="GR62"/>
      <c r="GX62"/>
      <c r="GY62"/>
    </row>
    <row r="63" spans="1:207" x14ac:dyDescent="0.25">
      <c r="A63" s="569" t="s">
        <v>391</v>
      </c>
      <c r="B63" s="569"/>
      <c r="C63" s="569"/>
      <c r="D63" s="569"/>
      <c r="E63" s="569"/>
      <c r="F63" s="569"/>
      <c r="G63" s="785"/>
      <c r="H63" s="785"/>
      <c r="I63" s="569"/>
      <c r="J63" s="569"/>
      <c r="K63" s="569"/>
      <c r="L63" s="569"/>
      <c r="M63" s="569"/>
      <c r="N63" s="785"/>
      <c r="O63" s="785"/>
      <c r="P63" s="569"/>
      <c r="Q63" s="569"/>
      <c r="R63" s="569"/>
      <c r="S63" s="569"/>
      <c r="T63" s="569"/>
      <c r="U63" s="785"/>
      <c r="V63" s="785"/>
      <c r="W63" s="569"/>
      <c r="X63" s="569"/>
      <c r="Y63" s="569"/>
      <c r="Z63" s="569"/>
      <c r="AA63" s="569"/>
      <c r="AB63" s="785"/>
      <c r="AC63" s="785"/>
      <c r="AD63" s="569"/>
      <c r="AE63" s="569"/>
      <c r="AF63" s="569"/>
      <c r="AG63" s="569"/>
      <c r="AH63" s="569"/>
      <c r="AI63" s="785"/>
      <c r="AJ63" s="785"/>
      <c r="AK63" s="569"/>
      <c r="AL63" s="569"/>
      <c r="AM63" s="569"/>
      <c r="AN63" s="569"/>
      <c r="AO63" s="569"/>
      <c r="AP63" s="785"/>
      <c r="AQ63" s="785"/>
      <c r="AR63" s="774" t="s">
        <v>431</v>
      </c>
      <c r="AS63" s="544"/>
      <c r="AT63" s="544"/>
      <c r="AU63" s="544"/>
      <c r="AV63" s="785"/>
      <c r="AW63" s="785"/>
      <c r="AX63" s="785"/>
      <c r="AY63" s="794"/>
      <c r="AZ63" s="569"/>
      <c r="BA63" s="569"/>
      <c r="BB63" s="569"/>
      <c r="BC63" s="569"/>
      <c r="BD63" s="785"/>
      <c r="BE63" s="785"/>
      <c r="BF63" s="785"/>
      <c r="BG63" s="773"/>
      <c r="BH63" s="544"/>
      <c r="BI63" s="544"/>
      <c r="BJ63" s="544"/>
      <c r="BK63" s="785"/>
      <c r="BL63" s="785"/>
      <c r="BM63" s="544"/>
      <c r="BN63" s="569"/>
      <c r="BO63" s="569"/>
      <c r="BP63" s="569"/>
      <c r="BQ63" s="569"/>
      <c r="BR63" s="785"/>
      <c r="BS63" s="785"/>
      <c r="BT63" s="569"/>
      <c r="BU63" s="569"/>
      <c r="BV63" s="569"/>
      <c r="BW63" s="569"/>
      <c r="BX63" s="569"/>
      <c r="BY63" s="785"/>
      <c r="BZ63" s="785"/>
      <c r="CA63" s="569"/>
      <c r="CB63" s="569"/>
      <c r="CC63" s="569"/>
      <c r="CD63" s="569"/>
      <c r="CE63" s="569"/>
      <c r="CF63" s="785"/>
      <c r="CG63" s="785"/>
      <c r="CH63" s="569"/>
      <c r="CI63" s="569"/>
      <c r="CJ63" s="569"/>
      <c r="CK63" s="569"/>
      <c r="CL63" s="569"/>
      <c r="CM63" s="785"/>
      <c r="CN63" s="785"/>
      <c r="CO63" s="569"/>
      <c r="CP63" s="569"/>
      <c r="CQ63" s="569"/>
      <c r="CR63" s="569"/>
      <c r="CS63" s="569"/>
      <c r="CT63" s="784"/>
      <c r="CU63" s="784"/>
      <c r="CV63" s="569"/>
      <c r="CW63" s="569"/>
      <c r="CX63" s="569"/>
      <c r="CY63" s="569"/>
      <c r="CZ63" s="569"/>
      <c r="DA63" s="784"/>
      <c r="DB63" s="784"/>
      <c r="DC63" s="569"/>
      <c r="DD63" s="840"/>
      <c r="DE63" s="847"/>
      <c r="DF63" s="569"/>
      <c r="DG63" s="569"/>
      <c r="DH63" s="785"/>
      <c r="DI63" s="785"/>
      <c r="DJ63" s="569"/>
      <c r="DK63" s="569"/>
      <c r="DL63" s="569"/>
      <c r="DM63" s="569"/>
      <c r="DN63" s="569"/>
      <c r="DO63" s="785"/>
      <c r="DP63" s="785"/>
      <c r="DQ63" s="569"/>
      <c r="DR63" s="569"/>
      <c r="DS63" s="569"/>
      <c r="DT63" s="569"/>
      <c r="DU63" s="569"/>
      <c r="DV63" s="785"/>
      <c r="DW63" s="785"/>
      <c r="DX63" s="569"/>
      <c r="DY63" s="569"/>
      <c r="DZ63" s="569"/>
      <c r="EA63" s="569"/>
      <c r="EB63" s="569"/>
      <c r="EC63" s="785"/>
      <c r="ED63" s="785"/>
      <c r="EE63" s="569"/>
      <c r="EF63" s="569"/>
      <c r="EG63" s="569"/>
      <c r="EH63" s="569"/>
      <c r="EI63" s="569"/>
      <c r="EJ63" s="785"/>
      <c r="EK63" s="785"/>
      <c r="EL63" s="569"/>
      <c r="EM63" s="569"/>
      <c r="EN63" s="569"/>
      <c r="EO63" s="569"/>
      <c r="EP63" s="569"/>
      <c r="EQ63" s="785"/>
      <c r="ER63" s="785"/>
      <c r="ES63" s="569"/>
      <c r="ET63" s="569"/>
      <c r="EU63" s="569"/>
      <c r="EV63" s="569"/>
      <c r="EW63" s="569"/>
      <c r="EX63" s="785"/>
      <c r="EY63" s="785"/>
      <c r="EZ63" s="569"/>
      <c r="FA63" s="569"/>
      <c r="FB63" s="569"/>
      <c r="FC63" s="569"/>
      <c r="FD63" s="569"/>
      <c r="FE63" s="785"/>
      <c r="FF63" s="785"/>
      <c r="FH63"/>
      <c r="FI63"/>
      <c r="FO63"/>
      <c r="FP63"/>
      <c r="FV63"/>
      <c r="FW63"/>
      <c r="FZ63"/>
      <c r="GC63"/>
      <c r="GD63"/>
      <c r="GJ63"/>
      <c r="GK63"/>
      <c r="GQ63"/>
      <c r="GR63"/>
      <c r="GX63"/>
      <c r="GY63"/>
    </row>
    <row r="64" spans="1:207" x14ac:dyDescent="0.25">
      <c r="A64" s="569" t="s">
        <v>372</v>
      </c>
      <c r="B64" s="569"/>
      <c r="C64" s="569"/>
      <c r="D64" s="569"/>
      <c r="E64" s="569"/>
      <c r="F64" s="569"/>
      <c r="G64" s="785"/>
      <c r="H64" s="785"/>
      <c r="I64" s="569"/>
      <c r="J64" s="569"/>
      <c r="K64" s="569"/>
      <c r="L64" s="569"/>
      <c r="M64" s="569"/>
      <c r="N64" s="785"/>
      <c r="O64" s="785"/>
      <c r="P64" s="569"/>
      <c r="Q64" s="569"/>
      <c r="R64" s="569"/>
      <c r="S64" s="569"/>
      <c r="T64" s="569"/>
      <c r="U64" s="785"/>
      <c r="V64" s="785"/>
      <c r="W64" s="569"/>
      <c r="X64" s="569"/>
      <c r="Y64" s="569"/>
      <c r="Z64" s="569"/>
      <c r="AA64" s="569"/>
      <c r="AB64" s="785"/>
      <c r="AC64" s="785"/>
      <c r="AD64" s="569"/>
      <c r="AE64" s="569"/>
      <c r="AF64" s="569"/>
      <c r="AG64" s="569"/>
      <c r="AH64" s="569"/>
      <c r="AI64" s="785"/>
      <c r="AJ64" s="785"/>
      <c r="AK64" s="569"/>
      <c r="AL64" s="569"/>
      <c r="AM64" s="569"/>
      <c r="AN64" s="569"/>
      <c r="AO64" s="569"/>
      <c r="AP64" s="785"/>
      <c r="AQ64" s="785"/>
      <c r="AR64" s="569"/>
      <c r="AS64" s="569"/>
      <c r="AT64" s="569"/>
      <c r="AU64" s="823" t="s">
        <v>427</v>
      </c>
      <c r="AV64" s="785"/>
      <c r="AW64" s="785"/>
      <c r="AX64" s="785"/>
      <c r="AY64" s="806" t="s">
        <v>387</v>
      </c>
      <c r="AZ64" s="807"/>
      <c r="BA64" s="807"/>
      <c r="BB64" s="807"/>
      <c r="BC64" s="807"/>
      <c r="BD64" s="785"/>
      <c r="BE64" s="785"/>
      <c r="BF64" s="785"/>
      <c r="BG64" s="824" t="s">
        <v>601</v>
      </c>
      <c r="BH64" s="766"/>
      <c r="BI64" s="766"/>
      <c r="BJ64" s="766"/>
      <c r="BK64" s="785"/>
      <c r="BL64" s="785"/>
      <c r="BM64" s="766"/>
      <c r="BN64" s="766"/>
      <c r="BO64" s="766"/>
      <c r="BP64" s="766"/>
      <c r="BQ64" s="766"/>
      <c r="BR64" s="785"/>
      <c r="BS64" s="785"/>
      <c r="BT64" s="569"/>
      <c r="BU64" s="569"/>
      <c r="BV64" s="569"/>
      <c r="BW64" s="569"/>
      <c r="BX64" s="569"/>
      <c r="BY64" s="785"/>
      <c r="BZ64" s="785"/>
      <c r="CA64" s="569"/>
      <c r="CB64" s="569"/>
      <c r="CC64" s="569"/>
      <c r="CD64" s="569"/>
      <c r="CE64" s="569"/>
      <c r="CF64" s="785"/>
      <c r="CG64" s="785"/>
      <c r="CH64" s="569"/>
      <c r="CI64" s="569"/>
      <c r="CJ64" s="569"/>
      <c r="CK64" s="569"/>
      <c r="CL64" s="569"/>
      <c r="CM64" s="785"/>
      <c r="CN64" s="785"/>
      <c r="CO64" s="569"/>
      <c r="CP64" s="569"/>
      <c r="CQ64" s="569"/>
      <c r="CR64" s="569"/>
      <c r="CS64" s="569"/>
      <c r="CT64" s="784"/>
      <c r="CU64" s="784"/>
      <c r="CV64" s="569"/>
      <c r="CW64" s="569"/>
      <c r="CX64" s="569"/>
      <c r="CY64" s="569"/>
      <c r="CZ64" s="569"/>
      <c r="DA64" s="784"/>
      <c r="DB64" s="784"/>
      <c r="DC64" s="569"/>
      <c r="DD64" s="840"/>
      <c r="DE64" s="847"/>
      <c r="DF64" s="569"/>
      <c r="DG64" s="569"/>
      <c r="DH64" s="785"/>
      <c r="DI64" s="785"/>
      <c r="DJ64" s="569"/>
      <c r="DK64" s="569"/>
      <c r="DL64" s="569"/>
      <c r="DM64" s="569"/>
      <c r="DN64" s="569"/>
      <c r="DO64" s="785"/>
      <c r="DP64" s="785"/>
      <c r="DQ64" s="569"/>
      <c r="DR64" s="569"/>
      <c r="DS64" s="569"/>
      <c r="DT64" s="569"/>
      <c r="DU64" s="569"/>
      <c r="DV64" s="785"/>
      <c r="DW64" s="785"/>
      <c r="DX64" s="569"/>
      <c r="DY64" s="569"/>
      <c r="DZ64" s="569"/>
      <c r="EA64" s="569"/>
      <c r="EB64" s="569"/>
      <c r="EC64" s="785"/>
      <c r="ED64" s="785"/>
      <c r="EE64" s="569"/>
      <c r="EF64" s="569"/>
      <c r="EG64" s="569"/>
      <c r="EH64" s="569"/>
      <c r="EI64" s="569"/>
      <c r="EJ64" s="785"/>
      <c r="EK64" s="785"/>
      <c r="EL64" s="569"/>
      <c r="EM64" s="569"/>
      <c r="EN64" s="569"/>
      <c r="EO64" s="569"/>
      <c r="EP64" s="569"/>
      <c r="EQ64" s="785"/>
      <c r="ER64" s="785"/>
      <c r="ES64" s="569"/>
      <c r="ET64" s="569"/>
      <c r="EU64" s="569"/>
      <c r="EV64" s="569"/>
      <c r="EW64" s="569"/>
      <c r="EX64" s="785"/>
      <c r="EY64" s="785"/>
      <c r="EZ64" s="569"/>
      <c r="FA64" s="569"/>
      <c r="FB64" s="569"/>
      <c r="FC64" s="569"/>
      <c r="FD64" s="569"/>
      <c r="FE64" s="785"/>
      <c r="FF64" s="785"/>
      <c r="FH64"/>
      <c r="FI64"/>
      <c r="FO64"/>
      <c r="FP64"/>
      <c r="FV64"/>
      <c r="FW64"/>
      <c r="FZ64"/>
      <c r="GC64"/>
      <c r="GD64"/>
      <c r="GJ64"/>
      <c r="GK64"/>
      <c r="GQ64"/>
      <c r="GR64"/>
      <c r="GX64"/>
      <c r="GY64"/>
    </row>
    <row r="65" spans="1:207" x14ac:dyDescent="0.25">
      <c r="A65" s="569"/>
      <c r="B65" s="569"/>
      <c r="C65" s="569"/>
      <c r="D65" s="569"/>
      <c r="E65" s="569"/>
      <c r="F65" s="569"/>
      <c r="G65" s="785"/>
      <c r="H65" s="785"/>
      <c r="I65" s="569"/>
      <c r="J65" s="569"/>
      <c r="K65" s="569"/>
      <c r="L65" s="569"/>
      <c r="M65" s="569"/>
      <c r="N65" s="785"/>
      <c r="O65" s="785"/>
      <c r="P65" s="569"/>
      <c r="Q65" s="569"/>
      <c r="R65" s="569"/>
      <c r="S65" s="569"/>
      <c r="T65" s="569"/>
      <c r="U65" s="785"/>
      <c r="V65" s="785"/>
      <c r="W65" s="569"/>
      <c r="X65" s="569"/>
      <c r="Y65" s="569"/>
      <c r="Z65" s="569"/>
      <c r="AA65" s="569"/>
      <c r="AB65" s="785"/>
      <c r="AC65" s="785"/>
      <c r="AD65" s="569"/>
      <c r="AE65" s="569"/>
      <c r="AF65" s="569"/>
      <c r="AG65" s="569"/>
      <c r="AH65" s="569"/>
      <c r="AI65" s="785"/>
      <c r="AJ65" s="785"/>
      <c r="AK65" s="569"/>
      <c r="AL65" s="569"/>
      <c r="AM65" s="569"/>
      <c r="AN65" s="569"/>
      <c r="AO65" s="569"/>
      <c r="AP65" s="785"/>
      <c r="AQ65" s="785"/>
      <c r="AR65" s="569"/>
      <c r="AS65" s="569"/>
      <c r="AT65" s="569"/>
      <c r="AU65" s="569"/>
      <c r="AV65" s="785"/>
      <c r="AW65" s="785"/>
      <c r="AX65" s="785"/>
      <c r="AY65" s="794"/>
      <c r="AZ65" s="569"/>
      <c r="BA65" s="569"/>
      <c r="BB65" s="569"/>
      <c r="BC65" s="569"/>
      <c r="BD65" s="785"/>
      <c r="BE65" s="785"/>
      <c r="BF65" s="785"/>
      <c r="BG65" s="794"/>
      <c r="BH65" s="569"/>
      <c r="BI65" s="569"/>
      <c r="BJ65" s="569"/>
      <c r="BK65" s="785"/>
      <c r="BL65" s="785"/>
      <c r="BM65" s="569"/>
      <c r="BN65" s="569"/>
      <c r="BO65" s="569"/>
      <c r="BP65" s="569"/>
      <c r="BQ65" s="569"/>
      <c r="BR65" s="785"/>
      <c r="BS65" s="785"/>
      <c r="BT65" s="569"/>
      <c r="BU65" s="569"/>
      <c r="BV65" s="569"/>
      <c r="BW65" s="569"/>
      <c r="BX65" s="569"/>
      <c r="BY65" s="785"/>
      <c r="BZ65" s="785"/>
      <c r="CA65" s="569"/>
      <c r="CB65" s="569"/>
      <c r="CC65" s="569"/>
      <c r="CD65" s="569"/>
      <c r="CE65" s="569"/>
      <c r="CF65" s="785"/>
      <c r="CG65" s="785"/>
      <c r="CH65" s="569"/>
      <c r="CI65" s="569"/>
      <c r="CJ65" s="569"/>
      <c r="CK65" s="569"/>
      <c r="CL65" s="569"/>
      <c r="CM65" s="785"/>
      <c r="CN65" s="785"/>
      <c r="CO65" s="569"/>
      <c r="CP65" s="569"/>
      <c r="CQ65" s="569"/>
      <c r="CR65" s="569"/>
      <c r="CS65" s="569"/>
      <c r="CT65" s="784"/>
      <c r="CU65" s="784"/>
      <c r="CV65" s="569"/>
      <c r="CW65" s="569"/>
      <c r="CX65" s="569"/>
      <c r="CY65" s="569"/>
      <c r="CZ65" s="569"/>
      <c r="DA65" s="784"/>
      <c r="DB65" s="784"/>
      <c r="DC65" s="569"/>
      <c r="DD65" s="840"/>
      <c r="DE65" s="847"/>
      <c r="DF65" s="569"/>
      <c r="DG65" s="569"/>
      <c r="DH65" s="785"/>
      <c r="DI65" s="785"/>
      <c r="DJ65" s="569"/>
      <c r="DK65" s="569"/>
      <c r="DL65" s="569"/>
      <c r="DM65" s="569"/>
      <c r="DN65" s="569"/>
      <c r="DO65" s="785"/>
      <c r="DP65" s="785"/>
      <c r="DQ65" s="569"/>
      <c r="DR65" s="569"/>
      <c r="DS65" s="569"/>
      <c r="DT65" s="569"/>
      <c r="DU65" s="569"/>
      <c r="DV65" s="785"/>
      <c r="DW65" s="785"/>
      <c r="DX65" s="569"/>
      <c r="DY65" s="569"/>
      <c r="DZ65" s="569"/>
      <c r="EA65" s="569"/>
      <c r="EB65" s="569"/>
      <c r="EC65" s="785"/>
      <c r="ED65" s="785"/>
      <c r="EE65" s="569"/>
      <c r="EF65" s="569"/>
      <c r="EG65" s="569"/>
      <c r="EH65" s="569"/>
      <c r="EI65" s="569"/>
      <c r="EJ65" s="785"/>
      <c r="EK65" s="785"/>
      <c r="EL65" s="569"/>
      <c r="EM65" s="569"/>
      <c r="EN65" s="569"/>
      <c r="EO65" s="569"/>
      <c r="EP65" s="569"/>
      <c r="EQ65" s="785"/>
      <c r="ER65" s="785"/>
      <c r="ES65" s="569"/>
      <c r="ET65" s="569"/>
      <c r="EU65" s="569"/>
      <c r="EV65" s="569"/>
      <c r="EW65" s="569"/>
      <c r="EX65" s="785"/>
      <c r="EY65" s="785"/>
      <c r="EZ65" s="569"/>
      <c r="FA65" s="569"/>
      <c r="FB65" s="569"/>
      <c r="FC65" s="569"/>
      <c r="FD65" s="569"/>
      <c r="FE65" s="785"/>
      <c r="FF65" s="785"/>
      <c r="FH65"/>
      <c r="FI65"/>
      <c r="FO65"/>
      <c r="FP65"/>
      <c r="FV65"/>
      <c r="FW65"/>
      <c r="FZ65"/>
      <c r="GC65"/>
      <c r="GD65"/>
      <c r="GJ65"/>
      <c r="GK65"/>
      <c r="GQ65"/>
      <c r="GR65"/>
      <c r="GX65"/>
      <c r="GY65"/>
    </row>
    <row r="66" spans="1:207" x14ac:dyDescent="0.25">
      <c r="A66" s="789" t="s">
        <v>443</v>
      </c>
      <c r="B66" s="790"/>
      <c r="C66" s="790"/>
      <c r="D66" s="790"/>
      <c r="E66" s="790"/>
      <c r="F66" s="790"/>
      <c r="G66" s="790"/>
      <c r="H66" s="790"/>
      <c r="I66" s="790"/>
      <c r="J66" s="790"/>
      <c r="K66" s="790"/>
      <c r="L66" s="790"/>
      <c r="M66" s="790"/>
      <c r="N66" s="790"/>
      <c r="O66" s="790"/>
      <c r="P66" s="790"/>
      <c r="Q66" s="790"/>
      <c r="R66" s="790"/>
      <c r="S66" s="790"/>
      <c r="T66" s="790"/>
      <c r="U66" s="790"/>
      <c r="V66" s="790"/>
      <c r="W66" s="790"/>
      <c r="X66" s="790"/>
      <c r="Y66" s="790"/>
      <c r="Z66" s="790"/>
      <c r="AA66" s="790"/>
      <c r="AB66" s="790"/>
      <c r="AC66" s="790"/>
      <c r="AD66" s="790"/>
      <c r="AE66" s="790"/>
      <c r="AF66" s="790"/>
      <c r="AG66" s="790"/>
      <c r="AH66" s="790"/>
      <c r="AI66" s="790"/>
      <c r="AJ66" s="790"/>
      <c r="AK66" s="790"/>
      <c r="AL66" s="790"/>
      <c r="AM66" s="790"/>
      <c r="AN66" s="790"/>
      <c r="AO66" s="790"/>
      <c r="AP66" s="790"/>
      <c r="AQ66" s="790"/>
      <c r="AR66" s="790"/>
      <c r="AS66" s="790"/>
      <c r="AT66" s="790"/>
      <c r="AU66" s="790"/>
      <c r="AV66" s="790"/>
      <c r="AW66" s="790"/>
      <c r="AX66" s="790"/>
      <c r="AY66" s="791"/>
      <c r="AZ66" s="790"/>
      <c r="BA66" s="790"/>
      <c r="BB66" s="790"/>
      <c r="BC66" s="790"/>
      <c r="BD66" s="790"/>
      <c r="BE66" s="790"/>
      <c r="BF66" s="790"/>
      <c r="BG66" s="791"/>
      <c r="BH66" s="790"/>
      <c r="BI66" s="790"/>
      <c r="BJ66" s="790"/>
      <c r="BK66" s="790"/>
      <c r="BL66" s="790"/>
      <c r="BM66" s="790"/>
      <c r="BN66" s="790"/>
      <c r="BO66" s="790"/>
      <c r="BP66" s="790"/>
      <c r="BQ66" s="790"/>
      <c r="BR66" s="790"/>
      <c r="BS66" s="790"/>
      <c r="BT66" s="790"/>
      <c r="BU66" s="790"/>
      <c r="BV66" s="790"/>
      <c r="BW66" s="790"/>
      <c r="BX66" s="790"/>
      <c r="BY66" s="790"/>
      <c r="BZ66" s="790"/>
      <c r="CA66" s="790"/>
      <c r="CB66" s="790"/>
      <c r="CC66" s="790"/>
      <c r="CD66" s="790"/>
      <c r="CE66" s="790"/>
      <c r="CF66" s="790"/>
      <c r="CG66" s="790"/>
      <c r="CH66" s="790"/>
      <c r="CI66" s="790"/>
      <c r="CJ66" s="790"/>
      <c r="CK66" s="790"/>
      <c r="CL66" s="790"/>
      <c r="CM66" s="790"/>
      <c r="CN66" s="790"/>
      <c r="CO66" s="790"/>
      <c r="CP66" s="790"/>
      <c r="CQ66" s="790"/>
      <c r="CR66" s="790"/>
      <c r="CS66" s="790"/>
      <c r="CT66" s="792"/>
      <c r="CU66" s="792"/>
      <c r="CV66" s="790"/>
      <c r="CW66" s="790"/>
      <c r="CX66" s="790"/>
      <c r="CY66" s="790"/>
      <c r="CZ66" s="790"/>
      <c r="DA66" s="792"/>
      <c r="DB66" s="792"/>
      <c r="DC66" s="790"/>
      <c r="DD66" s="841"/>
      <c r="DE66" s="848"/>
      <c r="DF66" s="790"/>
      <c r="DG66" s="790"/>
      <c r="DH66" s="790"/>
      <c r="DI66" s="790"/>
      <c r="DJ66" s="790"/>
      <c r="DK66" s="790"/>
      <c r="DL66" s="790"/>
      <c r="DM66" s="790"/>
      <c r="DN66" s="790"/>
      <c r="DO66" s="790"/>
      <c r="DP66" s="790"/>
      <c r="DQ66" s="790"/>
      <c r="DR66" s="790"/>
      <c r="DS66" s="790"/>
      <c r="DT66" s="790"/>
      <c r="DU66" s="790"/>
      <c r="DV66" s="790"/>
      <c r="DW66" s="790"/>
      <c r="DX66" s="790"/>
      <c r="DY66" s="790"/>
      <c r="DZ66" s="790"/>
      <c r="EA66" s="790"/>
      <c r="EB66" s="790"/>
      <c r="EC66" s="790"/>
      <c r="ED66" s="790"/>
      <c r="EE66" s="790"/>
      <c r="EF66" s="790"/>
      <c r="EG66" s="790"/>
      <c r="EH66" s="790"/>
      <c r="EI66" s="790"/>
      <c r="EJ66" s="790"/>
      <c r="EK66" s="790"/>
      <c r="EL66" s="790"/>
      <c r="EM66" s="790"/>
      <c r="EN66" s="790"/>
      <c r="EO66" s="790"/>
      <c r="EP66" s="790"/>
      <c r="EQ66" s="790"/>
      <c r="ER66" s="790"/>
      <c r="ES66" s="790"/>
      <c r="ET66" s="790"/>
      <c r="EU66" s="790"/>
      <c r="EV66" s="790"/>
      <c r="EW66" s="790"/>
      <c r="EX66" s="790"/>
      <c r="EY66" s="790"/>
      <c r="EZ66" s="790"/>
      <c r="FA66" s="790"/>
      <c r="FB66" s="790"/>
      <c r="FC66" s="790"/>
      <c r="FD66" s="790"/>
      <c r="FE66" s="790"/>
      <c r="FF66" s="790"/>
      <c r="FH66"/>
      <c r="FI66"/>
      <c r="FO66"/>
      <c r="FP66"/>
      <c r="FV66"/>
      <c r="FW66"/>
      <c r="FZ66"/>
      <c r="GC66"/>
      <c r="GD66"/>
      <c r="GJ66"/>
      <c r="GK66"/>
      <c r="GQ66"/>
      <c r="GR66"/>
      <c r="GX66"/>
      <c r="GY66"/>
    </row>
    <row r="67" spans="1:207" x14ac:dyDescent="0.25">
      <c r="A67" s="825" t="s">
        <v>372</v>
      </c>
      <c r="B67" s="825"/>
      <c r="C67" s="825"/>
      <c r="D67" s="825"/>
      <c r="E67" s="825"/>
      <c r="F67" s="825"/>
      <c r="G67" s="826"/>
      <c r="H67" s="826"/>
      <c r="I67" s="825"/>
      <c r="J67" s="825"/>
      <c r="K67" s="825"/>
      <c r="L67" s="825"/>
      <c r="M67" s="825"/>
      <c r="N67" s="826"/>
      <c r="O67" s="826"/>
      <c r="P67" s="825"/>
      <c r="Q67" s="825"/>
      <c r="R67" s="825"/>
      <c r="S67" s="825"/>
      <c r="T67" s="825"/>
      <c r="U67" s="826"/>
      <c r="V67" s="826"/>
      <c r="W67" s="825"/>
      <c r="X67" s="825"/>
      <c r="Y67" s="825"/>
      <c r="Z67" s="825"/>
      <c r="AA67" s="825"/>
      <c r="AB67" s="826"/>
      <c r="AC67" s="826"/>
      <c r="AD67" s="825"/>
      <c r="AE67" s="825"/>
      <c r="AF67" s="825"/>
      <c r="AG67" s="825"/>
      <c r="AH67" s="825"/>
      <c r="AI67" s="826"/>
      <c r="AJ67" s="826"/>
      <c r="AK67" s="825"/>
      <c r="AL67" s="825"/>
      <c r="AM67" s="825"/>
      <c r="AN67" s="825"/>
      <c r="AO67" s="825"/>
      <c r="AP67" s="826"/>
      <c r="AQ67" s="826"/>
      <c r="AR67" s="825"/>
      <c r="AS67" s="825"/>
      <c r="AT67" s="825"/>
      <c r="AU67" s="825"/>
      <c r="AV67" s="826"/>
      <c r="AW67" s="826"/>
      <c r="AX67" s="826"/>
      <c r="AY67" s="825"/>
      <c r="AZ67" s="825"/>
      <c r="BA67" s="825"/>
      <c r="BB67" s="825"/>
      <c r="BC67" s="825"/>
      <c r="BD67" s="826"/>
      <c r="BE67" s="826"/>
      <c r="BF67" s="826"/>
      <c r="BG67" s="825"/>
      <c r="BH67" s="825"/>
      <c r="BI67" s="825"/>
      <c r="BJ67" s="825"/>
      <c r="BK67" s="826"/>
      <c r="BL67" s="826"/>
      <c r="BO67" s="825"/>
      <c r="BP67" s="825"/>
      <c r="BQ67" s="825"/>
      <c r="BR67" s="826"/>
      <c r="BS67" s="826"/>
      <c r="BT67" s="827" t="s">
        <v>602</v>
      </c>
      <c r="BU67" s="827"/>
      <c r="BV67" s="827"/>
      <c r="BW67" s="827"/>
      <c r="BX67" s="827"/>
      <c r="BY67" s="826"/>
      <c r="BZ67" s="826"/>
      <c r="CA67" s="827" t="s">
        <v>405</v>
      </c>
      <c r="CB67" s="827"/>
      <c r="CC67" s="827"/>
      <c r="CD67" s="827"/>
      <c r="CE67" s="827"/>
      <c r="CF67" s="785"/>
      <c r="CG67" s="785"/>
      <c r="CH67" s="827" t="s">
        <v>405</v>
      </c>
      <c r="CI67" s="827"/>
      <c r="CJ67" s="827"/>
      <c r="CK67" s="827"/>
      <c r="CL67" s="827"/>
      <c r="CM67" s="826"/>
      <c r="CN67" s="826"/>
      <c r="CO67" s="825"/>
      <c r="CP67" s="825"/>
      <c r="CQ67" s="825"/>
      <c r="CR67" s="825"/>
      <c r="CS67" s="825"/>
      <c r="CT67" s="826"/>
      <c r="CU67" s="826"/>
      <c r="CV67" s="825"/>
      <c r="CW67" s="825"/>
      <c r="CX67" s="825"/>
      <c r="CY67" s="825"/>
      <c r="CZ67" s="825"/>
      <c r="DA67" s="826"/>
      <c r="DB67" s="826"/>
      <c r="DC67" s="825"/>
      <c r="DD67" s="845"/>
      <c r="DE67" s="847"/>
      <c r="DF67" s="569"/>
      <c r="DG67" s="569"/>
      <c r="DH67" s="785"/>
      <c r="DI67" s="785"/>
      <c r="DJ67" s="569"/>
      <c r="DK67" s="569"/>
      <c r="DL67" s="569"/>
      <c r="DM67" s="569"/>
      <c r="DN67" s="569"/>
      <c r="DO67" s="785"/>
      <c r="DP67" s="785"/>
      <c r="DQ67" s="569"/>
      <c r="DR67" s="569"/>
      <c r="DS67" s="569"/>
      <c r="DT67" s="569"/>
      <c r="DU67" s="569"/>
      <c r="DV67" s="785"/>
      <c r="DW67" s="785"/>
      <c r="DX67" s="569"/>
      <c r="DY67" s="569"/>
      <c r="DZ67" s="569"/>
      <c r="EA67" s="569"/>
      <c r="EB67" s="569"/>
      <c r="EC67" s="785"/>
      <c r="ED67" s="785"/>
      <c r="EE67" s="569"/>
      <c r="EF67" s="569"/>
      <c r="EG67" s="569"/>
      <c r="EH67" s="569"/>
      <c r="EI67" s="569"/>
      <c r="EJ67" s="785"/>
      <c r="EK67" s="785"/>
      <c r="EL67" s="569"/>
      <c r="EM67" s="569"/>
      <c r="EN67" s="569"/>
      <c r="EO67" s="569"/>
      <c r="EP67" s="569"/>
      <c r="EQ67" s="785"/>
      <c r="ER67" s="785"/>
      <c r="ES67" s="569"/>
      <c r="ET67" s="569"/>
      <c r="EU67" s="569"/>
      <c r="EV67" s="569"/>
      <c r="EW67" s="569"/>
      <c r="EX67" s="785"/>
      <c r="EY67" s="785"/>
      <c r="EZ67" s="569"/>
      <c r="FA67" s="569"/>
      <c r="FB67" s="569"/>
      <c r="FC67" s="569"/>
      <c r="FD67" s="569"/>
      <c r="FE67" s="785"/>
      <c r="FF67" s="785"/>
      <c r="FH67"/>
      <c r="FI67"/>
      <c r="FO67"/>
      <c r="FP67"/>
      <c r="FV67"/>
      <c r="FW67"/>
      <c r="FZ67"/>
      <c r="GC67"/>
      <c r="GD67"/>
      <c r="GJ67"/>
      <c r="GK67"/>
      <c r="GQ67"/>
      <c r="GR67"/>
      <c r="GX67"/>
      <c r="GY67"/>
    </row>
    <row r="68" spans="1:207" x14ac:dyDescent="0.25">
      <c r="A68" s="569" t="s">
        <v>391</v>
      </c>
      <c r="B68" s="569"/>
      <c r="C68" s="569"/>
      <c r="D68" s="569"/>
      <c r="E68" s="569"/>
      <c r="F68" s="569"/>
      <c r="G68" s="785"/>
      <c r="H68" s="785"/>
      <c r="I68" s="569"/>
      <c r="J68" s="569"/>
      <c r="K68" s="569"/>
      <c r="L68" s="569"/>
      <c r="M68" s="569"/>
      <c r="N68" s="785"/>
      <c r="O68" s="785"/>
      <c r="P68" s="569"/>
      <c r="Q68" s="569"/>
      <c r="R68" s="569"/>
      <c r="S68" s="569"/>
      <c r="T68" s="569"/>
      <c r="U68" s="785"/>
      <c r="V68" s="785"/>
      <c r="W68" s="569"/>
      <c r="X68" s="569"/>
      <c r="Y68" s="569"/>
      <c r="Z68" s="569"/>
      <c r="AA68" s="569"/>
      <c r="AB68" s="785"/>
      <c r="AC68" s="785"/>
      <c r="AD68" s="569"/>
      <c r="AE68" s="569"/>
      <c r="AF68" s="569"/>
      <c r="AG68" s="569"/>
      <c r="AH68" s="569"/>
      <c r="AI68" s="785"/>
      <c r="AJ68" s="785"/>
      <c r="AK68" s="569"/>
      <c r="AL68" s="569"/>
      <c r="AM68" s="569"/>
      <c r="AN68" s="569"/>
      <c r="AO68" s="569"/>
      <c r="AP68" s="785"/>
      <c r="AQ68" s="785"/>
      <c r="AR68" s="569"/>
      <c r="AS68" s="569"/>
      <c r="AT68" s="569"/>
      <c r="AU68" s="569"/>
      <c r="AV68" s="785"/>
      <c r="AW68" s="785"/>
      <c r="AX68" s="785"/>
      <c r="AY68" s="806" t="s">
        <v>387</v>
      </c>
      <c r="AZ68" s="807"/>
      <c r="BA68" s="807"/>
      <c r="BB68" s="807"/>
      <c r="BC68" s="807"/>
      <c r="BD68" s="785"/>
      <c r="BE68" s="785"/>
      <c r="BF68" s="785"/>
      <c r="BG68" s="794"/>
      <c r="BH68" s="569"/>
      <c r="BI68" s="569"/>
      <c r="BJ68" s="569"/>
      <c r="BK68" s="785"/>
      <c r="BL68" s="785"/>
      <c r="BO68" s="569"/>
      <c r="BP68" s="569"/>
      <c r="BQ68" s="569"/>
      <c r="BR68" s="785"/>
      <c r="BS68" s="785"/>
      <c r="BY68" s="785"/>
      <c r="BZ68" s="785"/>
      <c r="CA68" s="774" t="s">
        <v>431</v>
      </c>
      <c r="CB68" s="544"/>
      <c r="CC68" s="544"/>
      <c r="CD68" s="544"/>
      <c r="CE68" s="544"/>
      <c r="CF68" s="785"/>
      <c r="CG68" s="785"/>
      <c r="CH68" s="774" t="s">
        <v>431</v>
      </c>
      <c r="CI68" s="544"/>
      <c r="CJ68" s="544"/>
      <c r="CK68" s="544"/>
      <c r="CL68" s="544"/>
      <c r="CM68" s="785"/>
      <c r="CN68" s="785"/>
      <c r="CO68" s="569"/>
      <c r="CP68" s="569"/>
      <c r="CQ68" s="569"/>
      <c r="CR68" s="569"/>
      <c r="CS68" s="569"/>
      <c r="CT68" s="784"/>
      <c r="CU68" s="784"/>
      <c r="CV68" s="569"/>
      <c r="CW68" s="569"/>
      <c r="CX68" s="569"/>
      <c r="CY68" s="569"/>
      <c r="CZ68" s="569"/>
      <c r="DA68" s="784"/>
      <c r="DB68" s="784"/>
      <c r="DC68" s="569"/>
      <c r="DD68" s="840"/>
      <c r="DE68" s="847"/>
      <c r="DF68" s="569"/>
      <c r="DG68" s="569"/>
      <c r="DH68" s="785"/>
      <c r="DI68" s="785"/>
      <c r="DJ68" s="569"/>
      <c r="DK68" s="569"/>
      <c r="DL68" s="569"/>
      <c r="DM68" s="569"/>
      <c r="DN68" s="569"/>
      <c r="DO68" s="785"/>
      <c r="DP68" s="785"/>
      <c r="DQ68" s="569"/>
      <c r="DR68" s="569"/>
      <c r="DS68" s="569"/>
      <c r="DT68" s="569"/>
      <c r="DU68" s="569"/>
      <c r="DV68" s="785"/>
      <c r="DW68" s="785"/>
      <c r="DX68" s="569"/>
      <c r="DY68" s="569"/>
      <c r="DZ68" s="569"/>
      <c r="EA68" s="569"/>
      <c r="EB68" s="569"/>
      <c r="EC68" s="785"/>
      <c r="ED68" s="785"/>
      <c r="EE68" s="569"/>
      <c r="EF68" s="569"/>
      <c r="EG68" s="569"/>
      <c r="EH68" s="569"/>
      <c r="EI68" s="569"/>
      <c r="EJ68" s="785"/>
      <c r="EK68" s="785"/>
      <c r="EL68" s="569"/>
      <c r="EM68" s="569"/>
      <c r="EN68" s="569"/>
      <c r="EO68" s="569"/>
      <c r="EP68" s="569"/>
      <c r="EQ68" s="785"/>
      <c r="ER68" s="785"/>
      <c r="ES68" s="569"/>
      <c r="ET68" s="569"/>
      <c r="EU68" s="569"/>
      <c r="EV68" s="569"/>
      <c r="EW68" s="569"/>
      <c r="EX68" s="785"/>
      <c r="EY68" s="785"/>
      <c r="EZ68" s="569"/>
      <c r="FA68" s="569"/>
      <c r="FB68" s="569"/>
      <c r="FC68" s="569"/>
      <c r="FD68" s="569"/>
      <c r="FE68" s="785"/>
      <c r="FF68" s="785"/>
      <c r="FH68"/>
      <c r="FI68"/>
      <c r="FO68"/>
      <c r="FP68"/>
      <c r="FV68"/>
      <c r="FW68"/>
      <c r="FZ68"/>
      <c r="GC68"/>
      <c r="GD68"/>
      <c r="GJ68"/>
      <c r="GK68"/>
      <c r="GQ68"/>
      <c r="GR68"/>
      <c r="GX68"/>
      <c r="GY68"/>
    </row>
    <row r="69" spans="1:207" x14ac:dyDescent="0.25">
      <c r="A69" s="569"/>
      <c r="B69" s="569"/>
      <c r="C69" s="569"/>
      <c r="D69" s="569"/>
      <c r="E69" s="569"/>
      <c r="F69" s="569"/>
      <c r="G69" s="785"/>
      <c r="H69" s="785"/>
      <c r="I69" s="569"/>
      <c r="J69" s="569"/>
      <c r="K69" s="569"/>
      <c r="L69" s="569"/>
      <c r="M69" s="569"/>
      <c r="N69" s="785"/>
      <c r="O69" s="785"/>
      <c r="P69" s="569"/>
      <c r="Q69" s="569"/>
      <c r="R69" s="569"/>
      <c r="S69" s="569"/>
      <c r="T69" s="569"/>
      <c r="U69" s="785"/>
      <c r="V69" s="785"/>
      <c r="W69" s="569"/>
      <c r="X69" s="569"/>
      <c r="Y69" s="569"/>
      <c r="Z69" s="569"/>
      <c r="AA69" s="569"/>
      <c r="AB69" s="785"/>
      <c r="AC69" s="785"/>
      <c r="AD69" s="569"/>
      <c r="AE69" s="569"/>
      <c r="AF69" s="569"/>
      <c r="AG69" s="569"/>
      <c r="AH69" s="569"/>
      <c r="AI69" s="785"/>
      <c r="AJ69" s="785"/>
      <c r="AK69" s="569"/>
      <c r="AL69" s="569"/>
      <c r="AM69" s="569"/>
      <c r="AN69" s="569"/>
      <c r="AO69" s="569"/>
      <c r="AP69" s="785"/>
      <c r="AQ69" s="785"/>
      <c r="AR69" s="569"/>
      <c r="AS69" s="569"/>
      <c r="AT69" s="569"/>
      <c r="AU69" s="569"/>
      <c r="AV69" s="785"/>
      <c r="AW69" s="785"/>
      <c r="AX69" s="785"/>
      <c r="AY69" s="794"/>
      <c r="AZ69" s="569"/>
      <c r="BA69" s="569"/>
      <c r="BB69" s="569"/>
      <c r="BC69" s="569"/>
      <c r="BD69" s="785"/>
      <c r="BE69" s="785"/>
      <c r="BF69" s="785"/>
      <c r="BG69" s="794"/>
      <c r="BH69" s="569"/>
      <c r="BI69" s="569"/>
      <c r="BJ69" s="569"/>
      <c r="BK69" s="785"/>
      <c r="BL69" s="785"/>
      <c r="BM69" s="569"/>
      <c r="BN69" s="569"/>
      <c r="BO69" s="569"/>
      <c r="BP69" s="569"/>
      <c r="BQ69" s="569"/>
      <c r="BR69" s="785"/>
      <c r="BS69" s="785"/>
      <c r="BT69" s="569"/>
      <c r="BU69" s="569"/>
      <c r="BV69" s="569"/>
      <c r="BW69" s="569"/>
      <c r="BX69" s="569"/>
      <c r="BY69" s="785"/>
      <c r="BZ69" s="785"/>
      <c r="CA69" s="569"/>
      <c r="CB69" s="569"/>
      <c r="CC69" s="569"/>
      <c r="CD69" s="569"/>
      <c r="CE69" s="569"/>
      <c r="CF69" s="785"/>
      <c r="CG69" s="785"/>
      <c r="CH69" s="569"/>
      <c r="CI69" s="569"/>
      <c r="CJ69" s="569"/>
      <c r="CK69" s="569"/>
      <c r="CL69" s="569"/>
      <c r="CM69" s="785"/>
      <c r="CN69" s="785"/>
      <c r="CO69" s="569"/>
      <c r="CP69" s="569"/>
      <c r="CQ69" s="569"/>
      <c r="CR69" s="569"/>
      <c r="CS69" s="569"/>
      <c r="CT69" s="784"/>
      <c r="CU69" s="784"/>
      <c r="CV69" s="569"/>
      <c r="CW69" s="569"/>
      <c r="CX69" s="569"/>
      <c r="CY69" s="569"/>
      <c r="CZ69" s="569"/>
      <c r="DA69" s="784"/>
      <c r="DB69" s="784"/>
      <c r="DC69" s="569"/>
      <c r="DD69" s="840"/>
      <c r="DE69" s="847"/>
      <c r="DF69" s="569"/>
      <c r="DG69" s="569"/>
      <c r="DH69" s="785"/>
      <c r="DI69" s="785"/>
      <c r="DJ69" s="569"/>
      <c r="DK69" s="569"/>
      <c r="DL69" s="569"/>
      <c r="DM69" s="569"/>
      <c r="DN69" s="569"/>
      <c r="DO69" s="785"/>
      <c r="DP69" s="785"/>
      <c r="DQ69" s="569"/>
      <c r="DR69" s="569"/>
      <c r="DS69" s="569"/>
      <c r="DT69" s="569"/>
      <c r="DU69" s="569"/>
      <c r="DV69" s="785"/>
      <c r="DW69" s="785"/>
      <c r="DX69" s="569"/>
      <c r="DY69" s="569"/>
      <c r="DZ69" s="569"/>
      <c r="EA69" s="569"/>
      <c r="EB69" s="569"/>
      <c r="EC69" s="785"/>
      <c r="ED69" s="785"/>
      <c r="EE69" s="569"/>
      <c r="EF69" s="569"/>
      <c r="EG69" s="569"/>
      <c r="EH69" s="569"/>
      <c r="EI69" s="569"/>
      <c r="EJ69" s="785"/>
      <c r="EK69" s="785"/>
      <c r="EL69" s="569"/>
      <c r="EM69" s="569"/>
      <c r="EN69" s="569"/>
      <c r="EO69" s="569"/>
      <c r="EP69" s="569"/>
      <c r="EQ69" s="785"/>
      <c r="ER69" s="785"/>
      <c r="ES69" s="569"/>
      <c r="ET69" s="569"/>
      <c r="EU69" s="569"/>
      <c r="EV69" s="569"/>
      <c r="EW69" s="569"/>
      <c r="EX69" s="785"/>
      <c r="EY69" s="785"/>
      <c r="EZ69" s="569"/>
      <c r="FA69" s="569"/>
      <c r="FB69" s="569"/>
      <c r="FC69" s="569"/>
      <c r="FD69" s="569"/>
      <c r="FE69" s="785"/>
      <c r="FF69" s="785"/>
      <c r="FH69"/>
      <c r="FI69"/>
      <c r="FO69"/>
      <c r="FP69"/>
      <c r="FV69"/>
      <c r="FW69"/>
      <c r="FZ69"/>
      <c r="GC69"/>
      <c r="GD69"/>
      <c r="GJ69"/>
      <c r="GK69"/>
      <c r="GQ69"/>
      <c r="GR69"/>
      <c r="GX69"/>
      <c r="GY69"/>
    </row>
    <row r="70" spans="1:207" x14ac:dyDescent="0.25">
      <c r="A70" s="828"/>
      <c r="B70" s="569"/>
      <c r="C70" s="569"/>
      <c r="D70" s="569"/>
      <c r="E70" s="569"/>
      <c r="F70" s="569"/>
      <c r="G70" s="785"/>
      <c r="H70" s="785"/>
      <c r="I70" s="569"/>
      <c r="J70" s="569"/>
      <c r="K70" s="569"/>
      <c r="L70" s="569"/>
      <c r="M70" s="569"/>
      <c r="N70" s="785"/>
      <c r="O70" s="785"/>
      <c r="P70" s="569"/>
      <c r="Q70" s="569"/>
      <c r="R70" s="569"/>
      <c r="S70" s="569"/>
      <c r="T70" s="569"/>
      <c r="U70" s="785"/>
      <c r="V70" s="785"/>
      <c r="W70" s="569"/>
      <c r="X70" s="569"/>
      <c r="Y70" s="569"/>
      <c r="Z70" s="569"/>
      <c r="AA70" s="569"/>
      <c r="AB70" s="785"/>
      <c r="AC70" s="785"/>
      <c r="AD70" s="569"/>
      <c r="AE70" s="569"/>
      <c r="AF70" s="569"/>
      <c r="AG70" s="569"/>
      <c r="AH70" s="569"/>
      <c r="AI70" s="785"/>
      <c r="AJ70" s="785"/>
      <c r="AK70" s="569"/>
      <c r="AL70" s="569"/>
      <c r="AM70" s="569"/>
      <c r="AN70" s="569"/>
      <c r="AO70" s="569"/>
      <c r="AP70" s="785"/>
      <c r="AQ70" s="785"/>
      <c r="AR70" s="569"/>
      <c r="AS70" s="569"/>
      <c r="AT70" s="569"/>
      <c r="AU70" s="569"/>
      <c r="AV70" s="785"/>
      <c r="AW70" s="785"/>
      <c r="AX70" s="785"/>
      <c r="AY70" s="794"/>
      <c r="AZ70" s="569"/>
      <c r="BA70" s="569"/>
      <c r="BB70" s="569"/>
      <c r="BC70" s="569"/>
      <c r="BD70" s="785"/>
      <c r="BE70" s="785"/>
      <c r="BF70" s="785"/>
      <c r="BG70" s="794"/>
      <c r="BH70" s="569"/>
      <c r="BI70" s="569"/>
      <c r="BJ70" s="569"/>
      <c r="BK70" s="785"/>
      <c r="BL70" s="785"/>
      <c r="BM70" s="569"/>
      <c r="BN70" s="569"/>
      <c r="BO70" s="569"/>
      <c r="BP70" s="569"/>
      <c r="BQ70" s="569"/>
      <c r="BR70" s="785"/>
      <c r="BS70" s="785"/>
      <c r="BT70" s="569"/>
      <c r="BU70" s="569"/>
      <c r="BV70" s="569"/>
      <c r="BW70" s="569"/>
      <c r="BX70" s="569"/>
      <c r="BY70" s="785"/>
      <c r="BZ70" s="785"/>
      <c r="CA70" s="569"/>
      <c r="CB70" s="569"/>
      <c r="CC70" s="569"/>
      <c r="CD70" s="569"/>
      <c r="CE70" s="569"/>
      <c r="CF70" s="785"/>
      <c r="CG70" s="785"/>
      <c r="CH70" s="569"/>
      <c r="CI70" s="569"/>
      <c r="CJ70" s="569"/>
      <c r="CK70" s="569"/>
      <c r="CL70" s="569"/>
      <c r="CM70" s="785"/>
      <c r="CN70" s="785"/>
      <c r="CO70" s="569"/>
      <c r="CP70" s="569"/>
      <c r="CQ70" s="569"/>
      <c r="CR70" s="569"/>
      <c r="CS70" s="569"/>
      <c r="CT70" s="784"/>
      <c r="CU70" s="784"/>
      <c r="CV70" s="569"/>
      <c r="CW70" s="569"/>
      <c r="CX70" s="569"/>
      <c r="CY70" s="569"/>
      <c r="CZ70" s="569"/>
      <c r="DA70" s="784"/>
      <c r="DB70" s="784"/>
      <c r="DC70" s="569"/>
      <c r="DD70" s="840"/>
      <c r="DE70" s="847"/>
      <c r="DF70" s="569"/>
      <c r="DG70" s="569"/>
      <c r="DH70" s="785"/>
      <c r="DI70" s="785"/>
      <c r="DJ70" s="569"/>
      <c r="DK70" s="569"/>
      <c r="DL70" s="569"/>
      <c r="DM70" s="569"/>
      <c r="DN70" s="569"/>
      <c r="DO70" s="785"/>
      <c r="DP70" s="785"/>
      <c r="DQ70" s="569"/>
      <c r="DR70" s="569"/>
      <c r="DS70" s="569"/>
      <c r="DT70" s="569"/>
      <c r="DU70" s="569"/>
      <c r="DV70" s="785"/>
      <c r="DW70" s="785"/>
      <c r="DX70" s="569"/>
      <c r="DY70" s="569"/>
      <c r="DZ70" s="569"/>
      <c r="EA70" s="569"/>
      <c r="EB70" s="569"/>
      <c r="EC70" s="785"/>
      <c r="ED70" s="785"/>
      <c r="EE70" s="569"/>
      <c r="EF70" s="569"/>
      <c r="EG70" s="569"/>
      <c r="EH70" s="569"/>
      <c r="EI70" s="569"/>
      <c r="EJ70" s="785"/>
      <c r="EK70" s="785"/>
      <c r="EL70" s="569"/>
      <c r="EM70" s="569"/>
      <c r="EN70" s="569"/>
      <c r="EO70" s="569"/>
      <c r="EP70" s="569"/>
      <c r="EQ70" s="785"/>
      <c r="ER70" s="785"/>
      <c r="ES70" s="569"/>
      <c r="ET70" s="569"/>
      <c r="EU70" s="569"/>
      <c r="EV70" s="569"/>
      <c r="EW70" s="569"/>
      <c r="EX70" s="785"/>
      <c r="EY70" s="785"/>
      <c r="EZ70" s="569"/>
      <c r="FA70" s="569"/>
      <c r="FB70" s="569"/>
      <c r="FC70" s="569"/>
      <c r="FD70" s="569"/>
      <c r="FE70" s="785"/>
      <c r="FF70" s="785"/>
      <c r="FH70"/>
      <c r="FI70"/>
      <c r="FO70"/>
      <c r="FP70"/>
      <c r="FV70"/>
      <c r="FW70"/>
      <c r="FZ70"/>
      <c r="GC70"/>
      <c r="GD70"/>
      <c r="GJ70"/>
      <c r="GK70"/>
      <c r="GQ70"/>
      <c r="GR70"/>
      <c r="GX70"/>
      <c r="GY70"/>
    </row>
    <row r="71" spans="1:207" x14ac:dyDescent="0.25">
      <c r="A71" s="789" t="s">
        <v>444</v>
      </c>
      <c r="B71" s="790"/>
      <c r="C71" s="790"/>
      <c r="D71" s="790"/>
      <c r="E71" s="790"/>
      <c r="F71" s="790"/>
      <c r="G71" s="790"/>
      <c r="H71" s="790"/>
      <c r="I71" s="790"/>
      <c r="J71" s="790"/>
      <c r="K71" s="790"/>
      <c r="L71" s="790"/>
      <c r="M71" s="790"/>
      <c r="N71" s="790"/>
      <c r="O71" s="790"/>
      <c r="P71" s="790"/>
      <c r="Q71" s="790"/>
      <c r="R71" s="790"/>
      <c r="S71" s="790"/>
      <c r="T71" s="790"/>
      <c r="U71" s="790"/>
      <c r="V71" s="790"/>
      <c r="W71" s="790"/>
      <c r="X71" s="790"/>
      <c r="Y71" s="790"/>
      <c r="Z71" s="790"/>
      <c r="AA71" s="790"/>
      <c r="AB71" s="790"/>
      <c r="AC71" s="790"/>
      <c r="AD71" s="790"/>
      <c r="AE71" s="790"/>
      <c r="AF71" s="790"/>
      <c r="AG71" s="790"/>
      <c r="AH71" s="790"/>
      <c r="AI71" s="790"/>
      <c r="AJ71" s="790"/>
      <c r="AK71" s="790"/>
      <c r="AL71" s="790"/>
      <c r="AM71" s="790"/>
      <c r="AN71" s="790"/>
      <c r="AO71" s="790"/>
      <c r="AP71" s="790"/>
      <c r="AQ71" s="790"/>
      <c r="AR71" s="790"/>
      <c r="AS71" s="790"/>
      <c r="AT71" s="790"/>
      <c r="AU71" s="790"/>
      <c r="AV71" s="790"/>
      <c r="AW71" s="790"/>
      <c r="AX71" s="790"/>
      <c r="AY71" s="791"/>
      <c r="AZ71" s="790"/>
      <c r="BA71" s="790"/>
      <c r="BB71" s="790"/>
      <c r="BC71" s="790"/>
      <c r="BD71" s="790"/>
      <c r="BE71" s="790"/>
      <c r="BF71" s="790"/>
      <c r="BG71" s="791"/>
      <c r="BH71" s="790"/>
      <c r="BI71" s="790"/>
      <c r="BJ71" s="790"/>
      <c r="BK71" s="790"/>
      <c r="BL71" s="790"/>
      <c r="BM71" s="790"/>
      <c r="BN71" s="790"/>
      <c r="BO71" s="790"/>
      <c r="BP71" s="790"/>
      <c r="BQ71" s="790"/>
      <c r="BR71" s="790"/>
      <c r="BS71" s="790"/>
      <c r="BT71" s="790"/>
      <c r="BU71" s="790"/>
      <c r="BV71" s="790"/>
      <c r="BW71" s="790"/>
      <c r="BX71" s="790"/>
      <c r="BY71" s="790"/>
      <c r="BZ71" s="790"/>
      <c r="CA71" s="790"/>
      <c r="CB71" s="790"/>
      <c r="CC71" s="790"/>
      <c r="CD71" s="790"/>
      <c r="CE71" s="790"/>
      <c r="CF71" s="790"/>
      <c r="CG71" s="790"/>
      <c r="CH71" s="790"/>
      <c r="CI71" s="790"/>
      <c r="CJ71" s="790"/>
      <c r="CK71" s="790"/>
      <c r="CL71" s="790"/>
      <c r="CM71" s="790"/>
      <c r="CN71" s="790"/>
      <c r="CO71" s="790"/>
      <c r="CP71" s="790"/>
      <c r="CQ71" s="790"/>
      <c r="CR71" s="790"/>
      <c r="CS71" s="790"/>
      <c r="CT71" s="792"/>
      <c r="CU71" s="792"/>
      <c r="CV71" s="790"/>
      <c r="CW71" s="790"/>
      <c r="CX71" s="790"/>
      <c r="CY71" s="790"/>
      <c r="CZ71" s="790"/>
      <c r="DA71" s="792"/>
      <c r="DB71" s="792"/>
      <c r="DC71" s="790"/>
      <c r="DD71" s="841"/>
      <c r="DE71" s="848"/>
      <c r="DF71" s="790"/>
      <c r="DG71" s="790"/>
      <c r="DH71" s="790"/>
      <c r="DI71" s="790"/>
      <c r="DJ71" s="790"/>
      <c r="DK71" s="790"/>
      <c r="DL71" s="790"/>
      <c r="DM71" s="790"/>
      <c r="DN71" s="790"/>
      <c r="DO71" s="790"/>
      <c r="DP71" s="790"/>
      <c r="DQ71" s="790"/>
      <c r="DR71" s="790"/>
      <c r="DS71" s="790"/>
      <c r="DT71" s="790"/>
      <c r="DU71" s="790"/>
      <c r="DV71" s="790"/>
      <c r="DW71" s="790"/>
      <c r="DX71" s="790"/>
      <c r="DY71" s="790"/>
      <c r="DZ71" s="790"/>
      <c r="EA71" s="790"/>
      <c r="EB71" s="790"/>
      <c r="EC71" s="790"/>
      <c r="ED71" s="790"/>
      <c r="EE71" s="790"/>
      <c r="EF71" s="790"/>
      <c r="EG71" s="790"/>
      <c r="EH71" s="790"/>
      <c r="EI71" s="790"/>
      <c r="EJ71" s="790"/>
      <c r="EK71" s="790"/>
      <c r="EL71" s="790"/>
      <c r="EM71" s="790"/>
      <c r="EN71" s="790"/>
      <c r="EO71" s="790"/>
      <c r="EP71" s="790"/>
      <c r="EQ71" s="790"/>
      <c r="ER71" s="790"/>
      <c r="ES71" s="790"/>
      <c r="ET71" s="790"/>
      <c r="EU71" s="790"/>
      <c r="EV71" s="790"/>
      <c r="EW71" s="790"/>
      <c r="EX71" s="790"/>
      <c r="EY71" s="790"/>
      <c r="EZ71" s="790"/>
      <c r="FA71" s="790"/>
      <c r="FB71" s="790"/>
      <c r="FC71" s="790"/>
      <c r="FD71" s="790"/>
      <c r="FE71" s="790"/>
      <c r="FF71" s="790"/>
      <c r="FH71"/>
      <c r="FI71"/>
      <c r="FO71"/>
      <c r="FP71"/>
      <c r="FV71"/>
      <c r="FW71"/>
      <c r="FZ71"/>
      <c r="GC71"/>
      <c r="GD71"/>
      <c r="GJ71"/>
      <c r="GK71"/>
      <c r="GQ71"/>
      <c r="GR71"/>
      <c r="GX71"/>
      <c r="GY71"/>
    </row>
    <row r="72" spans="1:207" x14ac:dyDescent="0.25">
      <c r="A72" s="569" t="s">
        <v>391</v>
      </c>
      <c r="B72" s="569"/>
      <c r="C72" s="569"/>
      <c r="D72" s="569"/>
      <c r="E72" s="569"/>
      <c r="F72" s="569"/>
      <c r="G72" s="785"/>
      <c r="H72" s="785"/>
      <c r="I72" s="569"/>
      <c r="J72" s="569"/>
      <c r="K72" s="569"/>
      <c r="L72" s="569"/>
      <c r="M72" s="569"/>
      <c r="N72" s="785"/>
      <c r="O72" s="785"/>
      <c r="P72" s="569"/>
      <c r="Q72" s="569"/>
      <c r="R72" s="569"/>
      <c r="S72" s="569"/>
      <c r="T72" s="569"/>
      <c r="U72" s="785"/>
      <c r="V72" s="785"/>
      <c r="W72" s="569"/>
      <c r="X72" s="569"/>
      <c r="Y72" s="569"/>
      <c r="Z72" s="569"/>
      <c r="AA72" s="569"/>
      <c r="AB72" s="785"/>
      <c r="AC72" s="785"/>
      <c r="AD72" s="569"/>
      <c r="AE72" s="569"/>
      <c r="AF72" s="569"/>
      <c r="AG72" s="569"/>
      <c r="AH72" s="569"/>
      <c r="AI72" s="785"/>
      <c r="AJ72" s="785"/>
      <c r="AK72" s="569"/>
      <c r="AL72" s="569"/>
      <c r="AM72" s="569"/>
      <c r="AN72" s="569"/>
      <c r="AO72" s="569"/>
      <c r="AP72" s="785"/>
      <c r="AQ72" s="785"/>
      <c r="AR72" s="569"/>
      <c r="AS72" s="569"/>
      <c r="AT72" s="569"/>
      <c r="AU72" s="569"/>
      <c r="AV72" s="785"/>
      <c r="AW72" s="785"/>
      <c r="AX72" s="785"/>
      <c r="AY72" s="794"/>
      <c r="AZ72" s="569"/>
      <c r="BA72" s="569"/>
      <c r="BB72" s="569"/>
      <c r="BC72" s="569"/>
      <c r="BD72" s="785"/>
      <c r="BE72" s="785"/>
      <c r="BF72" s="785"/>
      <c r="BG72" s="794"/>
      <c r="BH72" s="569"/>
      <c r="BI72" s="569"/>
      <c r="BJ72" s="569"/>
      <c r="BK72" s="785"/>
      <c r="BL72" s="785"/>
      <c r="BM72" s="569"/>
      <c r="BN72" s="569"/>
      <c r="BO72" s="569"/>
      <c r="BP72" s="569"/>
      <c r="BQ72" s="569"/>
      <c r="BR72" s="785"/>
      <c r="BS72" s="785"/>
      <c r="BT72" s="569"/>
      <c r="BU72" s="569"/>
      <c r="BV72" s="569"/>
      <c r="BW72" s="569"/>
      <c r="BX72" s="569"/>
      <c r="BY72" s="785"/>
      <c r="BZ72" s="785"/>
      <c r="CA72" s="569"/>
      <c r="CB72" s="569"/>
      <c r="CC72" s="569"/>
      <c r="CD72" s="569"/>
      <c r="CE72" s="569"/>
      <c r="CF72" s="785"/>
      <c r="CG72" s="785"/>
      <c r="CH72" s="569"/>
      <c r="CI72" s="569"/>
      <c r="CJ72" s="569"/>
      <c r="CK72" s="569"/>
      <c r="CL72" s="569"/>
      <c r="CM72" s="785"/>
      <c r="CN72" s="785"/>
      <c r="CO72" s="569"/>
      <c r="CP72" s="569"/>
      <c r="CQ72" s="569"/>
      <c r="CR72" s="569"/>
      <c r="CS72" s="569"/>
      <c r="CT72" s="784"/>
      <c r="CU72" s="784"/>
      <c r="CV72" s="569"/>
      <c r="CW72" s="569"/>
      <c r="CX72" s="569"/>
      <c r="CY72" s="569"/>
      <c r="CZ72" s="569"/>
      <c r="DA72" s="784"/>
      <c r="DB72" s="784"/>
      <c r="DC72" s="569"/>
      <c r="DD72" s="840"/>
      <c r="DE72" s="847"/>
      <c r="DF72" s="569"/>
      <c r="DG72" s="569"/>
      <c r="DH72" s="785"/>
      <c r="DI72" s="785"/>
      <c r="DJ72" s="569"/>
      <c r="DK72" s="569"/>
      <c r="DL72" s="569"/>
      <c r="DM72" s="569"/>
      <c r="DN72" s="569"/>
      <c r="DO72" s="785"/>
      <c r="DP72" s="785"/>
      <c r="DQ72" s="569"/>
      <c r="DR72" s="569"/>
      <c r="DS72" s="569"/>
      <c r="DT72" s="569"/>
      <c r="DU72" s="569"/>
      <c r="DV72" s="785"/>
      <c r="DW72" s="785"/>
      <c r="DX72" s="569"/>
      <c r="DY72" s="569"/>
      <c r="DZ72" s="569"/>
      <c r="EA72" s="569"/>
      <c r="EB72" s="569"/>
      <c r="EC72" s="785"/>
      <c r="ED72" s="785"/>
      <c r="EE72" s="569"/>
      <c r="EF72" s="569"/>
      <c r="EG72" s="569"/>
      <c r="EH72" s="569"/>
      <c r="EI72" s="569"/>
      <c r="EJ72" s="785"/>
      <c r="EK72" s="785"/>
      <c r="EL72" s="569"/>
      <c r="EM72" s="569"/>
      <c r="EN72" s="569"/>
      <c r="EO72" s="569"/>
      <c r="EP72" s="569"/>
      <c r="EQ72" s="785"/>
      <c r="ER72" s="785"/>
      <c r="ES72" s="569"/>
      <c r="ET72" s="569"/>
      <c r="EU72" s="569"/>
      <c r="EV72" s="569"/>
      <c r="EW72" s="569"/>
      <c r="EX72" s="785"/>
      <c r="EY72" s="785"/>
      <c r="EZ72" s="569"/>
      <c r="FA72" s="569"/>
      <c r="FB72" s="569"/>
      <c r="FC72" s="569"/>
      <c r="FD72" s="569"/>
      <c r="FE72" s="785"/>
      <c r="FF72" s="785"/>
      <c r="FH72"/>
      <c r="FI72"/>
      <c r="FO72"/>
      <c r="FP72"/>
      <c r="FV72"/>
      <c r="FW72"/>
      <c r="FZ72"/>
      <c r="GC72"/>
      <c r="GD72"/>
      <c r="GJ72"/>
      <c r="GK72"/>
      <c r="GQ72"/>
      <c r="GR72"/>
      <c r="GX72"/>
      <c r="GY72"/>
    </row>
    <row r="73" spans="1:207" x14ac:dyDescent="0.25">
      <c r="A73" s="569" t="s">
        <v>372</v>
      </c>
      <c r="B73" s="569"/>
      <c r="C73" s="569"/>
      <c r="D73" s="569"/>
      <c r="E73" s="569"/>
      <c r="F73" s="569"/>
      <c r="G73" s="785"/>
      <c r="H73" s="785"/>
      <c r="I73" s="569"/>
      <c r="J73" s="569"/>
      <c r="K73" s="569"/>
      <c r="L73" s="569"/>
      <c r="M73" s="569"/>
      <c r="N73" s="785"/>
      <c r="O73" s="785"/>
      <c r="P73" s="569"/>
      <c r="Q73" s="569"/>
      <c r="R73" s="569"/>
      <c r="S73" s="569"/>
      <c r="T73" s="569"/>
      <c r="U73" s="785"/>
      <c r="V73" s="785"/>
      <c r="W73" s="569"/>
      <c r="X73" s="569"/>
      <c r="Y73" s="569"/>
      <c r="Z73" s="569"/>
      <c r="AA73" s="569"/>
      <c r="AB73" s="785"/>
      <c r="AC73" s="785"/>
      <c r="AD73" s="569"/>
      <c r="AE73" s="569"/>
      <c r="AF73" s="569"/>
      <c r="AG73" s="569"/>
      <c r="AH73" s="569"/>
      <c r="AI73" s="785"/>
      <c r="AJ73" s="785"/>
      <c r="AK73" s="569"/>
      <c r="AL73" s="569"/>
      <c r="AM73" s="569"/>
      <c r="AN73" s="569"/>
      <c r="AO73" s="569"/>
      <c r="AP73" s="785"/>
      <c r="AQ73" s="785"/>
      <c r="AR73" s="569"/>
      <c r="AS73" s="569"/>
      <c r="AT73" s="569"/>
      <c r="AU73" s="569"/>
      <c r="AV73" s="785"/>
      <c r="AW73" s="785"/>
      <c r="AX73" s="785"/>
      <c r="AY73" s="806" t="s">
        <v>387</v>
      </c>
      <c r="AZ73" s="807"/>
      <c r="BA73" s="807"/>
      <c r="BB73" s="807"/>
      <c r="BC73" s="807"/>
      <c r="BD73" s="785"/>
      <c r="BE73" s="785"/>
      <c r="BF73" s="785"/>
      <c r="BG73" s="794"/>
      <c r="BH73" s="569"/>
      <c r="BI73" s="569"/>
      <c r="BJ73" s="569"/>
      <c r="BK73" s="785"/>
      <c r="BL73" s="785"/>
      <c r="BM73" s="569"/>
      <c r="BN73" s="569"/>
      <c r="BO73" s="766"/>
      <c r="BP73" s="829"/>
      <c r="BQ73" s="766"/>
      <c r="BR73" s="785"/>
      <c r="BS73" s="785"/>
      <c r="BT73" s="569"/>
      <c r="BU73" s="569"/>
      <c r="BV73" s="882"/>
      <c r="BW73" s="882"/>
      <c r="BX73" s="823"/>
      <c r="BY73" s="784"/>
      <c r="BZ73" s="785"/>
      <c r="CA73" s="569"/>
      <c r="CB73" s="569"/>
      <c r="CC73" s="569"/>
      <c r="CD73" s="569"/>
      <c r="CE73" s="569"/>
      <c r="CF73" s="785"/>
      <c r="CG73" s="785"/>
      <c r="CH73" s="569"/>
      <c r="CI73" s="569"/>
      <c r="CJ73" s="569"/>
      <c r="CK73" s="569"/>
      <c r="CL73" s="569"/>
      <c r="CM73" s="785"/>
      <c r="CN73" s="785"/>
      <c r="CO73" s="569"/>
      <c r="CP73" s="569"/>
      <c r="CQ73" s="569"/>
      <c r="CR73" s="569"/>
      <c r="CS73" s="569"/>
      <c r="CT73" s="784"/>
      <c r="CU73" s="784"/>
      <c r="CV73" s="569"/>
      <c r="CW73" s="569"/>
      <c r="CX73" s="569"/>
      <c r="CY73" s="569"/>
      <c r="CZ73" s="569"/>
      <c r="DA73" s="784"/>
      <c r="DB73" s="784"/>
      <c r="DC73" s="569"/>
      <c r="DD73" s="840"/>
      <c r="DE73" s="847"/>
      <c r="DF73" s="569"/>
      <c r="DG73" s="569"/>
      <c r="DH73" s="785"/>
      <c r="DI73" s="785"/>
      <c r="DJ73" s="569"/>
      <c r="DK73" s="569"/>
      <c r="DL73" s="569"/>
      <c r="DM73" s="569"/>
      <c r="DN73" s="569"/>
      <c r="DO73" s="785"/>
      <c r="DP73" s="785"/>
      <c r="DQ73" s="569"/>
      <c r="DR73" s="569"/>
      <c r="DS73" s="569"/>
      <c r="DT73" s="569"/>
      <c r="DU73" s="569"/>
      <c r="DV73" s="785"/>
      <c r="DW73" s="785"/>
      <c r="DX73" s="569"/>
      <c r="DY73" s="569"/>
      <c r="DZ73" s="569"/>
      <c r="EA73" s="569"/>
      <c r="EB73" s="569"/>
      <c r="EC73" s="785"/>
      <c r="ED73" s="785"/>
      <c r="EE73" s="569"/>
      <c r="EF73" s="569"/>
      <c r="EG73" s="569"/>
      <c r="EH73" s="569"/>
      <c r="EI73" s="569"/>
      <c r="EJ73" s="785"/>
      <c r="EK73" s="785"/>
      <c r="EL73" s="569"/>
      <c r="EM73" s="569"/>
      <c r="EN73" s="569"/>
      <c r="EO73" s="569"/>
      <c r="EP73" s="569"/>
      <c r="EQ73" s="785"/>
      <c r="ER73" s="785"/>
      <c r="ES73" s="569"/>
      <c r="ET73" s="569"/>
      <c r="EU73" s="569"/>
      <c r="EV73" s="569"/>
      <c r="EW73" s="569"/>
      <c r="EX73" s="785"/>
      <c r="EY73" s="785"/>
      <c r="EZ73" s="569"/>
      <c r="FA73" s="569"/>
      <c r="FB73" s="569"/>
      <c r="FC73" s="569"/>
      <c r="FD73" s="569"/>
      <c r="FE73" s="785"/>
      <c r="FF73" s="785"/>
      <c r="FH73"/>
      <c r="FI73"/>
      <c r="FO73"/>
      <c r="FP73"/>
      <c r="FV73"/>
      <c r="FW73"/>
      <c r="FZ73"/>
      <c r="GC73"/>
      <c r="GD73"/>
      <c r="GJ73"/>
      <c r="GK73"/>
      <c r="GQ73"/>
      <c r="GR73"/>
      <c r="GX73"/>
      <c r="GY73"/>
    </row>
    <row r="74" spans="1:207" x14ac:dyDescent="0.25">
      <c r="A74" s="569" t="s">
        <v>591</v>
      </c>
      <c r="B74" s="569"/>
      <c r="C74" s="569"/>
      <c r="D74" s="569"/>
      <c r="E74" s="569"/>
      <c r="F74" s="569"/>
      <c r="G74" s="785"/>
      <c r="H74" s="785"/>
      <c r="I74" s="569"/>
      <c r="J74" s="569"/>
      <c r="K74" s="569"/>
      <c r="L74" s="569"/>
      <c r="M74" s="569"/>
      <c r="N74" s="785"/>
      <c r="O74" s="785"/>
      <c r="P74" s="569"/>
      <c r="Q74" s="569"/>
      <c r="R74" s="569"/>
      <c r="S74" s="569"/>
      <c r="T74" s="569"/>
      <c r="U74" s="785"/>
      <c r="V74" s="785"/>
      <c r="W74" s="569"/>
      <c r="X74" s="569"/>
      <c r="Y74" s="569"/>
      <c r="Z74" s="569"/>
      <c r="AA74" s="569"/>
      <c r="AB74" s="785"/>
      <c r="AC74" s="785"/>
      <c r="AD74" s="569"/>
      <c r="AE74" s="569"/>
      <c r="AF74" s="569"/>
      <c r="AG74" s="569"/>
      <c r="AH74" s="569"/>
      <c r="AI74" s="785"/>
      <c r="AJ74" s="785"/>
      <c r="AK74" s="569"/>
      <c r="AL74" s="569"/>
      <c r="AM74" s="569"/>
      <c r="AN74" s="569"/>
      <c r="AO74" s="569"/>
      <c r="AP74" s="785"/>
      <c r="AQ74" s="785"/>
      <c r="AR74" s="569"/>
      <c r="AS74" s="569"/>
      <c r="AT74" s="569"/>
      <c r="AU74" s="569"/>
      <c r="AV74" s="785"/>
      <c r="AW74" s="785"/>
      <c r="AX74" s="785"/>
      <c r="AY74" s="794"/>
      <c r="AZ74" s="569"/>
      <c r="BA74" s="569"/>
      <c r="BB74" s="569"/>
      <c r="BC74" s="569"/>
      <c r="BD74" s="785"/>
      <c r="BE74" s="785"/>
      <c r="BF74" s="785"/>
      <c r="BG74" s="794"/>
      <c r="BH74" s="569"/>
      <c r="BI74" s="569"/>
      <c r="BJ74" s="569"/>
      <c r="BK74" s="785"/>
      <c r="BL74" s="785"/>
      <c r="BM74" s="569"/>
      <c r="BN74" s="569"/>
      <c r="BO74" s="569"/>
      <c r="BP74" s="569"/>
      <c r="BQ74" s="830"/>
      <c r="BR74" s="785"/>
      <c r="BS74" s="785"/>
      <c r="BT74" s="767"/>
      <c r="BU74" s="831"/>
      <c r="BV74" s="831"/>
      <c r="BW74" s="569"/>
      <c r="BX74" s="569"/>
      <c r="BY74" s="784"/>
      <c r="BZ74" s="785"/>
      <c r="CA74" s="569"/>
      <c r="CB74" s="569"/>
      <c r="CC74" s="569"/>
      <c r="CD74" s="569"/>
      <c r="CE74" s="569"/>
      <c r="CF74" s="785"/>
      <c r="CG74" s="785"/>
      <c r="CH74" s="569"/>
      <c r="CI74" s="569"/>
      <c r="CJ74" s="569"/>
      <c r="CK74" s="569"/>
      <c r="CL74" s="569"/>
      <c r="CM74" s="785"/>
      <c r="CN74" s="785"/>
      <c r="CO74" s="569"/>
      <c r="CP74" s="569"/>
      <c r="CQ74" s="569"/>
      <c r="CR74" s="569"/>
      <c r="CS74" s="569"/>
      <c r="CT74" s="784"/>
      <c r="CU74" s="784"/>
      <c r="CV74" s="569"/>
      <c r="CW74" s="569"/>
      <c r="CX74" s="569"/>
      <c r="CY74" s="569"/>
      <c r="CZ74" s="569"/>
      <c r="DA74" s="784"/>
      <c r="DB74" s="784"/>
      <c r="DC74" s="569"/>
      <c r="DD74" s="840"/>
      <c r="DE74" s="847"/>
      <c r="DF74" s="569"/>
      <c r="DG74" s="569"/>
      <c r="DH74" s="785"/>
      <c r="DI74" s="785"/>
      <c r="DJ74" s="569"/>
      <c r="DK74" s="569"/>
      <c r="DL74" s="569"/>
      <c r="DM74" s="569"/>
      <c r="DN74" s="569"/>
      <c r="DO74" s="785"/>
      <c r="DP74" s="785"/>
      <c r="DQ74" s="569"/>
      <c r="DR74" s="569"/>
      <c r="DS74" s="569"/>
      <c r="DT74" s="569"/>
      <c r="DU74" s="569"/>
      <c r="DV74" s="785"/>
      <c r="DW74" s="785"/>
      <c r="DX74" s="569"/>
      <c r="DY74" s="569"/>
      <c r="DZ74" s="569"/>
      <c r="EA74" s="569"/>
      <c r="EB74" s="569"/>
      <c r="EC74" s="785"/>
      <c r="ED74" s="785"/>
      <c r="EE74" s="569"/>
      <c r="EF74" s="569"/>
      <c r="EG74" s="569"/>
      <c r="EH74" s="569"/>
      <c r="EI74" s="569"/>
      <c r="EJ74" s="785"/>
      <c r="EK74" s="785"/>
      <c r="EL74" s="569"/>
      <c r="EM74" s="569"/>
      <c r="EN74" s="569"/>
      <c r="EO74" s="569"/>
      <c r="EP74" s="569"/>
      <c r="EQ74" s="785"/>
      <c r="ER74" s="785"/>
      <c r="ES74" s="569"/>
      <c r="ET74" s="569"/>
      <c r="EU74" s="569"/>
      <c r="EV74" s="569"/>
      <c r="EW74" s="569"/>
      <c r="EX74" s="785"/>
      <c r="EY74" s="785"/>
      <c r="EZ74" s="569"/>
      <c r="FA74" s="569"/>
      <c r="FB74" s="569"/>
      <c r="FC74" s="569"/>
      <c r="FD74" s="569"/>
      <c r="FE74" s="785"/>
      <c r="FF74" s="785"/>
      <c r="FH74"/>
      <c r="FI74"/>
      <c r="FO74"/>
      <c r="FP74"/>
      <c r="FV74"/>
      <c r="FW74"/>
      <c r="FZ74"/>
      <c r="GC74"/>
      <c r="GD74"/>
      <c r="GJ74"/>
      <c r="GK74"/>
      <c r="GQ74"/>
      <c r="GR74"/>
      <c r="GX74"/>
      <c r="GY74"/>
    </row>
    <row r="75" spans="1:207" x14ac:dyDescent="0.25">
      <c r="A75" s="828" t="s">
        <v>592</v>
      </c>
      <c r="B75" s="569"/>
      <c r="C75" s="569"/>
      <c r="D75" s="569"/>
      <c r="E75" s="569"/>
      <c r="F75" s="569"/>
      <c r="G75" s="785"/>
      <c r="H75" s="785"/>
      <c r="I75" s="569"/>
      <c r="J75" s="569"/>
      <c r="K75" s="569"/>
      <c r="L75" s="569"/>
      <c r="M75" s="569"/>
      <c r="N75" s="785"/>
      <c r="O75" s="785"/>
      <c r="P75" s="569"/>
      <c r="Q75" s="569"/>
      <c r="R75" s="569"/>
      <c r="S75" s="569"/>
      <c r="T75" s="569"/>
      <c r="U75" s="785"/>
      <c r="V75" s="785"/>
      <c r="W75" s="569"/>
      <c r="X75" s="569"/>
      <c r="Y75" s="569"/>
      <c r="Z75" s="569"/>
      <c r="AA75" s="569"/>
      <c r="AB75" s="785"/>
      <c r="AC75" s="785"/>
      <c r="AD75" s="569"/>
      <c r="AE75" s="569"/>
      <c r="AF75" s="569"/>
      <c r="AG75" s="569"/>
      <c r="AH75" s="569"/>
      <c r="AI75" s="785"/>
      <c r="AJ75" s="785"/>
      <c r="AK75" s="569"/>
      <c r="AL75" s="569"/>
      <c r="AM75" s="569"/>
      <c r="AN75" s="569"/>
      <c r="AO75" s="569"/>
      <c r="AP75" s="785"/>
      <c r="AQ75" s="785"/>
      <c r="AR75" s="569"/>
      <c r="AS75" s="569"/>
      <c r="AT75" s="569"/>
      <c r="AU75" s="569"/>
      <c r="AV75" s="785"/>
      <c r="AW75" s="785"/>
      <c r="AX75" s="785"/>
      <c r="AY75" s="794"/>
      <c r="AZ75" s="569"/>
      <c r="BA75" s="569"/>
      <c r="BB75" s="569"/>
      <c r="BC75" s="569"/>
      <c r="BD75" s="785"/>
      <c r="BE75" s="785"/>
      <c r="BF75" s="785"/>
      <c r="BG75" s="794"/>
      <c r="BH75" s="569"/>
      <c r="BI75" s="569"/>
      <c r="BJ75" s="569"/>
      <c r="BK75" s="785"/>
      <c r="BL75" s="785"/>
      <c r="BM75" s="569"/>
      <c r="BN75" s="569"/>
      <c r="BO75" s="569"/>
      <c r="BP75" s="569"/>
      <c r="BQ75" s="569"/>
      <c r="BR75" s="785"/>
      <c r="BS75" s="785"/>
      <c r="BT75" s="769"/>
      <c r="BU75" s="769"/>
      <c r="BV75" s="832"/>
      <c r="BW75" s="833"/>
      <c r="BX75" s="833"/>
      <c r="BY75" s="784"/>
      <c r="BZ75" s="785"/>
      <c r="CA75" s="569"/>
      <c r="CB75" s="569"/>
      <c r="CC75" s="569"/>
      <c r="CD75" s="569"/>
      <c r="CE75" s="569"/>
      <c r="CF75" s="785"/>
      <c r="CG75" s="785"/>
      <c r="CH75" s="569"/>
      <c r="CI75" s="569"/>
      <c r="CJ75" s="569"/>
      <c r="CK75" s="569"/>
      <c r="CL75" s="569"/>
      <c r="CM75" s="785"/>
      <c r="CN75" s="785"/>
      <c r="CO75" s="569"/>
      <c r="CP75" s="569"/>
      <c r="CQ75" s="569"/>
      <c r="CR75" s="569"/>
      <c r="CS75" s="569"/>
      <c r="CT75" s="784"/>
      <c r="CU75" s="784"/>
      <c r="CV75" s="569"/>
      <c r="CW75" s="569"/>
      <c r="CX75" s="569"/>
      <c r="CY75" s="569"/>
      <c r="CZ75" s="569"/>
      <c r="DA75" s="784"/>
      <c r="DB75" s="784"/>
      <c r="DC75" s="569"/>
      <c r="DD75" s="840"/>
      <c r="DE75" s="847"/>
      <c r="DF75" s="569"/>
      <c r="DG75" s="569"/>
      <c r="DH75" s="785"/>
      <c r="DI75" s="785"/>
      <c r="DJ75" s="569"/>
      <c r="DK75" s="569"/>
      <c r="DL75" s="569"/>
      <c r="DM75" s="569"/>
      <c r="DN75" s="569"/>
      <c r="DO75" s="785"/>
      <c r="DP75" s="785"/>
      <c r="DQ75" s="569"/>
      <c r="DR75" s="569"/>
      <c r="DS75" s="569"/>
      <c r="DT75" s="569"/>
      <c r="DU75" s="569"/>
      <c r="DV75" s="785"/>
      <c r="DW75" s="785"/>
      <c r="DX75" s="569"/>
      <c r="DY75" s="569"/>
      <c r="DZ75" s="569"/>
      <c r="EA75" s="569"/>
      <c r="EB75" s="569"/>
      <c r="EC75" s="785"/>
      <c r="ED75" s="785"/>
      <c r="EE75" s="569"/>
      <c r="EF75" s="569"/>
      <c r="EG75" s="569"/>
      <c r="EH75" s="569"/>
      <c r="EI75" s="569"/>
      <c r="EJ75" s="785"/>
      <c r="EK75" s="785"/>
      <c r="EL75" s="569"/>
      <c r="EM75" s="569"/>
      <c r="EN75" s="569"/>
      <c r="EO75" s="569"/>
      <c r="EP75" s="569"/>
      <c r="EQ75" s="785"/>
      <c r="ER75" s="785"/>
      <c r="ES75" s="569"/>
      <c r="ET75" s="569"/>
      <c r="EU75" s="569"/>
      <c r="EV75" s="569"/>
      <c r="EW75" s="569"/>
      <c r="EX75" s="785"/>
      <c r="EY75" s="785"/>
      <c r="EZ75" s="569"/>
      <c r="FA75" s="569"/>
      <c r="FB75" s="569"/>
      <c r="FC75" s="569"/>
      <c r="FD75" s="569"/>
      <c r="FE75" s="785"/>
      <c r="FF75" s="785"/>
      <c r="FH75"/>
      <c r="FI75"/>
      <c r="FO75"/>
      <c r="FP75"/>
      <c r="FV75"/>
      <c r="FW75"/>
      <c r="FZ75"/>
      <c r="GC75"/>
      <c r="GD75"/>
      <c r="GJ75"/>
      <c r="GK75"/>
      <c r="GQ75"/>
      <c r="GR75"/>
      <c r="GX75"/>
      <c r="GY75"/>
    </row>
    <row r="76" spans="1:207" x14ac:dyDescent="0.25">
      <c r="A76" s="828" t="s">
        <v>513</v>
      </c>
      <c r="B76" s="569"/>
      <c r="C76" s="569"/>
      <c r="D76" s="569"/>
      <c r="E76" s="569"/>
      <c r="F76" s="569"/>
      <c r="G76" s="785"/>
      <c r="H76" s="785"/>
      <c r="I76" s="569"/>
      <c r="J76" s="569"/>
      <c r="K76" s="569"/>
      <c r="L76" s="569"/>
      <c r="M76" s="569"/>
      <c r="N76" s="785"/>
      <c r="O76" s="785"/>
      <c r="P76" s="569"/>
      <c r="Q76" s="569"/>
      <c r="R76" s="569"/>
      <c r="S76" s="569"/>
      <c r="T76" s="569"/>
      <c r="U76" s="785"/>
      <c r="V76" s="785"/>
      <c r="W76" s="569"/>
      <c r="X76" s="569"/>
      <c r="Y76" s="569"/>
      <c r="Z76" s="569"/>
      <c r="AA76" s="569"/>
      <c r="AB76" s="785"/>
      <c r="AC76" s="785"/>
      <c r="AD76" s="569"/>
      <c r="AE76" s="569"/>
      <c r="AF76" s="569"/>
      <c r="AG76" s="569"/>
      <c r="AH76" s="569"/>
      <c r="AI76" s="785"/>
      <c r="AJ76" s="785"/>
      <c r="AK76" s="569"/>
      <c r="AL76" s="569"/>
      <c r="AM76" s="569"/>
      <c r="AN76" s="569"/>
      <c r="AO76" s="569"/>
      <c r="AP76" s="785"/>
      <c r="AQ76" s="785"/>
      <c r="AR76" s="569"/>
      <c r="AS76" s="569"/>
      <c r="AT76" s="569"/>
      <c r="AU76" s="569"/>
      <c r="AV76" s="785"/>
      <c r="AW76" s="785"/>
      <c r="AX76" s="785"/>
      <c r="AY76" s="794"/>
      <c r="AZ76" s="569"/>
      <c r="BA76" s="569"/>
      <c r="BB76" s="569"/>
      <c r="BC76" s="569"/>
      <c r="BD76" s="785"/>
      <c r="BE76" s="785"/>
      <c r="BF76" s="785"/>
      <c r="BG76" s="794"/>
      <c r="BH76" s="569"/>
      <c r="BI76" s="569"/>
      <c r="BJ76" s="569"/>
      <c r="BK76" s="785"/>
      <c r="BL76" s="785"/>
      <c r="BM76" s="825"/>
      <c r="BN76" s="569"/>
      <c r="BO76" s="569"/>
      <c r="BP76" s="569"/>
      <c r="BQ76" s="569"/>
      <c r="BR76" s="785"/>
      <c r="BS76" s="785"/>
      <c r="BT76" s="569"/>
      <c r="BU76" s="834"/>
      <c r="BV76" s="834"/>
      <c r="BW76" s="834"/>
      <c r="BX76" s="834"/>
      <c r="BY76" s="784"/>
      <c r="BZ76" s="785"/>
      <c r="CA76" s="569"/>
      <c r="CB76" s="569"/>
      <c r="CC76" s="569"/>
      <c r="CD76" s="569"/>
      <c r="CE76" s="569"/>
      <c r="CF76" s="785"/>
      <c r="CG76" s="785"/>
      <c r="CH76" s="569"/>
      <c r="CI76" s="569"/>
      <c r="CJ76" s="569"/>
      <c r="CK76" s="569"/>
      <c r="CL76" s="569"/>
      <c r="CM76" s="785"/>
      <c r="CN76" s="785"/>
      <c r="CO76" s="569"/>
      <c r="CP76" s="569"/>
      <c r="CQ76" s="569"/>
      <c r="CR76" s="569"/>
      <c r="CS76" s="569"/>
      <c r="CT76" s="784"/>
      <c r="CU76" s="784"/>
      <c r="CV76" s="569"/>
      <c r="CW76" s="569"/>
      <c r="CX76" s="569"/>
      <c r="CY76" s="569"/>
      <c r="CZ76" s="569"/>
      <c r="DA76" s="784"/>
      <c r="DB76" s="784"/>
      <c r="DC76" s="569"/>
      <c r="DD76" s="840"/>
      <c r="DE76" s="847"/>
      <c r="DF76" s="569"/>
      <c r="DG76" s="569"/>
      <c r="DH76" s="785"/>
      <c r="DI76" s="785"/>
      <c r="DJ76" s="569"/>
      <c r="DK76" s="569"/>
      <c r="DL76" s="569"/>
      <c r="DM76" s="569"/>
      <c r="DN76" s="569"/>
      <c r="DO76" s="785"/>
      <c r="DP76" s="785"/>
      <c r="DQ76" s="569"/>
      <c r="DR76" s="569"/>
      <c r="DS76" s="569"/>
      <c r="DT76" s="569"/>
      <c r="DU76" s="569"/>
      <c r="DV76" s="785"/>
      <c r="DW76" s="785"/>
      <c r="DX76" s="569"/>
      <c r="DY76" s="569"/>
      <c r="DZ76" s="569"/>
      <c r="EA76" s="569"/>
      <c r="EB76" s="569"/>
      <c r="EC76" s="785"/>
      <c r="ED76" s="785"/>
      <c r="EE76" s="569"/>
      <c r="EF76" s="569"/>
      <c r="EG76" s="569"/>
      <c r="EH76" s="569"/>
      <c r="EI76" s="569"/>
      <c r="EJ76" s="785"/>
      <c r="EK76" s="785"/>
      <c r="EL76" s="569"/>
      <c r="EM76" s="569"/>
      <c r="EN76" s="569"/>
      <c r="EO76" s="569"/>
      <c r="EP76" s="569"/>
      <c r="EQ76" s="785"/>
      <c r="ER76" s="785"/>
      <c r="ES76" s="569"/>
      <c r="ET76" s="569"/>
      <c r="EU76" s="569"/>
      <c r="EV76" s="569"/>
      <c r="EW76" s="569"/>
      <c r="EX76" s="785"/>
      <c r="EY76" s="785"/>
      <c r="EZ76" s="569"/>
      <c r="FA76" s="569"/>
      <c r="FB76" s="569"/>
      <c r="FC76" s="569"/>
      <c r="FD76" s="569"/>
      <c r="FE76" s="785"/>
      <c r="FF76" s="785"/>
      <c r="FH76"/>
      <c r="FI76"/>
      <c r="FO76"/>
      <c r="FP76"/>
      <c r="FV76"/>
      <c r="FW76"/>
      <c r="FZ76"/>
      <c r="GC76"/>
      <c r="GD76"/>
      <c r="GJ76"/>
      <c r="GK76"/>
      <c r="GQ76"/>
      <c r="GR76"/>
      <c r="GX76"/>
      <c r="GY76"/>
    </row>
    <row r="77" spans="1:207" x14ac:dyDescent="0.25">
      <c r="A77" s="569"/>
      <c r="B77" s="569"/>
      <c r="C77" s="569"/>
      <c r="D77" s="569"/>
      <c r="E77" s="569"/>
      <c r="F77" s="569"/>
      <c r="G77" s="785"/>
      <c r="H77" s="785"/>
      <c r="I77" s="569"/>
      <c r="J77" s="569"/>
      <c r="K77" s="569"/>
      <c r="L77" s="569"/>
      <c r="M77" s="569"/>
      <c r="N77" s="785"/>
      <c r="O77" s="785"/>
      <c r="P77" s="569"/>
      <c r="Q77" s="569"/>
      <c r="R77" s="569"/>
      <c r="S77" s="569"/>
      <c r="T77" s="569"/>
      <c r="U77" s="785"/>
      <c r="V77" s="785"/>
      <c r="W77" s="569"/>
      <c r="X77" s="569"/>
      <c r="Y77" s="569"/>
      <c r="Z77" s="569"/>
      <c r="AA77" s="569"/>
      <c r="AB77" s="785"/>
      <c r="AC77" s="785"/>
      <c r="AD77" s="569"/>
      <c r="AE77" s="569"/>
      <c r="AF77" s="569"/>
      <c r="AG77" s="569"/>
      <c r="AH77" s="569"/>
      <c r="AI77" s="785"/>
      <c r="AJ77" s="785"/>
      <c r="AK77" s="569"/>
      <c r="AL77" s="569"/>
      <c r="AM77" s="569"/>
      <c r="AN77" s="569"/>
      <c r="AO77" s="569"/>
      <c r="AP77" s="785"/>
      <c r="AQ77" s="785"/>
      <c r="AR77" s="569"/>
      <c r="AS77" s="569"/>
      <c r="AT77" s="569"/>
      <c r="AU77" s="569"/>
      <c r="AV77" s="785"/>
      <c r="AW77" s="785"/>
      <c r="AX77" s="785"/>
      <c r="AY77" s="794"/>
      <c r="AZ77" s="569"/>
      <c r="BA77" s="569"/>
      <c r="BB77" s="569"/>
      <c r="BC77" s="569"/>
      <c r="BD77" s="785"/>
      <c r="BE77" s="785"/>
      <c r="BF77" s="785"/>
      <c r="BG77" s="794"/>
      <c r="BH77" s="569"/>
      <c r="BI77" s="569"/>
      <c r="BJ77" s="569"/>
      <c r="BK77" s="785"/>
      <c r="BL77" s="785"/>
      <c r="BM77" s="825"/>
      <c r="BN77" s="569"/>
      <c r="BO77" s="569"/>
      <c r="BP77" s="569"/>
      <c r="BQ77" s="569"/>
      <c r="BR77" s="785"/>
      <c r="BS77" s="785"/>
      <c r="BT77" s="569"/>
      <c r="BU77" s="569"/>
      <c r="BV77" s="569"/>
      <c r="BW77" s="569"/>
      <c r="BX77" s="569"/>
      <c r="BY77" s="785"/>
      <c r="BZ77" s="785"/>
      <c r="CA77" s="569"/>
      <c r="CB77" s="569"/>
      <c r="CC77" s="569"/>
      <c r="CD77" s="569"/>
      <c r="CE77" s="569"/>
      <c r="CF77" s="785"/>
      <c r="CG77" s="785"/>
      <c r="CH77" s="569"/>
      <c r="CI77" s="569"/>
      <c r="CJ77" s="569"/>
      <c r="CK77" s="569"/>
      <c r="CL77" s="569"/>
      <c r="CM77" s="785"/>
      <c r="CN77" s="785"/>
      <c r="CO77" s="569"/>
      <c r="CP77" s="569"/>
      <c r="CQ77" s="569"/>
      <c r="CR77" s="569"/>
      <c r="CS77" s="569"/>
      <c r="CT77" s="784"/>
      <c r="CU77" s="784"/>
      <c r="CV77" s="569"/>
      <c r="CW77" s="569"/>
      <c r="CX77" s="569"/>
      <c r="CY77" s="569"/>
      <c r="CZ77" s="569"/>
      <c r="DA77" s="784"/>
      <c r="DB77" s="784"/>
      <c r="DC77" s="569"/>
      <c r="DD77" s="840"/>
      <c r="DE77" s="847"/>
      <c r="DF77" s="569"/>
      <c r="DG77" s="569"/>
      <c r="DH77" s="785"/>
      <c r="DI77" s="785"/>
      <c r="DJ77" s="569"/>
      <c r="DK77" s="569"/>
      <c r="DL77" s="569"/>
      <c r="DM77" s="569"/>
      <c r="DN77" s="569"/>
      <c r="DO77" s="785"/>
      <c r="DP77" s="785"/>
      <c r="DQ77" s="569"/>
      <c r="DR77" s="569"/>
      <c r="DS77" s="569"/>
      <c r="DT77" s="569"/>
      <c r="DU77" s="569"/>
      <c r="DV77" s="785"/>
      <c r="DW77" s="785"/>
      <c r="DX77" s="569"/>
      <c r="DY77" s="569"/>
      <c r="DZ77" s="569"/>
      <c r="EA77" s="569"/>
      <c r="EB77" s="569"/>
      <c r="EC77" s="785"/>
      <c r="ED77" s="785"/>
      <c r="EE77" s="569"/>
      <c r="EF77" s="569"/>
      <c r="EG77" s="569"/>
      <c r="EH77" s="569"/>
      <c r="EI77" s="569"/>
      <c r="EJ77" s="785"/>
      <c r="EK77" s="785"/>
      <c r="EL77" s="569"/>
      <c r="EM77" s="569"/>
      <c r="EN77" s="569"/>
      <c r="EO77" s="569"/>
      <c r="EP77" s="569"/>
      <c r="EQ77" s="785"/>
      <c r="ER77" s="785"/>
      <c r="ES77" s="569"/>
      <c r="ET77" s="569"/>
      <c r="EU77" s="569"/>
      <c r="EV77" s="569"/>
      <c r="EW77" s="569"/>
      <c r="EX77" s="785"/>
      <c r="EY77" s="785"/>
      <c r="EZ77" s="569"/>
      <c r="FA77" s="569"/>
      <c r="FB77" s="569"/>
      <c r="FC77" s="569"/>
      <c r="FD77" s="569"/>
      <c r="FE77" s="785"/>
      <c r="FF77" s="785"/>
      <c r="FH77"/>
      <c r="FI77"/>
      <c r="FO77"/>
      <c r="FP77"/>
      <c r="FV77"/>
      <c r="FW77"/>
      <c r="FZ77"/>
      <c r="GC77"/>
      <c r="GD77"/>
      <c r="GJ77"/>
      <c r="GK77"/>
      <c r="GQ77"/>
      <c r="GR77"/>
      <c r="GX77"/>
      <c r="GY77"/>
    </row>
    <row r="78" spans="1:207" x14ac:dyDescent="0.25">
      <c r="A78" s="569"/>
      <c r="B78" s="569"/>
      <c r="C78" s="569"/>
      <c r="D78" s="569"/>
      <c r="E78" s="569"/>
      <c r="F78" s="569"/>
      <c r="G78" s="785"/>
      <c r="H78" s="785"/>
      <c r="I78" s="569"/>
      <c r="J78" s="569"/>
      <c r="K78" s="569"/>
      <c r="L78" s="569"/>
      <c r="M78" s="569"/>
      <c r="N78" s="785"/>
      <c r="O78" s="785"/>
      <c r="P78" s="569"/>
      <c r="Q78" s="569"/>
      <c r="R78" s="569"/>
      <c r="S78" s="569"/>
      <c r="T78" s="569"/>
      <c r="U78" s="785"/>
      <c r="V78" s="785"/>
      <c r="W78" s="569"/>
      <c r="X78" s="569"/>
      <c r="Y78" s="569"/>
      <c r="Z78" s="569"/>
      <c r="AA78" s="569"/>
      <c r="AB78" s="785"/>
      <c r="AC78" s="785"/>
      <c r="AD78" s="569"/>
      <c r="AE78" s="569"/>
      <c r="AF78" s="569"/>
      <c r="AG78" s="569"/>
      <c r="AH78" s="569"/>
      <c r="AI78" s="785"/>
      <c r="AJ78" s="785"/>
      <c r="AK78" s="569"/>
      <c r="AL78" s="569"/>
      <c r="AM78" s="569"/>
      <c r="AN78" s="569"/>
      <c r="AO78" s="569"/>
      <c r="AP78" s="785"/>
      <c r="AQ78" s="785"/>
      <c r="AR78" s="569"/>
      <c r="AS78" s="569"/>
      <c r="AT78" s="569"/>
      <c r="AU78" s="569"/>
      <c r="AV78" s="785"/>
      <c r="AW78" s="785"/>
      <c r="AX78" s="785"/>
      <c r="AY78" s="794"/>
      <c r="AZ78" s="569"/>
      <c r="BA78" s="569"/>
      <c r="BB78" s="569"/>
      <c r="BC78" s="569"/>
      <c r="BD78" s="785"/>
      <c r="BE78" s="785"/>
      <c r="BF78" s="785"/>
      <c r="BG78" s="794"/>
      <c r="BH78" s="569"/>
      <c r="BI78" s="569"/>
      <c r="BJ78" s="569"/>
      <c r="BK78" s="785"/>
      <c r="BL78" s="785"/>
      <c r="BM78" s="569"/>
      <c r="BN78" s="569"/>
      <c r="BO78" s="569"/>
      <c r="BP78" s="569"/>
      <c r="BQ78" s="569"/>
      <c r="BR78" s="785"/>
      <c r="BS78" s="785"/>
      <c r="BT78" s="569"/>
      <c r="BU78" s="569"/>
      <c r="BV78" s="569"/>
      <c r="BW78" s="569"/>
      <c r="BX78" s="569"/>
      <c r="BY78" s="785"/>
      <c r="BZ78" s="785"/>
      <c r="CA78" s="569"/>
      <c r="CB78" s="569"/>
      <c r="CC78" s="569"/>
      <c r="CD78" s="569"/>
      <c r="CE78" s="569"/>
      <c r="CF78" s="785"/>
      <c r="CG78" s="785"/>
      <c r="CH78" s="569"/>
      <c r="CI78" s="569"/>
      <c r="CJ78" s="569"/>
      <c r="CK78" s="569"/>
      <c r="CL78" s="569"/>
      <c r="CM78" s="785"/>
      <c r="CN78" s="785"/>
      <c r="CO78" s="569"/>
      <c r="CP78" s="569"/>
      <c r="CQ78" s="569"/>
      <c r="CR78" s="569"/>
      <c r="CS78" s="569"/>
      <c r="CT78" s="784"/>
      <c r="CU78" s="784"/>
      <c r="CV78" s="569"/>
      <c r="CW78" s="569"/>
      <c r="CX78" s="569"/>
      <c r="CY78" s="569"/>
      <c r="CZ78" s="569"/>
      <c r="DA78" s="784"/>
      <c r="DB78" s="784"/>
      <c r="DC78" s="569"/>
      <c r="DD78" s="840"/>
      <c r="DE78" s="847"/>
      <c r="DF78" s="569"/>
      <c r="DG78" s="569"/>
      <c r="DH78" s="785"/>
      <c r="DI78" s="785"/>
      <c r="DJ78" s="569"/>
      <c r="DK78" s="569"/>
      <c r="DL78" s="569"/>
      <c r="DM78" s="569"/>
      <c r="DN78" s="569"/>
      <c r="DO78" s="785"/>
      <c r="DP78" s="785"/>
      <c r="DQ78" s="569"/>
      <c r="DR78" s="569"/>
      <c r="DS78" s="569"/>
      <c r="DT78" s="569"/>
      <c r="DU78" s="569"/>
      <c r="DV78" s="785"/>
      <c r="DW78" s="785"/>
      <c r="DX78" s="569"/>
      <c r="DY78" s="569"/>
      <c r="DZ78" s="569"/>
      <c r="EA78" s="569"/>
      <c r="EB78" s="569"/>
      <c r="EC78" s="785"/>
      <c r="ED78" s="785"/>
      <c r="EE78" s="569"/>
      <c r="EF78" s="569"/>
      <c r="EG78" s="569"/>
      <c r="EH78" s="569"/>
      <c r="EI78" s="569"/>
      <c r="EJ78" s="785"/>
      <c r="EK78" s="785"/>
      <c r="EL78" s="569"/>
      <c r="EM78" s="569"/>
      <c r="EN78" s="569"/>
      <c r="EO78" s="569"/>
      <c r="EP78" s="569"/>
      <c r="EQ78" s="785"/>
      <c r="ER78" s="785"/>
      <c r="ES78" s="569"/>
      <c r="ET78" s="569"/>
      <c r="EU78" s="569"/>
      <c r="EV78" s="569"/>
      <c r="EW78" s="569"/>
      <c r="EX78" s="785"/>
      <c r="EY78" s="785"/>
      <c r="EZ78" s="569"/>
      <c r="FA78" s="569"/>
      <c r="FB78" s="569"/>
      <c r="FC78" s="569"/>
      <c r="FD78" s="569"/>
      <c r="FE78" s="785"/>
      <c r="FF78" s="785"/>
      <c r="FH78"/>
      <c r="FI78"/>
      <c r="FO78"/>
      <c r="FP78"/>
      <c r="FV78"/>
      <c r="FW78"/>
      <c r="FZ78"/>
      <c r="GC78"/>
      <c r="GD78"/>
      <c r="GJ78"/>
      <c r="GK78"/>
      <c r="GQ78"/>
      <c r="GR78"/>
      <c r="GX78"/>
      <c r="GY78"/>
    </row>
    <row r="79" spans="1:207" x14ac:dyDescent="0.25">
      <c r="A79" s="789" t="s">
        <v>29</v>
      </c>
      <c r="B79" s="790"/>
      <c r="C79" s="790"/>
      <c r="D79" s="790"/>
      <c r="E79" s="790"/>
      <c r="F79" s="790"/>
      <c r="G79" s="790"/>
      <c r="H79" s="790"/>
      <c r="I79" s="790"/>
      <c r="J79" s="790"/>
      <c r="K79" s="790"/>
      <c r="L79" s="790"/>
      <c r="M79" s="790"/>
      <c r="N79" s="790"/>
      <c r="O79" s="790"/>
      <c r="P79" s="790"/>
      <c r="Q79" s="790"/>
      <c r="R79" s="790"/>
      <c r="S79" s="790"/>
      <c r="T79" s="790"/>
      <c r="U79" s="790"/>
      <c r="V79" s="790"/>
      <c r="W79" s="790"/>
      <c r="X79" s="790"/>
      <c r="Y79" s="790"/>
      <c r="Z79" s="790"/>
      <c r="AA79" s="790"/>
      <c r="AB79" s="790"/>
      <c r="AC79" s="790"/>
      <c r="AD79" s="790"/>
      <c r="AE79" s="790"/>
      <c r="AF79" s="790"/>
      <c r="AG79" s="790"/>
      <c r="AH79" s="790"/>
      <c r="AI79" s="790"/>
      <c r="AJ79" s="790"/>
      <c r="AK79" s="790"/>
      <c r="AL79" s="790"/>
      <c r="AM79" s="790"/>
      <c r="AN79" s="790"/>
      <c r="AO79" s="790"/>
      <c r="AP79" s="790"/>
      <c r="AQ79" s="790"/>
      <c r="AR79" s="790"/>
      <c r="AS79" s="790"/>
      <c r="AT79" s="790"/>
      <c r="AU79" s="790"/>
      <c r="AV79" s="790"/>
      <c r="AW79" s="790"/>
      <c r="AX79" s="790"/>
      <c r="AY79" s="791"/>
      <c r="AZ79" s="790"/>
      <c r="BA79" s="790"/>
      <c r="BB79" s="790"/>
      <c r="BC79" s="790"/>
      <c r="BD79" s="790"/>
      <c r="BE79" s="790"/>
      <c r="BF79" s="790"/>
      <c r="BG79" s="791"/>
      <c r="BH79" s="790"/>
      <c r="BI79" s="790"/>
      <c r="BJ79" s="790"/>
      <c r="BK79" s="790"/>
      <c r="BL79" s="790"/>
      <c r="BM79" s="790"/>
      <c r="BN79" s="790"/>
      <c r="BO79" s="790"/>
      <c r="BP79" s="790"/>
      <c r="BQ79" s="790"/>
      <c r="BR79" s="790"/>
      <c r="BS79" s="790"/>
      <c r="BT79" s="790"/>
      <c r="BU79" s="790"/>
      <c r="BV79" s="790"/>
      <c r="BW79" s="790"/>
      <c r="BX79" s="790"/>
      <c r="BY79" s="790"/>
      <c r="BZ79" s="790"/>
      <c r="CA79" s="790"/>
      <c r="CB79" s="790"/>
      <c r="CC79" s="790"/>
      <c r="CD79" s="790"/>
      <c r="CE79" s="790"/>
      <c r="CF79" s="790"/>
      <c r="CG79" s="790"/>
      <c r="CH79" s="790"/>
      <c r="CI79" s="790"/>
      <c r="CJ79" s="790"/>
      <c r="CK79" s="790"/>
      <c r="CL79" s="790"/>
      <c r="CM79" s="790"/>
      <c r="CN79" s="790"/>
      <c r="CO79" s="790"/>
      <c r="CP79" s="790"/>
      <c r="CQ79" s="790"/>
      <c r="CR79" s="790"/>
      <c r="CS79" s="790"/>
      <c r="CT79" s="792"/>
      <c r="CU79" s="792"/>
      <c r="CV79" s="790"/>
      <c r="CW79" s="790"/>
      <c r="CX79" s="790"/>
      <c r="CY79" s="790"/>
      <c r="CZ79" s="790"/>
      <c r="DA79" s="792"/>
      <c r="DB79" s="792"/>
      <c r="DC79" s="790"/>
      <c r="DD79" s="841"/>
      <c r="DE79" s="848"/>
      <c r="DF79" s="790"/>
      <c r="DG79" s="790"/>
      <c r="DH79" s="790"/>
      <c r="DI79" s="790"/>
      <c r="DJ79" s="790"/>
      <c r="DK79" s="790"/>
      <c r="DL79" s="790"/>
      <c r="DM79" s="790"/>
      <c r="DN79" s="790"/>
      <c r="DO79" s="790"/>
      <c r="DP79" s="790"/>
      <c r="DQ79" s="790"/>
      <c r="DR79" s="790"/>
      <c r="DS79" s="790"/>
      <c r="DT79" s="790"/>
      <c r="DU79" s="790"/>
      <c r="DV79" s="790"/>
      <c r="DW79" s="790"/>
      <c r="DX79" s="790"/>
      <c r="DY79" s="790"/>
      <c r="DZ79" s="790"/>
      <c r="EA79" s="790"/>
      <c r="EB79" s="790"/>
      <c r="EC79" s="790"/>
      <c r="ED79" s="790"/>
      <c r="EE79" s="790"/>
      <c r="EF79" s="790"/>
      <c r="EG79" s="790"/>
      <c r="EH79" s="790"/>
      <c r="EI79" s="790"/>
      <c r="EJ79" s="790"/>
      <c r="EK79" s="790"/>
      <c r="EL79" s="790"/>
      <c r="EM79" s="790"/>
      <c r="EN79" s="790"/>
      <c r="EO79" s="790"/>
      <c r="EP79" s="790"/>
      <c r="EQ79" s="790"/>
      <c r="ER79" s="790"/>
      <c r="ES79" s="790"/>
      <c r="ET79" s="790"/>
      <c r="EU79" s="790"/>
      <c r="EV79" s="790"/>
      <c r="EW79" s="790"/>
      <c r="EX79" s="790"/>
      <c r="EY79" s="790"/>
      <c r="EZ79" s="790"/>
      <c r="FA79" s="790"/>
      <c r="FB79" s="790"/>
      <c r="FC79" s="790"/>
      <c r="FD79" s="790"/>
      <c r="FE79" s="790"/>
      <c r="FF79" s="790"/>
      <c r="FH79"/>
      <c r="FI79"/>
      <c r="FO79"/>
      <c r="FP79"/>
      <c r="FV79"/>
      <c r="FW79"/>
      <c r="FZ79"/>
      <c r="GC79"/>
      <c r="GD79"/>
      <c r="GJ79"/>
      <c r="GK79"/>
      <c r="GQ79"/>
      <c r="GR79"/>
      <c r="GX79"/>
      <c r="GY79"/>
    </row>
    <row r="80" spans="1:207" x14ac:dyDescent="0.25">
      <c r="A80" s="569" t="s">
        <v>391</v>
      </c>
      <c r="B80" s="569"/>
      <c r="C80" s="569"/>
      <c r="D80" s="569"/>
      <c r="E80" s="569"/>
      <c r="F80" s="569"/>
      <c r="G80" s="785"/>
      <c r="H80" s="785"/>
      <c r="I80" s="569"/>
      <c r="J80" s="569"/>
      <c r="K80" s="569"/>
      <c r="L80" s="569"/>
      <c r="M80" s="569"/>
      <c r="N80" s="785"/>
      <c r="O80" s="785"/>
      <c r="P80" s="569"/>
      <c r="Q80" s="569"/>
      <c r="R80" s="569"/>
      <c r="S80" s="569"/>
      <c r="T80" s="569"/>
      <c r="U80" s="785"/>
      <c r="V80" s="785"/>
      <c r="W80" s="569"/>
      <c r="X80" s="569"/>
      <c r="Y80" s="569"/>
      <c r="Z80" s="569"/>
      <c r="AA80" s="569"/>
      <c r="AB80" s="785"/>
      <c r="AC80" s="785"/>
      <c r="AD80" s="569"/>
      <c r="AE80" s="569"/>
      <c r="AF80" s="569"/>
      <c r="AG80" s="569"/>
      <c r="AH80" s="569"/>
      <c r="AI80" s="785"/>
      <c r="AJ80" s="785"/>
      <c r="AK80" s="569"/>
      <c r="AL80" s="569"/>
      <c r="AM80" s="569"/>
      <c r="AN80" s="569"/>
      <c r="AO80" s="569"/>
      <c r="AP80" s="785"/>
      <c r="AQ80" s="785"/>
      <c r="AR80" s="774" t="s">
        <v>431</v>
      </c>
      <c r="AS80" s="544"/>
      <c r="AT80" s="569"/>
      <c r="AU80" s="569"/>
      <c r="AV80" s="785"/>
      <c r="AW80" s="785"/>
      <c r="AX80" s="785"/>
      <c r="AY80" s="794"/>
      <c r="AZ80" s="569"/>
      <c r="BA80" s="569"/>
      <c r="BB80" s="569"/>
      <c r="BC80" s="569"/>
      <c r="BD80" s="785"/>
      <c r="BE80" s="785"/>
      <c r="BF80" s="785"/>
      <c r="BG80" s="794"/>
      <c r="BH80" s="569"/>
      <c r="BI80" s="569"/>
      <c r="BJ80" s="569"/>
      <c r="BK80" s="785"/>
      <c r="BL80" s="785"/>
      <c r="BM80" s="569"/>
      <c r="BN80" s="569"/>
      <c r="BO80" s="569"/>
      <c r="BP80" s="569"/>
      <c r="BQ80" s="569"/>
      <c r="BR80" s="785"/>
      <c r="BS80" s="785"/>
      <c r="BT80" s="569"/>
      <c r="BU80" s="569"/>
      <c r="BV80" s="569"/>
      <c r="BW80" s="569"/>
      <c r="BX80" s="569"/>
      <c r="BY80" s="785"/>
      <c r="BZ80" s="785"/>
      <c r="CA80" s="569"/>
      <c r="CB80" s="569"/>
      <c r="CC80" s="569"/>
      <c r="CD80" s="569"/>
      <c r="CE80" s="569"/>
      <c r="CF80" s="785"/>
      <c r="CG80" s="785"/>
      <c r="CH80" s="569"/>
      <c r="CI80" s="569"/>
      <c r="CJ80" s="569"/>
      <c r="CK80" s="569"/>
      <c r="CL80" s="569"/>
      <c r="CM80" s="785"/>
      <c r="CN80" s="785"/>
      <c r="CO80" s="569"/>
      <c r="CP80" s="569"/>
      <c r="CQ80" s="569"/>
      <c r="CR80" s="569"/>
      <c r="CS80" s="569"/>
      <c r="CT80" s="784"/>
      <c r="CU80" s="784"/>
      <c r="CV80" s="569"/>
      <c r="CW80" s="569"/>
      <c r="CX80" s="569"/>
      <c r="CY80" s="569"/>
      <c r="CZ80" s="569"/>
      <c r="DA80" s="784"/>
      <c r="DB80" s="784"/>
      <c r="DC80" s="569"/>
      <c r="DD80" s="840"/>
      <c r="DE80" s="847"/>
      <c r="DF80" s="569"/>
      <c r="DG80" s="569"/>
      <c r="DH80" s="785"/>
      <c r="DI80" s="785"/>
      <c r="DJ80" s="569"/>
      <c r="DK80" s="569"/>
      <c r="DL80" s="569"/>
      <c r="DM80" s="569"/>
      <c r="DN80" s="569"/>
      <c r="DO80" s="785"/>
      <c r="DP80" s="785"/>
      <c r="DQ80" s="569"/>
      <c r="DR80" s="569"/>
      <c r="DS80" s="569"/>
      <c r="DT80" s="569"/>
      <c r="DU80" s="569"/>
      <c r="DV80" s="785"/>
      <c r="DW80" s="785"/>
      <c r="DX80" s="569"/>
      <c r="DY80" s="569"/>
      <c r="DZ80" s="569"/>
      <c r="EA80" s="569"/>
      <c r="EB80" s="569"/>
      <c r="EC80" s="785"/>
      <c r="ED80" s="785"/>
      <c r="EE80" s="569"/>
      <c r="EF80" s="569"/>
      <c r="EG80" s="569"/>
      <c r="EH80" s="569"/>
      <c r="EI80" s="569"/>
      <c r="EJ80" s="785"/>
      <c r="EK80" s="785"/>
      <c r="EL80" s="569"/>
      <c r="EM80" s="569"/>
      <c r="EN80" s="569"/>
      <c r="EO80" s="569"/>
      <c r="EP80" s="569"/>
      <c r="EQ80" s="785"/>
      <c r="ER80" s="785"/>
      <c r="ES80" s="569"/>
      <c r="ET80" s="569"/>
      <c r="EU80" s="569"/>
      <c r="EV80" s="569"/>
      <c r="EW80" s="569"/>
      <c r="EX80" s="785"/>
      <c r="EY80" s="785"/>
      <c r="EZ80" s="569"/>
      <c r="FA80" s="569"/>
      <c r="FB80" s="569"/>
      <c r="FC80" s="569"/>
      <c r="FD80" s="569"/>
      <c r="FE80" s="785"/>
      <c r="FF80" s="785"/>
      <c r="FH80"/>
      <c r="FI80"/>
      <c r="FO80"/>
      <c r="FP80"/>
      <c r="FV80"/>
      <c r="FW80"/>
      <c r="FZ80"/>
      <c r="GC80"/>
      <c r="GD80"/>
      <c r="GJ80"/>
      <c r="GK80"/>
      <c r="GQ80"/>
      <c r="GR80"/>
      <c r="GX80"/>
      <c r="GY80"/>
    </row>
    <row r="81" spans="1:207" x14ac:dyDescent="0.25">
      <c r="A81" s="569" t="s">
        <v>372</v>
      </c>
      <c r="B81" s="569"/>
      <c r="C81" s="569"/>
      <c r="D81" s="569"/>
      <c r="E81" s="569"/>
      <c r="F81" s="569"/>
      <c r="G81" s="785"/>
      <c r="H81" s="785"/>
      <c r="I81" s="569"/>
      <c r="J81" s="569"/>
      <c r="K81" s="569"/>
      <c r="L81" s="569"/>
      <c r="M81" s="569"/>
      <c r="N81" s="785"/>
      <c r="O81" s="785"/>
      <c r="P81" s="569"/>
      <c r="Q81" s="569"/>
      <c r="R81" s="569"/>
      <c r="S81" s="569"/>
      <c r="T81" s="569"/>
      <c r="U81" s="785"/>
      <c r="V81" s="785"/>
      <c r="W81" s="569"/>
      <c r="X81" s="569"/>
      <c r="Y81" s="569"/>
      <c r="Z81" s="569"/>
      <c r="AA81" s="569"/>
      <c r="AB81" s="785"/>
      <c r="AC81" s="785"/>
      <c r="AD81" s="569"/>
      <c r="AE81" s="569"/>
      <c r="AF81" s="569"/>
      <c r="AG81" s="569"/>
      <c r="AH81" s="569"/>
      <c r="AI81" s="785"/>
      <c r="AJ81" s="785"/>
      <c r="AK81" s="569"/>
      <c r="AL81" s="569"/>
      <c r="AM81" s="569"/>
      <c r="AN81" s="569"/>
      <c r="AO81" s="569"/>
      <c r="AP81" s="785"/>
      <c r="AQ81" s="785"/>
      <c r="AR81" s="569"/>
      <c r="AS81" s="569"/>
      <c r="AT81" s="569"/>
      <c r="AU81" s="569"/>
      <c r="AV81" s="785"/>
      <c r="AW81" s="785"/>
      <c r="AX81" s="785"/>
      <c r="AY81" s="806" t="s">
        <v>387</v>
      </c>
      <c r="AZ81" s="807"/>
      <c r="BA81" s="807"/>
      <c r="BB81" s="807"/>
      <c r="BC81" s="807"/>
      <c r="BD81" s="785"/>
      <c r="BE81" s="785"/>
      <c r="BF81" s="785"/>
      <c r="BG81" s="766"/>
      <c r="BH81" s="766"/>
      <c r="BI81" s="766"/>
      <c r="BJ81" s="569"/>
      <c r="BK81" s="785"/>
      <c r="BL81" s="785"/>
      <c r="BM81" s="569"/>
      <c r="BN81" s="569"/>
      <c r="BO81" s="569"/>
      <c r="BP81" s="569"/>
      <c r="BQ81" s="569"/>
      <c r="BR81" s="785"/>
      <c r="BS81" s="785"/>
      <c r="BT81" s="569"/>
      <c r="BU81" s="569"/>
      <c r="BV81" s="569"/>
      <c r="BW81" s="569"/>
      <c r="BX81" s="569"/>
      <c r="BY81" s="785"/>
      <c r="BZ81" s="785"/>
      <c r="CA81" s="569"/>
      <c r="CB81" s="569"/>
      <c r="CC81" s="569"/>
      <c r="CD81" s="569"/>
      <c r="CE81" s="569"/>
      <c r="CF81" s="785"/>
      <c r="CG81" s="785"/>
      <c r="CH81" s="569"/>
      <c r="CI81" s="569"/>
      <c r="CJ81" s="569"/>
      <c r="CK81" s="569"/>
      <c r="CL81" s="569"/>
      <c r="CM81" s="785"/>
      <c r="CN81" s="785"/>
      <c r="CO81" s="569"/>
      <c r="CP81" s="569"/>
      <c r="CQ81" s="569"/>
      <c r="CR81" s="569"/>
      <c r="CS81" s="569"/>
      <c r="CT81" s="784"/>
      <c r="CU81" s="784"/>
      <c r="CV81" s="569"/>
      <c r="CW81" s="569"/>
      <c r="CX81" s="569"/>
      <c r="CY81" s="569"/>
      <c r="CZ81" s="569"/>
      <c r="DA81" s="784"/>
      <c r="DB81" s="784"/>
      <c r="DC81" s="569"/>
      <c r="DD81" s="840"/>
      <c r="DE81" s="847"/>
      <c r="DF81" s="569"/>
      <c r="DG81" s="569"/>
      <c r="DH81" s="785"/>
      <c r="DI81" s="785"/>
      <c r="DJ81" s="569"/>
      <c r="DK81" s="569"/>
      <c r="DL81" s="569"/>
      <c r="DM81" s="569"/>
      <c r="DN81" s="569"/>
      <c r="DO81" s="785"/>
      <c r="DP81" s="785"/>
      <c r="DQ81" s="569"/>
      <c r="DR81" s="569"/>
      <c r="DS81" s="569"/>
      <c r="DT81" s="569"/>
      <c r="DU81" s="569"/>
      <c r="DV81" s="785"/>
      <c r="DW81" s="785"/>
      <c r="DX81" s="569"/>
      <c r="DY81" s="569"/>
      <c r="DZ81" s="569"/>
      <c r="EA81" s="569"/>
      <c r="EB81" s="569"/>
      <c r="EC81" s="785"/>
      <c r="ED81" s="785"/>
      <c r="EE81" s="569"/>
      <c r="EF81" s="569"/>
      <c r="EG81" s="569"/>
      <c r="EH81" s="569"/>
      <c r="EI81" s="569"/>
      <c r="EJ81" s="785"/>
      <c r="EK81" s="785"/>
      <c r="EL81" s="569"/>
      <c r="EM81" s="569"/>
      <c r="EN81" s="569"/>
      <c r="EO81" s="569"/>
      <c r="EP81" s="569"/>
      <c r="EQ81" s="785"/>
      <c r="ER81" s="785"/>
      <c r="ES81" s="569"/>
      <c r="ET81" s="569"/>
      <c r="EU81" s="569"/>
      <c r="EV81" s="569"/>
      <c r="EW81" s="569"/>
      <c r="EX81" s="785"/>
      <c r="EY81" s="785"/>
      <c r="EZ81" s="569"/>
      <c r="FA81" s="569"/>
      <c r="FB81" s="569"/>
      <c r="FC81" s="569"/>
      <c r="FD81" s="569"/>
      <c r="FE81" s="785"/>
      <c r="FF81" s="785"/>
      <c r="FH81"/>
      <c r="FI81"/>
      <c r="FO81"/>
      <c r="FP81"/>
      <c r="FV81"/>
      <c r="FW81"/>
      <c r="FZ81"/>
      <c r="GC81"/>
      <c r="GD81"/>
      <c r="GJ81"/>
      <c r="GK81"/>
      <c r="GQ81"/>
      <c r="GR81"/>
      <c r="GX81"/>
      <c r="GY81"/>
    </row>
    <row r="82" spans="1:207" x14ac:dyDescent="0.25">
      <c r="A82" s="569" t="s">
        <v>593</v>
      </c>
      <c r="B82" s="569"/>
      <c r="C82" s="569"/>
      <c r="D82" s="569"/>
      <c r="E82" s="569"/>
      <c r="F82" s="569"/>
      <c r="G82" s="785"/>
      <c r="H82" s="785"/>
      <c r="I82" s="569"/>
      <c r="J82" s="569"/>
      <c r="K82" s="569"/>
      <c r="L82" s="569"/>
      <c r="M82" s="569"/>
      <c r="N82" s="785"/>
      <c r="O82" s="785"/>
      <c r="P82" s="569"/>
      <c r="Q82" s="569"/>
      <c r="R82" s="569"/>
      <c r="S82" s="569"/>
      <c r="T82" s="569"/>
      <c r="U82" s="785"/>
      <c r="V82" s="785"/>
      <c r="W82" s="569"/>
      <c r="X82" s="569"/>
      <c r="Y82" s="569"/>
      <c r="Z82" s="569"/>
      <c r="AA82" s="569"/>
      <c r="AB82" s="785"/>
      <c r="AC82" s="785"/>
      <c r="AD82" s="569"/>
      <c r="AE82" s="569"/>
      <c r="AF82" s="569"/>
      <c r="AG82" s="569"/>
      <c r="AH82" s="569"/>
      <c r="AI82" s="785"/>
      <c r="AJ82" s="785"/>
      <c r="AK82" s="569"/>
      <c r="AL82" s="569"/>
      <c r="AM82" s="569"/>
      <c r="AN82" s="569"/>
      <c r="AO82" s="569"/>
      <c r="AP82" s="785"/>
      <c r="AQ82" s="785"/>
      <c r="AR82" s="569"/>
      <c r="AS82" s="569"/>
      <c r="AT82" s="569"/>
      <c r="AU82" s="569"/>
      <c r="AV82" s="785"/>
      <c r="AW82" s="785"/>
      <c r="AX82" s="785"/>
      <c r="AY82" s="794"/>
      <c r="AZ82" s="569"/>
      <c r="BA82" s="569"/>
      <c r="BB82" s="569"/>
      <c r="BC82" s="569"/>
      <c r="BD82" s="785"/>
      <c r="BE82" s="785"/>
      <c r="BF82" s="785"/>
      <c r="BG82" s="794"/>
      <c r="BH82" s="569"/>
      <c r="BI82" s="569"/>
      <c r="BJ82" s="569"/>
      <c r="BK82" s="785"/>
      <c r="BL82" s="785"/>
      <c r="BM82" s="835"/>
      <c r="BN82" s="767"/>
      <c r="BO82" s="767"/>
      <c r="BP82" s="569"/>
      <c r="BQ82" s="569"/>
      <c r="BR82" s="785"/>
      <c r="BS82" s="785"/>
      <c r="BT82" s="569"/>
      <c r="BU82" s="569"/>
      <c r="BV82" s="569"/>
      <c r="BW82" s="569"/>
      <c r="BX82" s="569"/>
      <c r="BY82" s="785"/>
      <c r="BZ82" s="785"/>
      <c r="CA82" s="569"/>
      <c r="CB82" s="569"/>
      <c r="CC82" s="569"/>
      <c r="CD82" s="569"/>
      <c r="CE82" s="569"/>
      <c r="CF82" s="785"/>
      <c r="CG82" s="785"/>
      <c r="CH82" s="569"/>
      <c r="CI82" s="569"/>
      <c r="CJ82" s="569"/>
      <c r="CK82" s="569"/>
      <c r="CL82" s="569"/>
      <c r="CM82" s="785"/>
      <c r="CN82" s="785"/>
      <c r="CO82" s="569"/>
      <c r="CP82" s="569"/>
      <c r="CQ82" s="569"/>
      <c r="CR82" s="569"/>
      <c r="CS82" s="569"/>
      <c r="CT82" s="784"/>
      <c r="CU82" s="784"/>
      <c r="CV82" s="569"/>
      <c r="CW82" s="569"/>
      <c r="CX82" s="569"/>
      <c r="CY82" s="569"/>
      <c r="CZ82" s="569"/>
      <c r="DA82" s="784"/>
      <c r="DB82" s="784"/>
      <c r="DC82" s="569"/>
      <c r="DD82" s="840"/>
      <c r="DE82" s="847"/>
      <c r="DF82" s="569"/>
      <c r="DG82" s="569"/>
      <c r="DH82" s="785"/>
      <c r="DI82" s="785"/>
      <c r="DJ82" s="569"/>
      <c r="DK82" s="569"/>
      <c r="DL82" s="569"/>
      <c r="DM82" s="569"/>
      <c r="DN82" s="569"/>
      <c r="DO82" s="785"/>
      <c r="DP82" s="785"/>
      <c r="DQ82" s="569"/>
      <c r="DR82" s="569"/>
      <c r="DS82" s="569"/>
      <c r="DT82" s="569"/>
      <c r="DU82" s="569"/>
      <c r="DV82" s="785"/>
      <c r="DW82" s="785"/>
      <c r="DX82" s="569"/>
      <c r="DY82" s="569"/>
      <c r="DZ82" s="569"/>
      <c r="EA82" s="569"/>
      <c r="EB82" s="569"/>
      <c r="EC82" s="785"/>
      <c r="ED82" s="785"/>
      <c r="EE82" s="569"/>
      <c r="EF82" s="569"/>
      <c r="EG82" s="569"/>
      <c r="EH82" s="569"/>
      <c r="EI82" s="569"/>
      <c r="EJ82" s="785"/>
      <c r="EK82" s="785"/>
      <c r="EL82" s="569"/>
      <c r="EM82" s="569"/>
      <c r="EN82" s="569"/>
      <c r="EO82" s="569"/>
      <c r="EP82" s="569"/>
      <c r="EQ82" s="785"/>
      <c r="ER82" s="785"/>
      <c r="ES82" s="569"/>
      <c r="ET82" s="569"/>
      <c r="EU82" s="569"/>
      <c r="EV82" s="569"/>
      <c r="EW82" s="569"/>
      <c r="EX82" s="785"/>
      <c r="EY82" s="785"/>
      <c r="EZ82" s="569"/>
      <c r="FA82" s="569"/>
      <c r="FB82" s="569"/>
      <c r="FC82" s="569"/>
      <c r="FD82" s="569"/>
      <c r="FE82" s="785"/>
      <c r="FF82" s="785"/>
      <c r="FH82"/>
      <c r="FI82"/>
      <c r="FO82"/>
      <c r="FP82"/>
      <c r="FV82"/>
      <c r="FW82"/>
      <c r="FZ82"/>
      <c r="GC82"/>
      <c r="GD82"/>
      <c r="GJ82"/>
      <c r="GK82"/>
      <c r="GQ82"/>
      <c r="GR82"/>
      <c r="GX82"/>
      <c r="GY82"/>
    </row>
    <row r="83" spans="1:207" x14ac:dyDescent="0.25">
      <c r="A83" s="828" t="s">
        <v>592</v>
      </c>
      <c r="B83" s="569"/>
      <c r="C83" s="569"/>
      <c r="D83" s="569"/>
      <c r="E83" s="569"/>
      <c r="F83" s="569"/>
      <c r="G83" s="785"/>
      <c r="H83" s="785"/>
      <c r="I83" s="569"/>
      <c r="J83" s="569"/>
      <c r="K83" s="569"/>
      <c r="L83" s="569"/>
      <c r="M83" s="569"/>
      <c r="N83" s="785"/>
      <c r="O83" s="785"/>
      <c r="P83" s="569"/>
      <c r="Q83" s="569"/>
      <c r="R83" s="569"/>
      <c r="S83" s="569"/>
      <c r="T83" s="569"/>
      <c r="U83" s="785"/>
      <c r="V83" s="785"/>
      <c r="W83" s="569"/>
      <c r="X83" s="569"/>
      <c r="Y83" s="569"/>
      <c r="Z83" s="569"/>
      <c r="AA83" s="569"/>
      <c r="AB83" s="785"/>
      <c r="AC83" s="785"/>
      <c r="AD83" s="569"/>
      <c r="AE83" s="569"/>
      <c r="AF83" s="569"/>
      <c r="AG83" s="569"/>
      <c r="AH83" s="569"/>
      <c r="AI83" s="785"/>
      <c r="AJ83" s="785"/>
      <c r="AK83" s="569"/>
      <c r="AL83" s="569"/>
      <c r="AM83" s="569"/>
      <c r="AN83" s="569"/>
      <c r="AO83" s="569"/>
      <c r="AP83" s="785"/>
      <c r="AQ83" s="785"/>
      <c r="AR83" s="569"/>
      <c r="AS83" s="569"/>
      <c r="AT83" s="569"/>
      <c r="AU83" s="569"/>
      <c r="AV83" s="785"/>
      <c r="AW83" s="785"/>
      <c r="AX83" s="785"/>
      <c r="AY83" s="794"/>
      <c r="AZ83" s="569"/>
      <c r="BA83" s="569"/>
      <c r="BB83" s="569"/>
      <c r="BC83" s="569"/>
      <c r="BD83" s="785"/>
      <c r="BE83" s="785"/>
      <c r="BF83" s="785"/>
      <c r="BG83" s="794"/>
      <c r="BH83" s="569"/>
      <c r="BI83" s="569"/>
      <c r="BJ83" s="569"/>
      <c r="BK83" s="785"/>
      <c r="BL83" s="785"/>
      <c r="BM83" s="569"/>
      <c r="BN83" s="569"/>
      <c r="BO83" s="770"/>
      <c r="BP83" s="769"/>
      <c r="BQ83" s="769"/>
      <c r="BR83" s="785"/>
      <c r="BS83" s="785"/>
      <c r="BT83" s="569"/>
      <c r="BU83" s="569"/>
      <c r="BV83" s="569"/>
      <c r="BW83" s="569"/>
      <c r="BX83" s="569"/>
      <c r="BY83" s="785"/>
      <c r="BZ83" s="785"/>
      <c r="CA83" s="569"/>
      <c r="CB83" s="569"/>
      <c r="CC83" s="569"/>
      <c r="CD83" s="569"/>
      <c r="CE83" s="569"/>
      <c r="CF83" s="785"/>
      <c r="CG83" s="785"/>
      <c r="CH83" s="569"/>
      <c r="CI83" s="569"/>
      <c r="CJ83" s="569"/>
      <c r="CK83" s="569"/>
      <c r="CL83" s="569"/>
      <c r="CM83" s="785"/>
      <c r="CN83" s="785"/>
      <c r="CO83" s="569"/>
      <c r="CP83" s="569"/>
      <c r="CQ83" s="569"/>
      <c r="CR83" s="569"/>
      <c r="CS83" s="569"/>
      <c r="CT83" s="784"/>
      <c r="CU83" s="784"/>
      <c r="CV83" s="569"/>
      <c r="CW83" s="569"/>
      <c r="CX83" s="569"/>
      <c r="CY83" s="569"/>
      <c r="CZ83" s="569"/>
      <c r="DA83" s="784"/>
      <c r="DB83" s="784"/>
      <c r="DC83" s="569"/>
      <c r="DD83" s="840"/>
      <c r="DE83" s="847"/>
      <c r="DF83" s="569"/>
      <c r="DG83" s="569"/>
      <c r="DH83" s="785"/>
      <c r="DI83" s="785"/>
      <c r="DJ83" s="569"/>
      <c r="DK83" s="569"/>
      <c r="DL83" s="569"/>
      <c r="DM83" s="569"/>
      <c r="DN83" s="569"/>
      <c r="DO83" s="785"/>
      <c r="DP83" s="785"/>
      <c r="DQ83" s="569"/>
      <c r="DR83" s="569"/>
      <c r="DS83" s="569"/>
      <c r="DT83" s="569"/>
      <c r="DU83" s="569"/>
      <c r="DV83" s="785"/>
      <c r="DW83" s="785"/>
      <c r="DX83" s="569"/>
      <c r="DY83" s="569"/>
      <c r="DZ83" s="569"/>
      <c r="EA83" s="569"/>
      <c r="EB83" s="569"/>
      <c r="EC83" s="785"/>
      <c r="ED83" s="785"/>
      <c r="EE83" s="569"/>
      <c r="EF83" s="569"/>
      <c r="EG83" s="569"/>
      <c r="EH83" s="569"/>
      <c r="EI83" s="569"/>
      <c r="EJ83" s="785"/>
      <c r="EK83" s="785"/>
      <c r="EL83" s="569"/>
      <c r="EM83" s="569"/>
      <c r="EN83" s="569"/>
      <c r="EO83" s="569"/>
      <c r="EP83" s="569"/>
      <c r="EQ83" s="785"/>
      <c r="ER83" s="785"/>
      <c r="ES83" s="569"/>
      <c r="ET83" s="569"/>
      <c r="EU83" s="569"/>
      <c r="EV83" s="569"/>
      <c r="EW83" s="569"/>
      <c r="EX83" s="785"/>
      <c r="EY83" s="785"/>
      <c r="EZ83" s="569"/>
      <c r="FA83" s="569"/>
      <c r="FB83" s="569"/>
      <c r="FC83" s="569"/>
      <c r="FD83" s="569"/>
      <c r="FE83" s="785"/>
      <c r="FF83" s="785"/>
      <c r="FH83"/>
      <c r="FI83"/>
      <c r="FO83"/>
      <c r="FP83"/>
      <c r="FV83"/>
      <c r="FW83"/>
      <c r="FZ83"/>
      <c r="GC83"/>
      <c r="GD83"/>
      <c r="GJ83"/>
      <c r="GK83"/>
      <c r="GQ83"/>
      <c r="GR83"/>
      <c r="GX83"/>
      <c r="GY83"/>
    </row>
    <row r="84" spans="1:207" x14ac:dyDescent="0.25">
      <c r="A84" s="828" t="s">
        <v>513</v>
      </c>
      <c r="B84" s="569"/>
      <c r="C84" s="569"/>
      <c r="D84" s="569"/>
      <c r="E84" s="569"/>
      <c r="F84" s="569"/>
      <c r="G84" s="785"/>
      <c r="H84" s="785"/>
      <c r="I84" s="569"/>
      <c r="J84" s="569"/>
      <c r="K84" s="569"/>
      <c r="L84" s="569"/>
      <c r="M84" s="569"/>
      <c r="N84" s="785"/>
      <c r="O84" s="785"/>
      <c r="P84" s="569"/>
      <c r="Q84" s="569"/>
      <c r="R84" s="569"/>
      <c r="S84" s="569"/>
      <c r="T84" s="569"/>
      <c r="U84" s="785"/>
      <c r="V84" s="785"/>
      <c r="W84" s="569"/>
      <c r="X84" s="569"/>
      <c r="Y84" s="569"/>
      <c r="Z84" s="569"/>
      <c r="AA84" s="569"/>
      <c r="AB84" s="785"/>
      <c r="AC84" s="785"/>
      <c r="AD84" s="569"/>
      <c r="AE84" s="569"/>
      <c r="AF84" s="569"/>
      <c r="AG84" s="569"/>
      <c r="AH84" s="569"/>
      <c r="AI84" s="785"/>
      <c r="AJ84" s="785"/>
      <c r="AK84" s="569"/>
      <c r="AL84" s="569"/>
      <c r="AM84" s="569"/>
      <c r="AN84" s="569"/>
      <c r="AO84" s="569"/>
      <c r="AP84" s="785"/>
      <c r="AQ84" s="785"/>
      <c r="AR84" s="569"/>
      <c r="AS84" s="569"/>
      <c r="AT84" s="569"/>
      <c r="AU84" s="569"/>
      <c r="AV84" s="785"/>
      <c r="AW84" s="785"/>
      <c r="AX84" s="785"/>
      <c r="AY84" s="794"/>
      <c r="AZ84" s="569"/>
      <c r="BA84" s="569"/>
      <c r="BB84" s="569"/>
      <c r="BC84" s="569"/>
      <c r="BD84" s="785"/>
      <c r="BE84" s="785"/>
      <c r="BF84" s="785"/>
      <c r="BG84" s="794"/>
      <c r="BH84" s="569"/>
      <c r="BI84" s="569"/>
      <c r="BJ84" s="569"/>
      <c r="BK84" s="785"/>
      <c r="BL84" s="785"/>
      <c r="BM84" s="569"/>
      <c r="BN84" s="569"/>
      <c r="BO84" s="569"/>
      <c r="BP84" s="569"/>
      <c r="BQ84" s="569"/>
      <c r="BR84" s="785"/>
      <c r="BS84" s="785"/>
      <c r="BT84" s="771"/>
      <c r="BU84" s="771"/>
      <c r="BV84" s="771"/>
      <c r="BW84" s="771"/>
      <c r="BX84" s="771"/>
      <c r="BY84" s="785"/>
      <c r="BZ84" s="785"/>
      <c r="CA84" s="569"/>
      <c r="CB84" s="569"/>
      <c r="CC84" s="569"/>
      <c r="CD84" s="569"/>
      <c r="CE84" s="569"/>
      <c r="CF84" s="785"/>
      <c r="CG84" s="785"/>
      <c r="CH84" s="569"/>
      <c r="CI84" s="569"/>
      <c r="CJ84" s="569"/>
      <c r="CK84" s="569"/>
      <c r="CL84" s="569"/>
      <c r="CM84" s="785"/>
      <c r="CN84" s="785"/>
      <c r="CO84" s="569"/>
      <c r="CP84" s="569"/>
      <c r="CQ84" s="569"/>
      <c r="CR84" s="569"/>
      <c r="CS84" s="569"/>
      <c r="CT84" s="784"/>
      <c r="CU84" s="784"/>
      <c r="CV84" s="569"/>
      <c r="CW84" s="569"/>
      <c r="CX84" s="569"/>
      <c r="CY84" s="569"/>
      <c r="CZ84" s="569"/>
      <c r="DA84" s="784"/>
      <c r="DB84" s="784"/>
      <c r="DC84" s="569"/>
      <c r="DD84" s="840"/>
      <c r="DE84" s="847"/>
      <c r="DF84" s="569"/>
      <c r="DG84" s="569"/>
      <c r="DH84" s="785"/>
      <c r="DI84" s="785"/>
      <c r="DJ84" s="569"/>
      <c r="DK84" s="569"/>
      <c r="DL84" s="569"/>
      <c r="DM84" s="569"/>
      <c r="DN84" s="569"/>
      <c r="DO84" s="785"/>
      <c r="DP84" s="785"/>
      <c r="DQ84" s="569"/>
      <c r="DR84" s="569"/>
      <c r="DS84" s="569"/>
      <c r="DT84" s="569"/>
      <c r="DU84" s="569"/>
      <c r="DV84" s="785"/>
      <c r="DW84" s="785"/>
      <c r="DX84" s="569"/>
      <c r="DY84" s="569"/>
      <c r="DZ84" s="569"/>
      <c r="EA84" s="569"/>
      <c r="EB84" s="569"/>
      <c r="EC84" s="785"/>
      <c r="ED84" s="785"/>
      <c r="EE84" s="569"/>
      <c r="EF84" s="569"/>
      <c r="EG84" s="569"/>
      <c r="EH84" s="569"/>
      <c r="EI84" s="569"/>
      <c r="EJ84" s="785"/>
      <c r="EK84" s="785"/>
      <c r="EL84" s="569"/>
      <c r="EM84" s="569"/>
      <c r="EN84" s="569"/>
      <c r="EO84" s="569"/>
      <c r="EP84" s="569"/>
      <c r="EQ84" s="785"/>
      <c r="ER84" s="785"/>
      <c r="ES84" s="569"/>
      <c r="ET84" s="569"/>
      <c r="EU84" s="569"/>
      <c r="EV84" s="569"/>
      <c r="EW84" s="569"/>
      <c r="EX84" s="785"/>
      <c r="EY84" s="785"/>
      <c r="EZ84" s="569"/>
      <c r="FA84" s="569"/>
      <c r="FB84" s="569"/>
      <c r="FC84" s="569"/>
      <c r="FD84" s="569"/>
      <c r="FE84" s="785"/>
      <c r="FF84" s="785"/>
      <c r="FH84"/>
      <c r="FI84"/>
      <c r="FO84"/>
      <c r="FP84"/>
      <c r="FV84"/>
      <c r="FW84"/>
      <c r="FZ84"/>
      <c r="GC84"/>
      <c r="GD84"/>
      <c r="GJ84"/>
      <c r="GK84"/>
      <c r="GQ84"/>
      <c r="GR84"/>
      <c r="GX84"/>
      <c r="GY84"/>
    </row>
    <row r="85" spans="1:207" x14ac:dyDescent="0.25">
      <c r="B85" s="569"/>
      <c r="C85" s="569"/>
      <c r="D85" s="569"/>
      <c r="E85" s="569"/>
      <c r="F85" s="569"/>
      <c r="G85" s="785"/>
      <c r="H85" s="785"/>
      <c r="I85" s="569"/>
      <c r="J85" s="569"/>
      <c r="K85" s="569"/>
      <c r="L85" s="569"/>
      <c r="M85" s="569"/>
      <c r="N85" s="785"/>
      <c r="O85" s="785"/>
      <c r="P85" s="569"/>
      <c r="Q85" s="569"/>
      <c r="R85" s="569"/>
      <c r="S85" s="569"/>
      <c r="T85" s="569"/>
      <c r="U85" s="785"/>
      <c r="V85" s="785"/>
      <c r="W85" s="569"/>
      <c r="X85" s="569"/>
      <c r="Y85" s="569"/>
      <c r="Z85" s="569"/>
      <c r="AA85" s="569"/>
      <c r="AB85" s="785"/>
      <c r="AC85" s="785"/>
      <c r="AD85" s="569"/>
      <c r="AE85" s="569"/>
      <c r="AF85" s="569"/>
      <c r="AG85" s="569"/>
      <c r="AH85" s="569"/>
      <c r="AI85" s="785"/>
      <c r="AJ85" s="785"/>
      <c r="AK85" s="569"/>
      <c r="AL85" s="569"/>
      <c r="AM85" s="569"/>
      <c r="AN85" s="569"/>
      <c r="AO85" s="569"/>
      <c r="AP85" s="785"/>
      <c r="AQ85" s="785"/>
      <c r="AR85" s="569"/>
      <c r="AS85" s="569"/>
      <c r="AT85" s="569"/>
      <c r="AU85" s="569"/>
      <c r="AV85" s="785"/>
      <c r="AW85" s="785"/>
      <c r="AX85" s="785"/>
      <c r="AY85" s="794"/>
      <c r="AZ85" s="569"/>
      <c r="BA85" s="569"/>
      <c r="BB85" s="569"/>
      <c r="BC85" s="569"/>
      <c r="BD85" s="785"/>
      <c r="BE85" s="785"/>
      <c r="BF85" s="785"/>
      <c r="BG85" s="794"/>
      <c r="BH85" s="569"/>
      <c r="BI85" s="569"/>
      <c r="BJ85" s="569"/>
      <c r="BK85" s="785"/>
      <c r="BL85" s="785"/>
      <c r="BM85" s="569"/>
      <c r="BN85" s="569"/>
      <c r="BO85" s="569"/>
      <c r="BP85" s="569"/>
      <c r="BQ85" s="569"/>
      <c r="BR85" s="785"/>
      <c r="BS85" s="785"/>
      <c r="BT85" s="569"/>
      <c r="BU85" s="569"/>
      <c r="BV85" s="569"/>
      <c r="BW85" s="569"/>
      <c r="BX85" s="569"/>
      <c r="BY85" s="785"/>
      <c r="BZ85" s="785"/>
      <c r="CA85" s="569"/>
      <c r="CB85" s="569"/>
      <c r="CC85" s="569"/>
      <c r="CD85" s="569"/>
      <c r="CE85" s="569"/>
      <c r="CF85" s="785"/>
      <c r="CG85" s="785"/>
      <c r="CI85"/>
      <c r="CJ85"/>
      <c r="CM85" s="785"/>
      <c r="CN85" s="785"/>
      <c r="CP85"/>
      <c r="CQ85"/>
      <c r="CT85" s="784"/>
      <c r="CU85" s="784"/>
      <c r="CV85" s="569"/>
      <c r="CW85" s="569"/>
      <c r="CX85" s="569"/>
      <c r="CY85" s="569"/>
      <c r="CZ85" s="569"/>
      <c r="DA85" s="784"/>
      <c r="DB85" s="784"/>
      <c r="DC85" s="569"/>
      <c r="DD85" s="840"/>
      <c r="DE85" s="847"/>
      <c r="DF85" s="569"/>
      <c r="DG85" s="569"/>
      <c r="DH85" s="785"/>
      <c r="DI85" s="785"/>
      <c r="DK85"/>
      <c r="DL85"/>
      <c r="DO85" s="785"/>
      <c r="DP85" s="785"/>
      <c r="DQ85"/>
      <c r="DR85"/>
      <c r="DS85"/>
      <c r="DT85"/>
      <c r="DV85" s="785"/>
      <c r="DW85" s="785"/>
      <c r="DY85"/>
      <c r="DZ85"/>
      <c r="EA85"/>
      <c r="EB85"/>
      <c r="EC85" s="785"/>
      <c r="ED85" s="785"/>
      <c r="EE85" s="569"/>
      <c r="EF85" s="569"/>
      <c r="EG85" s="569"/>
      <c r="EH85" s="569"/>
      <c r="EI85" s="569"/>
      <c r="EJ85" s="785"/>
      <c r="EK85" s="785"/>
      <c r="EL85" s="569"/>
      <c r="EM85" s="569"/>
      <c r="EN85" s="569"/>
      <c r="EO85" s="569"/>
      <c r="EP85" s="569"/>
      <c r="EQ85" s="785"/>
      <c r="ER85" s="785"/>
      <c r="ES85" s="569"/>
      <c r="ET85" s="569"/>
      <c r="EU85" s="569"/>
      <c r="EV85" s="569"/>
      <c r="EW85" s="569"/>
      <c r="EX85" s="785"/>
      <c r="EY85" s="785"/>
      <c r="EZ85" s="569"/>
      <c r="FA85" s="569"/>
      <c r="FB85" s="569"/>
      <c r="FC85" s="569"/>
      <c r="FD85" s="569"/>
      <c r="FE85" s="785"/>
      <c r="FF85" s="785"/>
      <c r="FH85"/>
      <c r="FI85"/>
      <c r="FO85"/>
      <c r="FP85"/>
      <c r="FV85"/>
      <c r="FW85"/>
      <c r="FZ85"/>
      <c r="GC85"/>
      <c r="GD85"/>
      <c r="GJ85"/>
      <c r="GK85"/>
      <c r="GQ85"/>
      <c r="GR85"/>
      <c r="GX85"/>
      <c r="GY85"/>
    </row>
    <row r="86" spans="1:207" s="82" customFormat="1" ht="23.25" x14ac:dyDescent="0.25">
      <c r="A86" s="763" t="s">
        <v>603</v>
      </c>
      <c r="B86" s="544"/>
      <c r="C86" s="544"/>
      <c r="D86" s="544"/>
      <c r="E86" s="544"/>
      <c r="F86" s="544"/>
      <c r="G86" s="544"/>
      <c r="H86" s="544"/>
      <c r="I86" s="544"/>
      <c r="J86" s="544"/>
      <c r="K86" s="544"/>
      <c r="L86" s="544"/>
      <c r="M86" s="544"/>
      <c r="N86" s="544"/>
      <c r="O86" s="544"/>
      <c r="P86" s="544"/>
      <c r="Q86" s="544"/>
      <c r="R86" s="544"/>
      <c r="S86" s="544"/>
      <c r="T86" s="544"/>
      <c r="U86" s="544"/>
      <c r="V86" s="544"/>
      <c r="W86" s="544"/>
      <c r="X86" s="544"/>
      <c r="Y86" s="544"/>
      <c r="Z86" s="544"/>
      <c r="AA86" s="544"/>
      <c r="AB86" s="544"/>
      <c r="AC86" s="544"/>
      <c r="AD86" s="544"/>
      <c r="AE86" s="544"/>
      <c r="AF86" s="544"/>
      <c r="AG86" s="544"/>
      <c r="AH86" s="544"/>
      <c r="AI86" s="544"/>
      <c r="AJ86" s="544"/>
      <c r="AK86" s="544"/>
      <c r="AL86" s="544"/>
      <c r="AM86" s="544"/>
      <c r="AN86" s="544"/>
      <c r="AO86" s="544"/>
      <c r="AP86" s="544"/>
      <c r="AQ86" s="544"/>
      <c r="AR86" s="544"/>
      <c r="AS86" s="544"/>
      <c r="AT86" s="544"/>
      <c r="AU86" s="544"/>
      <c r="AV86" s="544"/>
      <c r="AW86" s="544"/>
      <c r="AX86" s="544"/>
      <c r="AY86" s="773"/>
      <c r="AZ86" s="544"/>
      <c r="BA86" s="544"/>
      <c r="BB86" s="544"/>
      <c r="BC86" s="544"/>
      <c r="BD86" s="544"/>
      <c r="BE86" s="544"/>
      <c r="BF86" s="544"/>
      <c r="BG86" s="773"/>
      <c r="BH86" s="544"/>
      <c r="BI86" s="544"/>
      <c r="BJ86" s="544"/>
      <c r="BK86" s="544"/>
      <c r="BL86" s="544"/>
      <c r="BM86" s="544"/>
      <c r="BN86" s="544"/>
      <c r="BO86" s="544"/>
      <c r="BP86" s="544"/>
      <c r="BQ86" s="544"/>
      <c r="BR86" s="544"/>
      <c r="BS86" s="544"/>
      <c r="BT86" s="544"/>
      <c r="BU86" s="544"/>
      <c r="BV86" s="544"/>
      <c r="BW86" s="544"/>
      <c r="BX86" s="544"/>
      <c r="BY86" s="544"/>
      <c r="BZ86" s="544"/>
      <c r="CA86" s="544"/>
      <c r="CB86" s="544"/>
      <c r="CC86" s="544"/>
      <c r="CD86" s="544"/>
      <c r="CE86" s="544"/>
      <c r="CF86" s="544"/>
      <c r="CG86" s="544"/>
      <c r="CM86" s="544"/>
      <c r="CN86" s="544"/>
      <c r="CT86" s="774"/>
      <c r="CU86" s="774"/>
      <c r="CV86" s="544"/>
      <c r="CW86" s="544"/>
      <c r="CX86" s="544"/>
      <c r="CY86" s="544"/>
      <c r="CZ86" s="544"/>
      <c r="DA86" s="774"/>
      <c r="DB86" s="774"/>
      <c r="DC86" s="544"/>
      <c r="DD86" s="838"/>
      <c r="DE86" s="883"/>
      <c r="DF86" s="544"/>
      <c r="DG86" s="544"/>
      <c r="DH86" s="544"/>
      <c r="DI86" s="544"/>
      <c r="DO86" s="544"/>
      <c r="DP86" s="544"/>
      <c r="DV86" s="544"/>
      <c r="DW86" s="544"/>
      <c r="EC86" s="544"/>
      <c r="ED86" s="544"/>
      <c r="EE86" s="544"/>
      <c r="EF86" s="544"/>
      <c r="EG86" s="544"/>
      <c r="EH86" s="544"/>
      <c r="EI86" s="544"/>
      <c r="EJ86" s="544"/>
      <c r="EK86" s="544"/>
      <c r="EL86" s="544"/>
      <c r="EM86" s="544"/>
      <c r="EN86" s="544"/>
      <c r="EO86" s="544"/>
      <c r="EP86" s="544"/>
      <c r="EQ86" s="544"/>
      <c r="ER86" s="544"/>
      <c r="ES86" s="544"/>
      <c r="ET86" s="544"/>
      <c r="EU86" s="544"/>
      <c r="EV86" s="544"/>
      <c r="EW86" s="544"/>
      <c r="EX86" s="544"/>
      <c r="EY86" s="544"/>
      <c r="EZ86" s="544"/>
      <c r="FA86" s="544"/>
      <c r="FB86" s="544"/>
      <c r="FC86" s="544"/>
      <c r="FD86" s="544"/>
      <c r="FE86" s="544"/>
      <c r="FF86" s="544"/>
    </row>
    <row r="87" spans="1:207" x14ac:dyDescent="0.25">
      <c r="A87" s="853" t="s">
        <v>391</v>
      </c>
      <c r="B87" s="569"/>
      <c r="C87" s="569"/>
      <c r="D87" s="569"/>
      <c r="E87" s="569"/>
      <c r="F87" s="569"/>
      <c r="G87" s="785"/>
      <c r="H87" s="785"/>
      <c r="I87" s="569"/>
      <c r="J87" s="569"/>
      <c r="K87" s="569"/>
      <c r="L87" s="569"/>
      <c r="M87" s="569"/>
      <c r="N87" s="785"/>
      <c r="O87" s="785"/>
      <c r="P87" s="569"/>
      <c r="Q87" s="569"/>
      <c r="R87" s="569"/>
      <c r="S87" s="569"/>
      <c r="T87" s="569"/>
      <c r="U87" s="785"/>
      <c r="V87" s="785"/>
      <c r="W87" s="569"/>
      <c r="X87" s="569"/>
      <c r="Y87" s="569"/>
      <c r="Z87" s="569"/>
      <c r="AA87" s="569"/>
      <c r="AB87" s="785"/>
      <c r="AC87" s="785"/>
      <c r="AD87" s="569"/>
      <c r="AE87" s="569"/>
      <c r="AF87" s="569"/>
      <c r="AG87" s="569"/>
      <c r="AH87" s="569"/>
      <c r="AI87" s="785"/>
      <c r="AJ87" s="785"/>
      <c r="AK87" s="569"/>
      <c r="AL87" s="569"/>
      <c r="AM87" s="569"/>
      <c r="AN87" s="569"/>
      <c r="AO87" s="569"/>
      <c r="AP87" s="785"/>
      <c r="AQ87" s="785"/>
      <c r="AR87" s="569"/>
      <c r="AS87" s="569"/>
      <c r="AT87" s="569"/>
      <c r="AU87" s="569"/>
      <c r="AV87" s="785"/>
      <c r="AW87" s="785"/>
      <c r="AX87" s="785"/>
      <c r="AY87" s="794"/>
      <c r="AZ87" s="569"/>
      <c r="BA87" s="569"/>
      <c r="BB87" s="569"/>
      <c r="BC87" s="569"/>
      <c r="BD87" s="785"/>
      <c r="BE87" s="785"/>
      <c r="BF87" s="785"/>
      <c r="BG87" s="794"/>
      <c r="BH87" s="569"/>
      <c r="BI87" s="569"/>
      <c r="BJ87" s="569"/>
      <c r="BK87" s="785"/>
      <c r="BL87" s="785"/>
      <c r="BM87" s="569"/>
      <c r="BN87" s="569"/>
      <c r="BO87" s="569"/>
      <c r="BP87" s="569"/>
      <c r="BQ87" s="569"/>
      <c r="BR87" s="785"/>
      <c r="BS87" s="785"/>
      <c r="BT87" s="569"/>
      <c r="BU87" s="569"/>
      <c r="BV87" s="569"/>
      <c r="BW87" s="569"/>
      <c r="BX87" s="569"/>
      <c r="BY87" s="785"/>
      <c r="BZ87" s="785"/>
      <c r="CA87" s="569"/>
      <c r="CB87" s="569"/>
      <c r="CC87" s="569"/>
      <c r="CD87" s="569"/>
      <c r="CE87" s="569"/>
      <c r="CF87" s="785"/>
      <c r="CG87" s="785"/>
      <c r="CH87" s="765">
        <v>1</v>
      </c>
      <c r="CI87" s="765">
        <v>2</v>
      </c>
      <c r="CJ87" s="765">
        <v>3</v>
      </c>
      <c r="CK87" s="765">
        <v>4</v>
      </c>
      <c r="CL87" s="765">
        <v>5</v>
      </c>
      <c r="CM87" s="785"/>
      <c r="CN87" s="785"/>
      <c r="CO87" s="765">
        <v>6</v>
      </c>
      <c r="CP87" s="765">
        <v>7</v>
      </c>
      <c r="CQ87" s="765">
        <v>8</v>
      </c>
      <c r="CR87" s="765">
        <v>9</v>
      </c>
      <c r="CS87" s="765">
        <v>10</v>
      </c>
      <c r="CT87" s="784"/>
      <c r="CU87" s="784"/>
      <c r="CV87" s="569"/>
      <c r="CW87" s="569"/>
      <c r="CX87" s="569"/>
      <c r="CY87" s="569"/>
      <c r="CZ87" s="569"/>
      <c r="DA87" s="784"/>
      <c r="DB87" s="784"/>
      <c r="DC87" s="569"/>
      <c r="DD87" s="840"/>
      <c r="DE87" s="847"/>
      <c r="DF87" s="569"/>
      <c r="DG87" s="569"/>
      <c r="DH87" s="785"/>
      <c r="DI87" s="785"/>
      <c r="DK87"/>
      <c r="DL87"/>
      <c r="DO87" s="785"/>
      <c r="DP87" s="785"/>
      <c r="DQ87"/>
      <c r="DR87"/>
      <c r="DS87"/>
      <c r="DT87"/>
      <c r="DV87" s="785"/>
      <c r="DW87" s="785"/>
      <c r="DY87"/>
      <c r="DZ87"/>
      <c r="EA87"/>
      <c r="EB87"/>
      <c r="EC87" s="785"/>
      <c r="ED87" s="785"/>
      <c r="EE87" s="569"/>
      <c r="EF87" s="569"/>
      <c r="EG87" s="569"/>
      <c r="EH87" s="569"/>
      <c r="EI87" s="569"/>
      <c r="EJ87" s="785"/>
      <c r="EK87" s="785"/>
      <c r="EL87" s="569"/>
      <c r="EM87" s="569"/>
      <c r="EN87" s="569"/>
      <c r="EO87" s="569"/>
      <c r="EP87" s="569"/>
      <c r="EQ87" s="785"/>
      <c r="ER87" s="785"/>
      <c r="ES87" s="569"/>
      <c r="ET87" s="569"/>
      <c r="EU87" s="569"/>
      <c r="EV87" s="569"/>
      <c r="EW87" s="569"/>
      <c r="EX87" s="785"/>
      <c r="EY87" s="785"/>
      <c r="EZ87" s="569"/>
      <c r="FA87" s="569"/>
      <c r="FB87" s="569"/>
      <c r="FC87" s="569"/>
      <c r="FD87" s="569"/>
      <c r="FE87" s="785"/>
      <c r="FF87" s="785"/>
      <c r="FH87"/>
      <c r="FI87"/>
      <c r="FO87"/>
      <c r="FP87"/>
      <c r="FV87"/>
      <c r="FW87"/>
      <c r="FZ87"/>
      <c r="GC87"/>
      <c r="GD87"/>
      <c r="GJ87"/>
      <c r="GK87"/>
      <c r="GQ87"/>
      <c r="GR87"/>
      <c r="GX87"/>
      <c r="GY87"/>
    </row>
    <row r="88" spans="1:207" x14ac:dyDescent="0.25">
      <c r="A88" s="853" t="s">
        <v>594</v>
      </c>
      <c r="B88" s="569"/>
      <c r="C88" s="569"/>
      <c r="D88" s="569"/>
      <c r="E88" s="569"/>
      <c r="F88" s="569"/>
      <c r="G88" s="785"/>
      <c r="H88" s="785"/>
      <c r="I88" s="569"/>
      <c r="J88" s="569"/>
      <c r="K88" s="569"/>
      <c r="L88" s="569"/>
      <c r="M88" s="569"/>
      <c r="N88" s="785"/>
      <c r="O88" s="785"/>
      <c r="P88" s="569"/>
      <c r="Q88" s="569"/>
      <c r="R88" s="569"/>
      <c r="S88" s="569"/>
      <c r="T88" s="569"/>
      <c r="U88" s="785"/>
      <c r="V88" s="785"/>
      <c r="W88" s="569"/>
      <c r="X88" s="569"/>
      <c r="Y88" s="569"/>
      <c r="Z88" s="569"/>
      <c r="AA88" s="569"/>
      <c r="AB88" s="785"/>
      <c r="AC88" s="785"/>
      <c r="AD88" s="569"/>
      <c r="AE88" s="569"/>
      <c r="AF88" s="569"/>
      <c r="AG88" s="569"/>
      <c r="AH88" s="569"/>
      <c r="AI88" s="785"/>
      <c r="AJ88" s="785"/>
      <c r="AK88" s="569"/>
      <c r="AL88" s="569"/>
      <c r="AM88" s="569"/>
      <c r="AN88" s="569"/>
      <c r="AO88" s="569"/>
      <c r="AP88" s="785"/>
      <c r="AQ88" s="785"/>
      <c r="AR88" s="569"/>
      <c r="AS88" s="569"/>
      <c r="AT88" s="569"/>
      <c r="AU88" s="569"/>
      <c r="AV88" s="785"/>
      <c r="AW88" s="785"/>
      <c r="AX88" s="785"/>
      <c r="AY88" s="794"/>
      <c r="AZ88" s="569"/>
      <c r="BA88" s="569"/>
      <c r="BB88" s="569"/>
      <c r="BC88" s="569"/>
      <c r="BD88" s="785"/>
      <c r="BE88" s="785"/>
      <c r="BF88" s="785"/>
      <c r="BG88" s="794"/>
      <c r="BH88" s="569"/>
      <c r="BI88" s="569"/>
      <c r="BJ88" s="569"/>
      <c r="BK88" s="785"/>
      <c r="BL88" s="785"/>
      <c r="BM88" s="569"/>
      <c r="BN88" s="569"/>
      <c r="BO88" s="569"/>
      <c r="BP88" s="569"/>
      <c r="BQ88" s="569"/>
      <c r="BR88" s="785"/>
      <c r="BS88" s="785"/>
      <c r="BT88" s="569"/>
      <c r="BU88" s="569"/>
      <c r="BV88" s="569"/>
      <c r="BW88" s="569"/>
      <c r="BX88" s="569"/>
      <c r="BY88" s="785"/>
      <c r="BZ88" s="785"/>
      <c r="CA88" s="569"/>
      <c r="CB88" s="569"/>
      <c r="CC88" s="569"/>
      <c r="CD88" s="569"/>
      <c r="CE88" s="569"/>
      <c r="CF88" s="785"/>
      <c r="CG88" s="785"/>
      <c r="CH88" s="766">
        <v>1</v>
      </c>
      <c r="CI88" s="766">
        <v>2</v>
      </c>
      <c r="CJ88" s="766">
        <v>3</v>
      </c>
      <c r="CK88" s="766">
        <v>4</v>
      </c>
      <c r="CL88" s="766">
        <v>5</v>
      </c>
      <c r="CM88" s="785"/>
      <c r="CN88" s="785"/>
      <c r="CO88" s="766">
        <v>6</v>
      </c>
      <c r="CP88" s="766">
        <v>7</v>
      </c>
      <c r="CQ88" s="766">
        <v>8</v>
      </c>
      <c r="CR88" s="766">
        <v>9</v>
      </c>
      <c r="CS88" s="766">
        <v>10</v>
      </c>
      <c r="CT88" s="784"/>
      <c r="CU88" s="784"/>
      <c r="CV88" s="766">
        <v>11</v>
      </c>
      <c r="CW88" s="766">
        <v>12</v>
      </c>
      <c r="CX88" s="766">
        <v>13</v>
      </c>
      <c r="CY88" s="766">
        <v>14</v>
      </c>
      <c r="CZ88" s="766">
        <v>15</v>
      </c>
      <c r="DA88" s="784"/>
      <c r="DB88" s="784"/>
      <c r="DC88" s="766">
        <v>16</v>
      </c>
      <c r="DD88" s="884">
        <v>17</v>
      </c>
      <c r="DE88" s="885">
        <v>18</v>
      </c>
      <c r="DF88" s="766">
        <v>19</v>
      </c>
      <c r="DG88" s="766">
        <v>20</v>
      </c>
      <c r="DH88" s="785"/>
      <c r="DI88" s="785"/>
      <c r="DJ88" s="766">
        <v>21</v>
      </c>
      <c r="DK88" s="766">
        <v>22</v>
      </c>
      <c r="DL88" s="766">
        <v>23</v>
      </c>
      <c r="DM88" s="766">
        <v>24</v>
      </c>
      <c r="DN88" s="766">
        <v>25</v>
      </c>
      <c r="DO88" s="785"/>
      <c r="DP88" s="785"/>
      <c r="DQ88" s="766">
        <v>26</v>
      </c>
      <c r="DR88" s="766">
        <v>27</v>
      </c>
      <c r="DS88" s="766">
        <v>28</v>
      </c>
      <c r="DT88" s="766">
        <v>29</v>
      </c>
      <c r="DU88" s="766">
        <v>30</v>
      </c>
      <c r="DV88" s="785"/>
      <c r="DW88" s="785"/>
      <c r="DX88" s="766">
        <v>31</v>
      </c>
      <c r="DY88" s="766">
        <v>32</v>
      </c>
      <c r="DZ88" s="766">
        <v>33</v>
      </c>
      <c r="EA88" s="766">
        <v>34</v>
      </c>
      <c r="EB88"/>
      <c r="EC88" s="785"/>
      <c r="ED88" s="785"/>
      <c r="EE88" s="569"/>
      <c r="EF88" s="569"/>
      <c r="EG88" s="569"/>
      <c r="EH88" s="569"/>
      <c r="EI88" s="569"/>
      <c r="EJ88" s="785"/>
      <c r="EK88" s="785"/>
      <c r="EL88" s="569"/>
      <c r="EM88" s="569"/>
      <c r="EN88" s="569"/>
      <c r="EO88" s="569"/>
      <c r="EP88" s="569"/>
      <c r="EQ88" s="785"/>
      <c r="ER88" s="785"/>
      <c r="ES88" s="569"/>
      <c r="ET88" s="569"/>
      <c r="EU88" s="569"/>
      <c r="EV88" s="569"/>
      <c r="EW88" s="569"/>
      <c r="EX88" s="785"/>
      <c r="EY88" s="785"/>
      <c r="EZ88" s="569"/>
      <c r="FA88" s="569"/>
      <c r="FB88" s="569"/>
      <c r="FC88" s="569"/>
      <c r="FD88" s="569"/>
      <c r="FE88" s="785"/>
      <c r="FF88" s="785"/>
      <c r="FH88"/>
      <c r="FI88"/>
      <c r="FO88"/>
      <c r="FP88"/>
      <c r="FV88"/>
      <c r="FW88"/>
      <c r="FZ88"/>
      <c r="GC88"/>
      <c r="GD88"/>
      <c r="GJ88"/>
      <c r="GK88"/>
      <c r="GQ88"/>
      <c r="GR88"/>
      <c r="GX88"/>
      <c r="GY88"/>
    </row>
    <row r="89" spans="1:207" x14ac:dyDescent="0.25">
      <c r="A89" s="853" t="s">
        <v>593</v>
      </c>
      <c r="B89" s="569"/>
      <c r="C89" s="569"/>
      <c r="D89" s="569"/>
      <c r="E89" s="569"/>
      <c r="F89" s="569"/>
      <c r="G89" s="785"/>
      <c r="H89" s="785"/>
      <c r="I89" s="569"/>
      <c r="J89" s="569"/>
      <c r="K89" s="569"/>
      <c r="L89" s="569"/>
      <c r="M89" s="569"/>
      <c r="N89" s="785"/>
      <c r="O89" s="785"/>
      <c r="P89" s="569"/>
      <c r="Q89" s="569"/>
      <c r="R89" s="569"/>
      <c r="S89" s="569"/>
      <c r="T89" s="569"/>
      <c r="U89" s="785"/>
      <c r="V89" s="785"/>
      <c r="W89" s="569"/>
      <c r="X89" s="569"/>
      <c r="Y89" s="569"/>
      <c r="Z89" s="569"/>
      <c r="AA89" s="569"/>
      <c r="AB89" s="785"/>
      <c r="AC89" s="785"/>
      <c r="AD89" s="569"/>
      <c r="AE89" s="569"/>
      <c r="AF89" s="569"/>
      <c r="AG89" s="569"/>
      <c r="AH89" s="569"/>
      <c r="AI89" s="785"/>
      <c r="AJ89" s="785"/>
      <c r="AK89" s="569"/>
      <c r="AL89" s="569"/>
      <c r="AM89" s="569"/>
      <c r="AN89" s="569"/>
      <c r="AO89" s="569"/>
      <c r="AP89" s="785"/>
      <c r="AQ89" s="785"/>
      <c r="AR89" s="569"/>
      <c r="AS89" s="569"/>
      <c r="AT89" s="569"/>
      <c r="AU89" s="569"/>
      <c r="AV89" s="785"/>
      <c r="AW89" s="785"/>
      <c r="AX89" s="785"/>
      <c r="AY89" s="794"/>
      <c r="AZ89" s="569"/>
      <c r="BA89" s="569"/>
      <c r="BB89" s="569"/>
      <c r="BC89" s="569"/>
      <c r="BD89" s="785"/>
      <c r="BE89" s="785"/>
      <c r="BF89" s="785"/>
      <c r="BG89" s="794"/>
      <c r="BH89" s="569"/>
      <c r="BI89" s="569"/>
      <c r="BJ89" s="569"/>
      <c r="BK89" s="785"/>
      <c r="BL89" s="785"/>
      <c r="BM89" s="569"/>
      <c r="BN89" s="569"/>
      <c r="BO89" s="569"/>
      <c r="BP89" s="569"/>
      <c r="BQ89" s="569"/>
      <c r="BR89" s="785"/>
      <c r="BS89" s="785"/>
      <c r="BT89" s="569"/>
      <c r="BU89" s="569"/>
      <c r="BV89" s="569"/>
      <c r="BW89" s="569"/>
      <c r="BX89" s="569"/>
      <c r="BY89" s="785"/>
      <c r="BZ89" s="785"/>
      <c r="CA89" s="569"/>
      <c r="CB89" s="569"/>
      <c r="CC89" s="569"/>
      <c r="CD89" s="569"/>
      <c r="CE89" s="569"/>
      <c r="CF89" s="785"/>
      <c r="CG89" s="785"/>
      <c r="CH89" s="569"/>
      <c r="CI89" s="569"/>
      <c r="CJ89" s="569"/>
      <c r="CK89" s="569"/>
      <c r="CL89" s="569"/>
      <c r="CM89" s="785"/>
      <c r="CN89" s="785"/>
      <c r="CO89" s="569"/>
      <c r="CP89" s="569"/>
      <c r="CQ89" s="569"/>
      <c r="CR89" s="569"/>
      <c r="CS89" s="569"/>
      <c r="CT89" s="784"/>
      <c r="CU89" s="784"/>
      <c r="CV89" s="569"/>
      <c r="CW89" s="569"/>
      <c r="CX89" s="569"/>
      <c r="CY89" s="569"/>
      <c r="CZ89" s="569"/>
      <c r="DA89" s="784"/>
      <c r="DB89" s="784"/>
      <c r="DD89"/>
      <c r="DE89" s="886">
        <v>1</v>
      </c>
      <c r="DF89" s="767">
        <v>2</v>
      </c>
      <c r="DG89" s="767">
        <v>3</v>
      </c>
      <c r="DH89" s="785"/>
      <c r="DI89" s="785"/>
      <c r="DJ89" s="767">
        <v>4</v>
      </c>
      <c r="DK89" s="767">
        <v>5</v>
      </c>
      <c r="DL89" s="767">
        <v>6</v>
      </c>
      <c r="DM89" s="767">
        <v>7</v>
      </c>
      <c r="DN89" s="767">
        <v>8</v>
      </c>
      <c r="DO89" s="785"/>
      <c r="DP89" s="785"/>
      <c r="DQ89" s="767">
        <v>9</v>
      </c>
      <c r="DR89" s="767">
        <v>10</v>
      </c>
      <c r="DS89" s="767">
        <v>11</v>
      </c>
      <c r="DT89" s="767">
        <v>12</v>
      </c>
      <c r="DU89" s="767">
        <v>13</v>
      </c>
      <c r="DV89" s="785"/>
      <c r="DW89" s="785"/>
      <c r="DY89"/>
      <c r="DZ89"/>
      <c r="EA89"/>
      <c r="EB89"/>
      <c r="EC89" s="785"/>
      <c r="ED89" s="785"/>
      <c r="EE89" s="569"/>
      <c r="EF89" s="569"/>
      <c r="EG89" s="569"/>
      <c r="EH89" s="569"/>
      <c r="EI89" s="569"/>
      <c r="EJ89" s="785"/>
      <c r="EK89" s="785"/>
      <c r="EL89" s="569"/>
      <c r="EM89" s="569"/>
      <c r="EN89" s="569"/>
      <c r="EO89" s="569"/>
      <c r="EP89" s="569"/>
      <c r="EQ89" s="785"/>
      <c r="ER89" s="785"/>
      <c r="ES89" s="569"/>
      <c r="ET89" s="569"/>
      <c r="EU89" s="569"/>
      <c r="EV89" s="569"/>
      <c r="EW89" s="569"/>
      <c r="EX89" s="785"/>
      <c r="EY89" s="785"/>
      <c r="EZ89" s="569"/>
      <c r="FA89" s="569"/>
      <c r="FB89" s="569"/>
      <c r="FC89" s="569"/>
      <c r="FD89" s="569"/>
      <c r="FE89" s="785"/>
      <c r="FF89" s="785"/>
      <c r="FH89"/>
      <c r="FI89"/>
      <c r="FO89"/>
      <c r="FP89"/>
      <c r="FV89"/>
      <c r="FW89"/>
      <c r="FZ89"/>
      <c r="GC89"/>
      <c r="GD89"/>
      <c r="GJ89"/>
      <c r="GK89"/>
      <c r="GQ89"/>
      <c r="GR89"/>
      <c r="GX89"/>
      <c r="GY89"/>
    </row>
    <row r="90" spans="1:207" x14ac:dyDescent="0.25">
      <c r="A90" s="836" t="s">
        <v>592</v>
      </c>
      <c r="B90" s="569"/>
      <c r="C90" s="569"/>
      <c r="D90" s="569"/>
      <c r="E90" s="569"/>
      <c r="F90" s="569"/>
      <c r="G90" s="785"/>
      <c r="H90" s="785"/>
      <c r="I90" s="569"/>
      <c r="J90" s="569"/>
      <c r="K90" s="569"/>
      <c r="L90" s="569"/>
      <c r="M90" s="569"/>
      <c r="N90" s="785"/>
      <c r="O90" s="785"/>
      <c r="P90" s="569"/>
      <c r="Q90" s="569"/>
      <c r="R90" s="569"/>
      <c r="S90" s="569"/>
      <c r="T90" s="569"/>
      <c r="U90" s="785"/>
      <c r="V90" s="785"/>
      <c r="W90" s="569"/>
      <c r="X90" s="569"/>
      <c r="Y90" s="569"/>
      <c r="Z90" s="569"/>
      <c r="AA90" s="569"/>
      <c r="AB90" s="785"/>
      <c r="AC90" s="785"/>
      <c r="AD90" s="569"/>
      <c r="AE90" s="569"/>
      <c r="AF90" s="569"/>
      <c r="AG90" s="569"/>
      <c r="AH90" s="569"/>
      <c r="AI90" s="785"/>
      <c r="AJ90" s="785"/>
      <c r="AK90" s="569"/>
      <c r="AL90" s="569"/>
      <c r="AM90" s="569"/>
      <c r="AN90" s="569"/>
      <c r="AO90" s="569"/>
      <c r="AP90" s="785"/>
      <c r="AQ90" s="785"/>
      <c r="AR90" s="569"/>
      <c r="AS90" s="569"/>
      <c r="AT90" s="569"/>
      <c r="AU90" s="569"/>
      <c r="AV90" s="785"/>
      <c r="AW90" s="785"/>
      <c r="AX90" s="785"/>
      <c r="AY90" s="794"/>
      <c r="AZ90" s="569"/>
      <c r="BA90" s="569"/>
      <c r="BB90" s="569"/>
      <c r="BC90" s="569"/>
      <c r="BD90" s="785"/>
      <c r="BE90" s="785"/>
      <c r="BF90" s="785"/>
      <c r="BG90" s="794"/>
      <c r="BH90" s="569"/>
      <c r="BI90" s="569"/>
      <c r="BJ90" s="569"/>
      <c r="BK90" s="785"/>
      <c r="BL90" s="785"/>
      <c r="BM90" s="569"/>
      <c r="BN90" s="569"/>
      <c r="BO90" s="569"/>
      <c r="BP90" s="569"/>
      <c r="BQ90" s="569"/>
      <c r="BR90" s="785"/>
      <c r="BS90" s="785"/>
      <c r="BT90" s="569"/>
      <c r="BU90" s="569"/>
      <c r="BV90" s="569"/>
      <c r="BW90" s="569"/>
      <c r="BX90" s="569"/>
      <c r="BY90" s="785"/>
      <c r="BZ90" s="785"/>
      <c r="CA90" s="569"/>
      <c r="CB90" s="569"/>
      <c r="CC90" s="569"/>
      <c r="CD90" s="569"/>
      <c r="CE90" s="569"/>
      <c r="CF90" s="785"/>
      <c r="CG90" s="785"/>
      <c r="CH90" s="569"/>
      <c r="CI90" s="569"/>
      <c r="CJ90" s="569"/>
      <c r="CK90" s="569"/>
      <c r="CL90" s="569"/>
      <c r="CM90" s="785"/>
      <c r="CN90" s="785"/>
      <c r="CO90" s="569"/>
      <c r="CP90" s="569"/>
      <c r="CQ90" s="569"/>
      <c r="CR90" s="569"/>
      <c r="CS90" s="569"/>
      <c r="CT90" s="784"/>
      <c r="CU90" s="784"/>
      <c r="CV90" s="569"/>
      <c r="CW90" s="569"/>
      <c r="CX90" s="569"/>
      <c r="CY90" s="569"/>
      <c r="CZ90" s="569"/>
      <c r="DA90" s="784"/>
      <c r="DB90" s="784"/>
      <c r="DC90" s="569"/>
      <c r="DD90" s="840"/>
      <c r="DE90" s="847"/>
      <c r="DF90" s="569"/>
      <c r="DG90" s="569"/>
      <c r="DH90" s="785"/>
      <c r="DI90" s="785"/>
      <c r="DJ90" s="569"/>
      <c r="DK90" s="569"/>
      <c r="DL90" s="569"/>
      <c r="DM90" s="569"/>
      <c r="DN90" s="569"/>
      <c r="DO90" s="785"/>
      <c r="DP90" s="785"/>
      <c r="DQ90" s="569"/>
      <c r="DR90"/>
      <c r="DS90"/>
      <c r="DT90" s="769">
        <v>1</v>
      </c>
      <c r="DU90" s="769">
        <v>2</v>
      </c>
      <c r="DV90" s="785"/>
      <c r="DW90" s="785"/>
      <c r="DX90" s="769">
        <v>3</v>
      </c>
      <c r="DY90" s="769">
        <v>4</v>
      </c>
      <c r="DZ90" s="769">
        <v>5</v>
      </c>
      <c r="EA90" s="769">
        <v>6</v>
      </c>
      <c r="EB90" s="770">
        <v>7</v>
      </c>
      <c r="EC90" s="785"/>
      <c r="ED90" s="785"/>
      <c r="EE90" s="769">
        <v>8</v>
      </c>
      <c r="EF90" s="769">
        <v>9</v>
      </c>
      <c r="EG90" s="769">
        <v>10</v>
      </c>
      <c r="EH90" s="769">
        <v>11</v>
      </c>
      <c r="EI90" s="770">
        <v>12</v>
      </c>
      <c r="EJ90" s="785"/>
      <c r="EK90" s="785"/>
      <c r="EL90" s="769">
        <v>13</v>
      </c>
      <c r="EM90" s="769">
        <v>14</v>
      </c>
      <c r="EN90" s="769">
        <v>15</v>
      </c>
      <c r="EQ90" s="785"/>
      <c r="ER90" s="785"/>
      <c r="ET90"/>
      <c r="EU90"/>
      <c r="EV90"/>
      <c r="EX90" s="785"/>
      <c r="EY90" s="785"/>
      <c r="FA90"/>
      <c r="FB90"/>
      <c r="FE90" s="785"/>
      <c r="FF90" s="785"/>
      <c r="FH90"/>
      <c r="FI90"/>
      <c r="FO90"/>
      <c r="FP90"/>
      <c r="FV90"/>
      <c r="FW90"/>
      <c r="FZ90"/>
      <c r="GC90"/>
      <c r="GD90"/>
      <c r="GJ90"/>
      <c r="GK90"/>
      <c r="GQ90"/>
      <c r="GR90"/>
      <c r="GX90"/>
      <c r="GY90"/>
    </row>
    <row r="91" spans="1:207" x14ac:dyDescent="0.25">
      <c r="A91" s="836" t="s">
        <v>124</v>
      </c>
      <c r="B91" s="569"/>
      <c r="C91" s="569"/>
      <c r="D91" s="569"/>
      <c r="E91" s="569"/>
      <c r="F91" s="569"/>
      <c r="G91" s="785"/>
      <c r="H91" s="785"/>
      <c r="I91" s="569"/>
      <c r="J91" s="569"/>
      <c r="K91" s="569"/>
      <c r="L91" s="569"/>
      <c r="M91" s="569"/>
      <c r="N91" s="785"/>
      <c r="O91" s="785"/>
      <c r="P91" s="569"/>
      <c r="Q91" s="569"/>
      <c r="R91" s="569"/>
      <c r="S91" s="569"/>
      <c r="T91" s="569"/>
      <c r="U91" s="785"/>
      <c r="V91" s="785"/>
      <c r="W91" s="569"/>
      <c r="X91" s="569"/>
      <c r="Y91" s="569"/>
      <c r="Z91" s="569"/>
      <c r="AA91" s="569"/>
      <c r="AB91" s="785"/>
      <c r="AC91" s="785"/>
      <c r="AD91" s="569"/>
      <c r="AE91" s="569"/>
      <c r="AF91" s="569"/>
      <c r="AG91" s="569"/>
      <c r="AH91" s="569"/>
      <c r="AI91" s="785"/>
      <c r="AJ91" s="785"/>
      <c r="AK91" s="569"/>
      <c r="AL91" s="569"/>
      <c r="AM91" s="569"/>
      <c r="AN91" s="569"/>
      <c r="AO91" s="569"/>
      <c r="AP91" s="785"/>
      <c r="AQ91" s="785"/>
      <c r="AR91" s="569"/>
      <c r="AS91" s="569"/>
      <c r="AT91" s="569"/>
      <c r="AU91" s="569"/>
      <c r="AV91" s="785"/>
      <c r="AW91" s="785"/>
      <c r="AX91" s="785"/>
      <c r="AY91" s="794"/>
      <c r="AZ91" s="569"/>
      <c r="BA91" s="569"/>
      <c r="BB91" s="569"/>
      <c r="BC91" s="569"/>
      <c r="BD91" s="785"/>
      <c r="BE91" s="785"/>
      <c r="BF91" s="785"/>
      <c r="BG91" s="794"/>
      <c r="BH91" s="569"/>
      <c r="BI91" s="569"/>
      <c r="BJ91" s="569"/>
      <c r="BK91" s="785"/>
      <c r="BL91" s="785"/>
      <c r="BM91" s="569"/>
      <c r="BN91" s="569"/>
      <c r="BO91" s="569"/>
      <c r="BP91" s="569"/>
      <c r="BQ91" s="569"/>
      <c r="BR91" s="785"/>
      <c r="BS91" s="785"/>
      <c r="BT91" s="569"/>
      <c r="BU91" s="569"/>
      <c r="BV91" s="569"/>
      <c r="BW91" s="569"/>
      <c r="BX91" s="569"/>
      <c r="BY91" s="785"/>
      <c r="BZ91" s="785"/>
      <c r="CA91" s="569"/>
      <c r="CB91" s="569"/>
      <c r="CC91" s="569"/>
      <c r="CD91" s="569"/>
      <c r="CE91" s="569"/>
      <c r="CF91" s="785"/>
      <c r="CG91" s="785"/>
      <c r="CH91" s="569"/>
      <c r="CI91" s="569"/>
      <c r="CJ91" s="569"/>
      <c r="CK91" s="569"/>
      <c r="CL91" s="569"/>
      <c r="CM91" s="785"/>
      <c r="CN91" s="785"/>
      <c r="CO91" s="569"/>
      <c r="CP91" s="569"/>
      <c r="CQ91" s="569"/>
      <c r="CR91" s="569"/>
      <c r="CS91" s="569"/>
      <c r="CT91" s="784"/>
      <c r="CU91" s="784"/>
      <c r="CV91" s="569"/>
      <c r="CW91" s="569"/>
      <c r="CX91" s="569"/>
      <c r="CY91" s="569"/>
      <c r="CZ91" s="569"/>
      <c r="DA91" s="784"/>
      <c r="DB91" s="784"/>
      <c r="DC91" s="569"/>
      <c r="DD91" s="840"/>
      <c r="DE91" s="847"/>
      <c r="DF91" s="569"/>
      <c r="DG91" s="569"/>
      <c r="DH91" s="785"/>
      <c r="DI91" s="785"/>
      <c r="DJ91" s="569"/>
      <c r="DK91" s="569"/>
      <c r="DL91" s="569"/>
      <c r="DM91" s="569"/>
      <c r="DN91" s="569"/>
      <c r="DO91" s="785"/>
      <c r="DP91" s="785"/>
      <c r="DQ91" s="771">
        <v>1</v>
      </c>
      <c r="DR91" s="771">
        <v>2</v>
      </c>
      <c r="DS91" s="771">
        <v>3</v>
      </c>
      <c r="DT91" s="771">
        <v>4</v>
      </c>
      <c r="DU91" s="771">
        <v>5</v>
      </c>
      <c r="DV91" s="785"/>
      <c r="DW91" s="785"/>
      <c r="DX91" s="771">
        <v>6</v>
      </c>
      <c r="DY91" s="771">
        <v>7</v>
      </c>
      <c r="DZ91" s="771">
        <v>8</v>
      </c>
      <c r="EA91" s="771">
        <v>9</v>
      </c>
      <c r="EB91" s="772">
        <v>10</v>
      </c>
      <c r="EC91" s="785"/>
      <c r="ED91" s="785"/>
      <c r="EE91" s="771">
        <v>11</v>
      </c>
      <c r="EF91" s="771">
        <v>12</v>
      </c>
      <c r="EG91" s="771">
        <v>13</v>
      </c>
      <c r="EH91" s="771">
        <v>14</v>
      </c>
      <c r="EI91" s="772">
        <v>15</v>
      </c>
      <c r="EJ91" s="785"/>
      <c r="EK91" s="785"/>
      <c r="EL91" s="771">
        <v>16</v>
      </c>
      <c r="EM91" s="771">
        <v>17</v>
      </c>
      <c r="EN91" s="771">
        <v>18</v>
      </c>
      <c r="EO91" s="771">
        <v>19</v>
      </c>
      <c r="EP91" s="771">
        <v>20</v>
      </c>
      <c r="EQ91" s="785"/>
      <c r="ER91" s="785"/>
      <c r="ES91" s="771">
        <v>21</v>
      </c>
      <c r="ET91" s="771">
        <v>22</v>
      </c>
      <c r="EU91" s="771">
        <v>23</v>
      </c>
      <c r="EV91" s="771">
        <v>24</v>
      </c>
      <c r="EW91" s="771">
        <v>25</v>
      </c>
      <c r="EX91" s="785"/>
      <c r="EY91" s="785"/>
      <c r="EZ91" s="771">
        <v>26</v>
      </c>
      <c r="FA91" s="771">
        <v>27</v>
      </c>
      <c r="FB91" s="771">
        <v>28</v>
      </c>
      <c r="FC91" s="180">
        <v>29</v>
      </c>
      <c r="FE91" s="785"/>
      <c r="FF91" s="785"/>
      <c r="FH91"/>
      <c r="FI91"/>
      <c r="FO91"/>
      <c r="FP91"/>
      <c r="FV91"/>
      <c r="FW91"/>
      <c r="FZ91"/>
      <c r="GC91"/>
      <c r="GD91"/>
      <c r="GJ91"/>
      <c r="GK91"/>
      <c r="GQ91"/>
      <c r="GR91"/>
      <c r="GX91"/>
      <c r="GY91"/>
    </row>
    <row r="92" spans="1:207" s="82" customFormat="1" ht="23.25" x14ac:dyDescent="0.25">
      <c r="A92" s="763" t="s">
        <v>604</v>
      </c>
      <c r="B92" s="544"/>
      <c r="C92" s="544"/>
      <c r="D92" s="544"/>
      <c r="E92" s="544"/>
      <c r="F92" s="544"/>
      <c r="G92" s="544"/>
      <c r="H92" s="544"/>
      <c r="I92" s="544"/>
      <c r="J92" s="544"/>
      <c r="K92" s="544"/>
      <c r="L92" s="544"/>
      <c r="M92" s="544"/>
      <c r="N92" s="544"/>
      <c r="O92" s="544"/>
      <c r="P92" s="544"/>
      <c r="Q92" s="544"/>
      <c r="R92" s="544"/>
      <c r="S92" s="544"/>
      <c r="T92" s="544"/>
      <c r="U92" s="544"/>
      <c r="V92" s="544"/>
      <c r="W92" s="544"/>
      <c r="X92" s="544"/>
      <c r="Y92" s="544"/>
      <c r="Z92" s="544"/>
      <c r="AA92" s="544"/>
      <c r="AB92" s="544"/>
      <c r="AC92" s="544"/>
      <c r="AD92" s="544"/>
      <c r="AE92" s="544"/>
      <c r="AF92" s="544"/>
      <c r="AG92" s="544"/>
      <c r="AH92" s="544"/>
      <c r="AI92" s="544"/>
      <c r="AJ92" s="544"/>
      <c r="AK92" s="544"/>
      <c r="AL92" s="544"/>
      <c r="AM92" s="544"/>
      <c r="AN92" s="544"/>
      <c r="AO92" s="544"/>
      <c r="AP92" s="544"/>
      <c r="AQ92" s="544"/>
      <c r="AR92" s="544"/>
      <c r="AS92" s="544"/>
      <c r="AT92" s="544"/>
      <c r="AU92" s="544"/>
      <c r="AV92" s="544"/>
      <c r="AW92" s="544"/>
      <c r="AX92" s="544"/>
      <c r="AY92" s="773"/>
      <c r="AZ92" s="544"/>
      <c r="BA92" s="544"/>
      <c r="BB92" s="544"/>
      <c r="BC92" s="544"/>
      <c r="BD92" s="544"/>
      <c r="BE92" s="544"/>
      <c r="BF92" s="544"/>
      <c r="BG92" s="773"/>
      <c r="BH92" s="544"/>
      <c r="BI92" s="544"/>
      <c r="BJ92" s="544"/>
      <c r="BK92" s="544"/>
      <c r="BL92" s="544"/>
      <c r="BM92" s="544"/>
      <c r="BN92" s="544"/>
      <c r="BO92" s="544"/>
      <c r="BP92" s="544"/>
      <c r="BQ92" s="544"/>
      <c r="BR92" s="544"/>
      <c r="BS92" s="544"/>
      <c r="BT92" s="544"/>
      <c r="BU92" s="544"/>
      <c r="BV92" s="544"/>
      <c r="BW92" s="544"/>
      <c r="BX92" s="544"/>
      <c r="BY92" s="544"/>
      <c r="BZ92" s="544"/>
      <c r="CA92" s="544"/>
      <c r="CB92" s="544"/>
      <c r="CC92" s="544"/>
      <c r="CD92" s="544"/>
      <c r="CE92" s="544"/>
      <c r="CF92" s="544"/>
      <c r="CG92" s="544"/>
      <c r="CM92" s="544"/>
      <c r="CN92" s="544"/>
      <c r="CT92" s="774"/>
      <c r="CU92" s="774"/>
      <c r="CV92" s="544"/>
      <c r="CW92" s="544"/>
      <c r="CX92" s="544"/>
      <c r="CY92" s="544"/>
      <c r="CZ92" s="544"/>
      <c r="DA92" s="774"/>
      <c r="DB92" s="774"/>
      <c r="DC92" s="544"/>
      <c r="DD92" s="838"/>
      <c r="DE92" s="883"/>
      <c r="DF92" s="544"/>
      <c r="DG92" s="544"/>
      <c r="DH92" s="544"/>
      <c r="DI92" s="544"/>
      <c r="DO92" s="544"/>
      <c r="DP92" s="544"/>
      <c r="DV92" s="544"/>
      <c r="DW92" s="544"/>
      <c r="EC92" s="544"/>
      <c r="ED92" s="544"/>
      <c r="EE92" s="544"/>
      <c r="EF92" s="544"/>
      <c r="EG92" s="544"/>
      <c r="EH92" s="544"/>
      <c r="EI92" s="544"/>
      <c r="EJ92" s="544"/>
      <c r="EK92" s="544"/>
      <c r="EL92" s="544"/>
      <c r="EM92" s="544"/>
      <c r="EN92" s="544"/>
      <c r="EO92" s="544"/>
      <c r="EP92" s="544"/>
      <c r="EQ92" s="544"/>
      <c r="ER92" s="544"/>
      <c r="ES92" s="544"/>
      <c r="ET92" s="544"/>
      <c r="EU92" s="544"/>
      <c r="EV92" s="544"/>
      <c r="EW92" s="544"/>
      <c r="EX92" s="544"/>
      <c r="EY92" s="544"/>
      <c r="EZ92" s="544"/>
      <c r="FA92" s="544"/>
      <c r="FB92" s="544"/>
      <c r="FC92" s="544"/>
      <c r="FD92" s="544"/>
      <c r="FE92" s="544"/>
      <c r="FF92" s="544"/>
    </row>
    <row r="93" spans="1:207" x14ac:dyDescent="0.25">
      <c r="A93" s="853" t="s">
        <v>391</v>
      </c>
      <c r="B93" s="569"/>
      <c r="C93" s="569"/>
      <c r="D93" s="569"/>
      <c r="E93" s="569"/>
      <c r="F93" s="569"/>
      <c r="G93" s="785"/>
      <c r="H93" s="785"/>
      <c r="I93" s="569"/>
      <c r="J93" s="569"/>
      <c r="K93" s="569"/>
      <c r="L93" s="569"/>
      <c r="M93" s="569"/>
      <c r="N93" s="785"/>
      <c r="O93" s="785"/>
      <c r="P93" s="569"/>
      <c r="Q93" s="569"/>
      <c r="R93" s="569"/>
      <c r="S93" s="569"/>
      <c r="T93" s="569"/>
      <c r="U93" s="785"/>
      <c r="V93" s="785"/>
      <c r="W93" s="569"/>
      <c r="X93" s="569"/>
      <c r="Y93" s="569"/>
      <c r="Z93" s="569"/>
      <c r="AA93" s="569"/>
      <c r="AB93" s="785"/>
      <c r="AC93" s="785"/>
      <c r="AD93" s="569"/>
      <c r="AE93" s="569"/>
      <c r="AF93" s="569"/>
      <c r="AG93" s="569"/>
      <c r="AH93" s="569"/>
      <c r="AI93" s="785"/>
      <c r="AJ93" s="785"/>
      <c r="AK93" s="569"/>
      <c r="AL93" s="569"/>
      <c r="AM93" s="569"/>
      <c r="AN93" s="569"/>
      <c r="AO93" s="569"/>
      <c r="AP93" s="785"/>
      <c r="AQ93" s="785"/>
      <c r="AR93" s="569"/>
      <c r="AS93" s="569"/>
      <c r="AT93" s="569"/>
      <c r="AU93" s="569"/>
      <c r="AV93" s="785"/>
      <c r="AW93" s="785"/>
      <c r="AX93" s="785"/>
      <c r="AY93" s="794"/>
      <c r="AZ93" s="569"/>
      <c r="BA93" s="569"/>
      <c r="BB93" s="569"/>
      <c r="BC93" s="569"/>
      <c r="BD93" s="785"/>
      <c r="BE93" s="785"/>
      <c r="BF93" s="785"/>
      <c r="BG93" s="794"/>
      <c r="BH93" s="569"/>
      <c r="BI93" s="569"/>
      <c r="BJ93" s="569"/>
      <c r="BK93" s="785"/>
      <c r="BL93" s="785"/>
      <c r="BM93" s="569"/>
      <c r="BN93" s="569"/>
      <c r="BO93" s="569"/>
      <c r="BP93" s="569"/>
      <c r="BQ93" s="569"/>
      <c r="BR93" s="785"/>
      <c r="BS93" s="785"/>
      <c r="BT93" s="765">
        <v>1</v>
      </c>
      <c r="BU93" s="765">
        <v>2</v>
      </c>
      <c r="BV93" s="765">
        <v>3</v>
      </c>
      <c r="BW93" s="765">
        <v>4</v>
      </c>
      <c r="BX93" s="765">
        <v>5</v>
      </c>
      <c r="BY93" s="785"/>
      <c r="BZ93" s="785"/>
      <c r="CA93" s="765">
        <v>6</v>
      </c>
      <c r="CB93" s="765">
        <v>7</v>
      </c>
      <c r="CC93" s="765">
        <v>8</v>
      </c>
      <c r="CD93" s="765">
        <v>9</v>
      </c>
      <c r="CE93" s="765">
        <v>10</v>
      </c>
      <c r="CF93" s="785"/>
      <c r="CG93" s="785"/>
      <c r="CH93" s="569"/>
      <c r="CI93" s="569"/>
      <c r="CJ93" s="569"/>
      <c r="CK93" s="569"/>
      <c r="CL93" s="569"/>
      <c r="CM93" s="785"/>
      <c r="CN93" s="785"/>
      <c r="CO93" s="569"/>
      <c r="CP93" s="569"/>
      <c r="CQ93" s="569"/>
      <c r="CR93" s="569"/>
      <c r="CS93" s="569"/>
      <c r="CT93" s="784"/>
      <c r="CU93" s="784"/>
      <c r="CV93" s="569"/>
      <c r="CW93" s="569"/>
      <c r="CX93" s="569"/>
      <c r="CY93" s="569"/>
      <c r="CZ93" s="569"/>
      <c r="DA93" s="784"/>
      <c r="DB93" s="784"/>
      <c r="DC93" s="569"/>
      <c r="DD93" s="840"/>
      <c r="DE93" s="847"/>
      <c r="DF93" s="569"/>
      <c r="DG93" s="569"/>
      <c r="DH93" s="785"/>
      <c r="DI93" s="785"/>
      <c r="DK93"/>
      <c r="DL93"/>
      <c r="DO93" s="785"/>
      <c r="DP93" s="785"/>
      <c r="DQ93"/>
      <c r="DR93"/>
      <c r="DS93"/>
      <c r="DT93"/>
      <c r="DV93" s="785"/>
      <c r="DW93" s="785"/>
      <c r="DY93"/>
      <c r="DZ93"/>
      <c r="EA93"/>
      <c r="EB93"/>
      <c r="EC93" s="785"/>
      <c r="ED93" s="785"/>
      <c r="EE93" s="569"/>
      <c r="EF93" s="569"/>
      <c r="EG93" s="569"/>
      <c r="EH93" s="569"/>
      <c r="EI93" s="569"/>
      <c r="EJ93" s="785"/>
      <c r="EK93" s="785"/>
      <c r="EL93" s="569"/>
      <c r="EM93" s="569"/>
      <c r="EN93" s="569"/>
      <c r="EO93" s="569"/>
      <c r="EP93" s="569"/>
      <c r="EQ93" s="785"/>
      <c r="ER93" s="785"/>
      <c r="ES93" s="569"/>
      <c r="ET93" s="569"/>
      <c r="EU93" s="569"/>
      <c r="EV93" s="569"/>
      <c r="EW93" s="569"/>
      <c r="EX93" s="785"/>
      <c r="EY93" s="785"/>
      <c r="EZ93" s="569"/>
      <c r="FA93" s="569"/>
      <c r="FB93" s="569"/>
      <c r="FC93" s="569"/>
      <c r="FD93" s="569"/>
      <c r="FE93" s="785"/>
      <c r="FF93" s="785"/>
      <c r="FH93"/>
      <c r="FI93"/>
      <c r="FO93"/>
      <c r="FP93"/>
      <c r="FV93"/>
      <c r="FW93"/>
      <c r="FZ93"/>
      <c r="GC93"/>
      <c r="GD93"/>
      <c r="GJ93"/>
      <c r="GK93"/>
      <c r="GQ93"/>
      <c r="GR93"/>
      <c r="GX93"/>
      <c r="GY93"/>
    </row>
    <row r="94" spans="1:207" x14ac:dyDescent="0.25">
      <c r="A94" s="853" t="s">
        <v>594</v>
      </c>
      <c r="B94" s="569"/>
      <c r="C94" s="569"/>
      <c r="D94" s="569"/>
      <c r="E94" s="569"/>
      <c r="F94" s="569"/>
      <c r="G94" s="785"/>
      <c r="H94" s="785"/>
      <c r="I94" s="569"/>
      <c r="J94" s="569"/>
      <c r="K94" s="569"/>
      <c r="L94" s="569"/>
      <c r="M94" s="569"/>
      <c r="N94" s="785"/>
      <c r="O94" s="785"/>
      <c r="P94" s="569"/>
      <c r="Q94" s="569"/>
      <c r="R94" s="569"/>
      <c r="S94" s="569"/>
      <c r="T94" s="569"/>
      <c r="U94" s="785"/>
      <c r="V94" s="785"/>
      <c r="W94" s="569"/>
      <c r="X94" s="569"/>
      <c r="Y94" s="569"/>
      <c r="Z94" s="569"/>
      <c r="AA94" s="569"/>
      <c r="AB94" s="785"/>
      <c r="AC94" s="785"/>
      <c r="AD94" s="569"/>
      <c r="AE94" s="569"/>
      <c r="AF94" s="569"/>
      <c r="AG94" s="569"/>
      <c r="AH94" s="569"/>
      <c r="AI94" s="785"/>
      <c r="AJ94" s="785"/>
      <c r="AK94" s="569"/>
      <c r="AL94" s="569"/>
      <c r="AM94" s="569"/>
      <c r="AN94" s="569"/>
      <c r="AO94" s="569"/>
      <c r="AP94" s="785"/>
      <c r="AQ94" s="785"/>
      <c r="AR94" s="569"/>
      <c r="AS94" s="569"/>
      <c r="AT94" s="569"/>
      <c r="AU94" s="569"/>
      <c r="AV94" s="785"/>
      <c r="AW94" s="785"/>
      <c r="AX94" s="785"/>
      <c r="AY94" s="794"/>
      <c r="AZ94" s="569"/>
      <c r="BA94" s="569"/>
      <c r="BB94" s="569"/>
      <c r="BC94" s="569"/>
      <c r="BD94" s="785"/>
      <c r="BE94" s="785"/>
      <c r="BF94" s="785"/>
      <c r="BG94" s="794"/>
      <c r="BH94" s="569"/>
      <c r="BI94" s="569"/>
      <c r="BJ94" s="569"/>
      <c r="BK94" s="785"/>
      <c r="BL94" s="785"/>
      <c r="BM94" s="569"/>
      <c r="BN94" s="569"/>
      <c r="BO94" s="569"/>
      <c r="BP94" s="569"/>
      <c r="BQ94" s="569"/>
      <c r="BR94" s="785"/>
      <c r="BS94" s="785"/>
      <c r="BT94" s="766">
        <v>1</v>
      </c>
      <c r="BU94" s="766">
        <v>2</v>
      </c>
      <c r="BV94" s="766">
        <v>3</v>
      </c>
      <c r="BW94" s="766">
        <v>4</v>
      </c>
      <c r="BX94" s="766">
        <v>5</v>
      </c>
      <c r="BY94" s="785"/>
      <c r="BZ94" s="785"/>
      <c r="CA94" s="766">
        <v>6</v>
      </c>
      <c r="CB94" s="766">
        <v>7</v>
      </c>
      <c r="CC94" s="766">
        <v>8</v>
      </c>
      <c r="CD94" s="766">
        <v>9</v>
      </c>
      <c r="CE94" s="766">
        <v>10</v>
      </c>
      <c r="CF94" s="785"/>
      <c r="CG94" s="785"/>
      <c r="CH94" s="766">
        <v>11</v>
      </c>
      <c r="CI94" s="766">
        <v>12</v>
      </c>
      <c r="CJ94" s="766">
        <v>13</v>
      </c>
      <c r="CK94" s="766">
        <v>14</v>
      </c>
      <c r="CL94" s="766">
        <v>15</v>
      </c>
      <c r="CM94" s="784"/>
      <c r="CN94" s="784"/>
      <c r="CO94" s="766">
        <v>16</v>
      </c>
      <c r="CP94" s="766">
        <v>17</v>
      </c>
      <c r="CQ94" s="766">
        <v>18</v>
      </c>
      <c r="CR94" s="766">
        <v>19</v>
      </c>
      <c r="CS94" s="766">
        <v>20</v>
      </c>
      <c r="CT94" s="785"/>
      <c r="CU94" s="785"/>
      <c r="CV94" s="766">
        <v>21</v>
      </c>
      <c r="CW94" s="766">
        <v>22</v>
      </c>
      <c r="CX94" s="766">
        <v>23</v>
      </c>
      <c r="CY94" s="766">
        <v>24</v>
      </c>
      <c r="CZ94" s="766">
        <v>25</v>
      </c>
      <c r="DA94" s="785"/>
      <c r="DB94" s="785"/>
      <c r="DC94" s="766">
        <v>26</v>
      </c>
      <c r="DD94" s="884">
        <v>27</v>
      </c>
      <c r="DE94" s="885">
        <v>28</v>
      </c>
      <c r="DF94" s="766">
        <v>29</v>
      </c>
      <c r="DG94" s="766">
        <v>30</v>
      </c>
      <c r="DH94" s="785"/>
      <c r="DI94" s="785"/>
      <c r="DJ94" s="766">
        <v>31</v>
      </c>
      <c r="DK94" s="766">
        <v>32</v>
      </c>
      <c r="DL94" s="766">
        <v>33</v>
      </c>
      <c r="DM94" s="766">
        <v>34</v>
      </c>
      <c r="DO94" s="785"/>
      <c r="DP94" s="785"/>
      <c r="DQ94" s="569"/>
      <c r="DR94" s="569"/>
      <c r="DS94" s="569"/>
      <c r="DT94" s="569"/>
      <c r="DU94" s="569"/>
      <c r="DV94" s="785"/>
      <c r="DW94" s="785"/>
      <c r="DX94" s="569"/>
      <c r="DY94" s="569"/>
      <c r="DZ94" s="569"/>
      <c r="EA94" s="569"/>
      <c r="EB94" s="569"/>
      <c r="EC94" s="785"/>
      <c r="ED94" s="785"/>
      <c r="EE94" s="569"/>
      <c r="EF94" s="569"/>
      <c r="EG94" s="569"/>
      <c r="EH94" s="569"/>
      <c r="EI94" s="569"/>
      <c r="EJ94" s="785"/>
      <c r="EK94" s="785"/>
      <c r="EL94" s="569"/>
      <c r="EM94" s="569"/>
      <c r="EN94" s="569"/>
      <c r="EO94" s="569"/>
      <c r="EP94" s="569"/>
      <c r="EQ94" s="785"/>
      <c r="ER94" s="785"/>
      <c r="ES94" s="569"/>
      <c r="ET94" s="569"/>
      <c r="EU94" s="569"/>
      <c r="EV94" s="569"/>
      <c r="EW94" s="569"/>
      <c r="EX94" s="785"/>
      <c r="EY94" s="785"/>
      <c r="EZ94" s="569"/>
      <c r="FA94" s="569"/>
      <c r="FB94" s="569"/>
      <c r="FC94" s="569"/>
      <c r="FD94" s="569"/>
      <c r="FE94" s="785"/>
      <c r="FF94" s="785"/>
      <c r="FH94"/>
      <c r="FI94"/>
      <c r="FO94"/>
      <c r="FP94"/>
      <c r="FV94"/>
      <c r="FW94"/>
      <c r="FZ94"/>
      <c r="GC94"/>
      <c r="GD94"/>
      <c r="GJ94"/>
      <c r="GK94"/>
      <c r="GQ94"/>
      <c r="GR94"/>
      <c r="GX94"/>
      <c r="GY94"/>
    </row>
    <row r="95" spans="1:207" x14ac:dyDescent="0.25">
      <c r="A95" s="853" t="s">
        <v>593</v>
      </c>
      <c r="B95" s="569"/>
      <c r="C95" s="569"/>
      <c r="D95" s="569"/>
      <c r="E95" s="569"/>
      <c r="F95" s="569"/>
      <c r="G95" s="785"/>
      <c r="H95" s="785"/>
      <c r="I95" s="569"/>
      <c r="J95" s="569"/>
      <c r="K95" s="569"/>
      <c r="L95" s="569"/>
      <c r="M95" s="569"/>
      <c r="N95" s="785"/>
      <c r="O95" s="785"/>
      <c r="P95" s="569"/>
      <c r="Q95" s="569"/>
      <c r="R95" s="569"/>
      <c r="S95" s="569"/>
      <c r="T95" s="569"/>
      <c r="U95" s="785"/>
      <c r="V95" s="785"/>
      <c r="W95" s="569"/>
      <c r="X95" s="569"/>
      <c r="Y95" s="569"/>
      <c r="Z95" s="569"/>
      <c r="AA95" s="569"/>
      <c r="AB95" s="785"/>
      <c r="AC95" s="785"/>
      <c r="AD95" s="569"/>
      <c r="AE95" s="569"/>
      <c r="AF95" s="569"/>
      <c r="AG95" s="569"/>
      <c r="AH95" s="569"/>
      <c r="AI95" s="785"/>
      <c r="AJ95" s="785"/>
      <c r="AK95" s="569"/>
      <c r="AL95" s="569"/>
      <c r="AM95" s="569"/>
      <c r="AN95" s="569"/>
      <c r="AO95" s="569"/>
      <c r="AP95" s="785"/>
      <c r="AQ95" s="785"/>
      <c r="AR95" s="569"/>
      <c r="AS95" s="569"/>
      <c r="AT95" s="569"/>
      <c r="AU95" s="569"/>
      <c r="AV95" s="785"/>
      <c r="AW95" s="785"/>
      <c r="AX95" s="785"/>
      <c r="AY95" s="794"/>
      <c r="AZ95" s="569"/>
      <c r="BA95" s="569"/>
      <c r="BB95" s="569"/>
      <c r="BC95" s="569"/>
      <c r="BD95" s="785"/>
      <c r="BE95" s="785"/>
      <c r="BF95" s="785"/>
      <c r="BG95" s="794"/>
      <c r="BH95" s="569"/>
      <c r="BI95" s="569"/>
      <c r="BJ95" s="569"/>
      <c r="BK95" s="785"/>
      <c r="BL95" s="785"/>
      <c r="BM95" s="569"/>
      <c r="BN95" s="569"/>
      <c r="BO95" s="569"/>
      <c r="BP95" s="569"/>
      <c r="BQ95" s="569"/>
      <c r="BR95" s="785"/>
      <c r="BS95" s="785"/>
      <c r="BT95" s="569"/>
      <c r="BU95" s="569"/>
      <c r="BV95" s="569"/>
      <c r="BW95" s="569"/>
      <c r="BX95" s="569"/>
      <c r="BY95" s="785"/>
      <c r="BZ95" s="785"/>
      <c r="CA95" s="569"/>
      <c r="CB95" s="569"/>
      <c r="CC95" s="569"/>
      <c r="CD95" s="569"/>
      <c r="CE95" s="569"/>
      <c r="CF95" s="785"/>
      <c r="CG95" s="785"/>
      <c r="CH95" s="569"/>
      <c r="CI95" s="569"/>
      <c r="CJ95" s="569"/>
      <c r="CK95" s="569"/>
      <c r="CL95" s="569"/>
      <c r="CM95" s="784"/>
      <c r="CN95" s="784"/>
      <c r="CP95"/>
      <c r="CQ95" s="767">
        <v>1</v>
      </c>
      <c r="CR95" s="767">
        <v>2</v>
      </c>
      <c r="CS95" s="767">
        <v>3</v>
      </c>
      <c r="CT95" s="785"/>
      <c r="CU95" s="785"/>
      <c r="CV95" s="767">
        <v>4</v>
      </c>
      <c r="CW95" s="767">
        <v>5</v>
      </c>
      <c r="CX95" s="767">
        <v>6</v>
      </c>
      <c r="CY95" s="767">
        <v>7</v>
      </c>
      <c r="CZ95" s="767">
        <v>8</v>
      </c>
      <c r="DA95" s="785"/>
      <c r="DB95" s="785"/>
      <c r="DC95" s="767">
        <v>9</v>
      </c>
      <c r="DD95" s="887">
        <v>10</v>
      </c>
      <c r="DE95" s="886">
        <v>11</v>
      </c>
      <c r="DF95" s="767">
        <v>12</v>
      </c>
      <c r="DG95" s="767">
        <v>13</v>
      </c>
      <c r="DH95" s="785"/>
      <c r="DI95" s="785"/>
      <c r="DK95"/>
      <c r="DL95"/>
      <c r="DO95" s="785"/>
      <c r="DP95" s="785"/>
      <c r="DQ95" s="569"/>
      <c r="DR95" s="569"/>
      <c r="DS95" s="569"/>
      <c r="DT95" s="569"/>
      <c r="DU95" s="569"/>
      <c r="DV95" s="785"/>
      <c r="DW95" s="785"/>
      <c r="DX95" s="569"/>
      <c r="DY95" s="569"/>
      <c r="DZ95" s="569"/>
      <c r="EA95" s="569"/>
      <c r="EB95" s="569"/>
      <c r="EC95" s="785"/>
      <c r="ED95" s="785"/>
      <c r="EE95" s="569"/>
      <c r="EF95" s="569"/>
      <c r="EG95" s="569"/>
      <c r="EH95" s="569"/>
      <c r="EI95" s="569"/>
      <c r="EJ95" s="785"/>
      <c r="EK95" s="785"/>
      <c r="EL95" s="569"/>
      <c r="EM95" s="569"/>
      <c r="EN95" s="569"/>
      <c r="EO95" s="569"/>
      <c r="EP95" s="569"/>
      <c r="EQ95" s="785"/>
      <c r="ER95" s="785"/>
      <c r="ES95" s="569"/>
      <c r="ET95" s="569"/>
      <c r="EU95" s="569"/>
      <c r="EV95" s="569"/>
      <c r="EW95" s="569"/>
      <c r="EX95" s="785"/>
      <c r="EY95" s="785"/>
      <c r="EZ95" s="569"/>
      <c r="FA95" s="569"/>
      <c r="FB95" s="569"/>
      <c r="FC95" s="569"/>
      <c r="FD95" s="569"/>
      <c r="FE95" s="785"/>
      <c r="FF95" s="785"/>
      <c r="FH95"/>
      <c r="FI95"/>
      <c r="FO95"/>
      <c r="FP95"/>
      <c r="FV95"/>
      <c r="FW95"/>
      <c r="FZ95"/>
      <c r="GC95"/>
      <c r="GD95"/>
      <c r="GJ95"/>
      <c r="GK95"/>
      <c r="GQ95"/>
      <c r="GR95"/>
      <c r="GX95"/>
      <c r="GY95"/>
    </row>
    <row r="96" spans="1:207" x14ac:dyDescent="0.25">
      <c r="A96" s="836" t="s">
        <v>592</v>
      </c>
      <c r="B96" s="569"/>
      <c r="C96" s="569"/>
      <c r="D96" s="569"/>
      <c r="E96" s="569"/>
      <c r="F96" s="569"/>
      <c r="G96" s="785"/>
      <c r="H96" s="785"/>
      <c r="I96" s="569"/>
      <c r="J96" s="569"/>
      <c r="K96" s="569"/>
      <c r="L96" s="569"/>
      <c r="M96" s="569"/>
      <c r="N96" s="785"/>
      <c r="O96" s="785"/>
      <c r="P96" s="569"/>
      <c r="Q96" s="569"/>
      <c r="R96" s="569"/>
      <c r="S96" s="569"/>
      <c r="T96" s="569"/>
      <c r="U96" s="785"/>
      <c r="V96" s="785"/>
      <c r="W96" s="569"/>
      <c r="X96" s="569"/>
      <c r="Y96" s="569"/>
      <c r="Z96" s="569"/>
      <c r="AA96" s="569"/>
      <c r="AB96" s="785"/>
      <c r="AC96" s="785"/>
      <c r="AD96" s="569"/>
      <c r="AE96" s="569"/>
      <c r="AF96" s="569"/>
      <c r="AG96" s="569"/>
      <c r="AH96" s="569"/>
      <c r="AI96" s="785"/>
      <c r="AJ96" s="785"/>
      <c r="AK96" s="569"/>
      <c r="AL96" s="569"/>
      <c r="AM96" s="569"/>
      <c r="AN96" s="569"/>
      <c r="AO96" s="569"/>
      <c r="AP96" s="785"/>
      <c r="AQ96" s="785"/>
      <c r="AR96" s="569"/>
      <c r="AS96" s="569"/>
      <c r="AT96" s="569"/>
      <c r="AU96" s="569"/>
      <c r="AV96" s="785"/>
      <c r="AW96" s="785"/>
      <c r="AX96" s="785"/>
      <c r="AY96" s="794"/>
      <c r="AZ96" s="569"/>
      <c r="BA96" s="569"/>
      <c r="BB96" s="569"/>
      <c r="BC96" s="569"/>
      <c r="BD96" s="785"/>
      <c r="BE96" s="785"/>
      <c r="BF96" s="785"/>
      <c r="BG96" s="794"/>
      <c r="BH96" s="569"/>
      <c r="BI96" s="569"/>
      <c r="BJ96" s="569"/>
      <c r="BK96" s="785"/>
      <c r="BL96" s="785"/>
      <c r="BM96" s="569"/>
      <c r="BN96" s="569"/>
      <c r="BO96" s="569"/>
      <c r="BP96" s="569"/>
      <c r="BQ96" s="569"/>
      <c r="BR96" s="785"/>
      <c r="BS96" s="785"/>
      <c r="BT96" s="569"/>
      <c r="BU96" s="569"/>
      <c r="BV96" s="569"/>
      <c r="BW96" s="569"/>
      <c r="BX96" s="569"/>
      <c r="BY96" s="785"/>
      <c r="BZ96" s="785"/>
      <c r="CA96" s="569"/>
      <c r="CB96" s="569"/>
      <c r="CC96" s="569"/>
      <c r="CD96" s="569"/>
      <c r="CE96" s="569"/>
      <c r="CF96" s="785"/>
      <c r="CG96" s="785"/>
      <c r="CH96" s="569"/>
      <c r="CI96" s="569"/>
      <c r="CJ96" s="569"/>
      <c r="CK96" s="569"/>
      <c r="CL96" s="569"/>
      <c r="CM96" s="784"/>
      <c r="CN96" s="784"/>
      <c r="CO96" s="569"/>
      <c r="CP96" s="569"/>
      <c r="CQ96" s="569"/>
      <c r="CR96" s="569"/>
      <c r="CS96" s="569"/>
      <c r="CT96" s="785"/>
      <c r="CU96" s="785"/>
      <c r="CV96" s="569"/>
      <c r="CW96" s="569"/>
      <c r="CX96" s="569"/>
      <c r="CY96" s="569"/>
      <c r="CZ96" s="569"/>
      <c r="DA96" s="785"/>
      <c r="DB96" s="785"/>
      <c r="DC96" s="569"/>
      <c r="DD96"/>
      <c r="DE96" s="466"/>
      <c r="DF96" s="769">
        <v>1</v>
      </c>
      <c r="DG96" s="769">
        <v>2</v>
      </c>
      <c r="DH96" s="785"/>
      <c r="DI96" s="785"/>
      <c r="DJ96" s="769">
        <v>3</v>
      </c>
      <c r="DK96" s="769">
        <v>4</v>
      </c>
      <c r="DL96" s="769">
        <v>5</v>
      </c>
      <c r="DM96" s="769">
        <v>6</v>
      </c>
      <c r="DN96" s="770">
        <v>7</v>
      </c>
      <c r="DO96" s="785"/>
      <c r="DP96" s="785"/>
      <c r="DQ96" s="769">
        <v>8</v>
      </c>
      <c r="DR96" s="769">
        <v>9</v>
      </c>
      <c r="DS96" s="769">
        <v>10</v>
      </c>
      <c r="DT96" s="769">
        <v>11</v>
      </c>
      <c r="DU96" s="770">
        <v>12</v>
      </c>
      <c r="DV96" s="785"/>
      <c r="DW96" s="785"/>
      <c r="DX96" s="769">
        <v>13</v>
      </c>
      <c r="DY96" s="769">
        <v>14</v>
      </c>
      <c r="DZ96" s="769">
        <v>15</v>
      </c>
      <c r="EA96"/>
      <c r="EB96"/>
      <c r="EC96" s="785"/>
      <c r="ED96" s="785"/>
      <c r="EF96"/>
      <c r="EG96"/>
      <c r="EJ96" s="785"/>
      <c r="EK96" s="785"/>
      <c r="EM96"/>
      <c r="EN96"/>
      <c r="EP96" s="569"/>
      <c r="EQ96" s="785"/>
      <c r="ER96" s="785"/>
      <c r="ES96" s="569"/>
      <c r="ET96" s="569"/>
      <c r="EU96" s="569"/>
      <c r="EV96" s="569"/>
      <c r="EW96" s="569"/>
      <c r="EX96" s="785"/>
      <c r="EY96" s="785"/>
      <c r="EZ96" s="569"/>
      <c r="FA96" s="569"/>
      <c r="FB96" s="569"/>
      <c r="FC96" s="569"/>
      <c r="FD96" s="569"/>
      <c r="FE96" s="785"/>
      <c r="FF96" s="785"/>
      <c r="FH96"/>
      <c r="FI96"/>
      <c r="FO96"/>
      <c r="FP96"/>
      <c r="FV96"/>
      <c r="FW96"/>
      <c r="FZ96"/>
      <c r="GC96"/>
      <c r="GD96"/>
      <c r="GJ96"/>
      <c r="GK96"/>
      <c r="GQ96"/>
      <c r="GR96"/>
      <c r="GX96"/>
      <c r="GY96"/>
    </row>
    <row r="97" spans="1:207" x14ac:dyDescent="0.25">
      <c r="A97" s="836" t="s">
        <v>124</v>
      </c>
      <c r="B97" s="569"/>
      <c r="C97" s="569"/>
      <c r="D97" s="569"/>
      <c r="E97" s="569"/>
      <c r="F97" s="569"/>
      <c r="G97" s="785"/>
      <c r="H97" s="785"/>
      <c r="I97" s="569"/>
      <c r="J97" s="569"/>
      <c r="K97" s="569"/>
      <c r="L97" s="569"/>
      <c r="M97" s="569"/>
      <c r="N97" s="785"/>
      <c r="O97" s="785"/>
      <c r="P97" s="569"/>
      <c r="Q97" s="569"/>
      <c r="R97" s="569"/>
      <c r="S97" s="569"/>
      <c r="T97" s="569"/>
      <c r="U97" s="785"/>
      <c r="V97" s="785"/>
      <c r="W97" s="569"/>
      <c r="X97" s="569"/>
      <c r="Y97" s="569"/>
      <c r="Z97" s="569"/>
      <c r="AA97" s="569"/>
      <c r="AB97" s="785"/>
      <c r="AC97" s="785"/>
      <c r="AD97" s="569"/>
      <c r="AE97" s="569"/>
      <c r="AF97" s="569"/>
      <c r="AG97" s="569"/>
      <c r="AH97" s="569"/>
      <c r="AI97" s="785"/>
      <c r="AJ97" s="785"/>
      <c r="AK97" s="569"/>
      <c r="AL97" s="569"/>
      <c r="AM97" s="569"/>
      <c r="AN97" s="569"/>
      <c r="AO97" s="569"/>
      <c r="AP97" s="785"/>
      <c r="AQ97" s="785"/>
      <c r="AR97" s="569"/>
      <c r="AS97" s="569"/>
      <c r="AT97" s="569"/>
      <c r="AU97" s="569"/>
      <c r="AV97" s="785"/>
      <c r="AW97" s="785"/>
      <c r="AX97" s="785"/>
      <c r="AY97" s="794"/>
      <c r="AZ97" s="569"/>
      <c r="BA97" s="569"/>
      <c r="BB97" s="569"/>
      <c r="BC97" s="569"/>
      <c r="BD97" s="785"/>
      <c r="BE97" s="785"/>
      <c r="BF97" s="785"/>
      <c r="BG97" s="794"/>
      <c r="BH97" s="569"/>
      <c r="BI97" s="569"/>
      <c r="BJ97" s="569"/>
      <c r="BK97" s="785"/>
      <c r="BL97" s="785"/>
      <c r="BM97" s="569"/>
      <c r="BN97" s="569"/>
      <c r="BO97" s="569"/>
      <c r="BP97" s="569"/>
      <c r="BQ97" s="569"/>
      <c r="BR97" s="785"/>
      <c r="BS97" s="785"/>
      <c r="BT97" s="569"/>
      <c r="BU97" s="569"/>
      <c r="BV97" s="569"/>
      <c r="BW97" s="569"/>
      <c r="BX97" s="569"/>
      <c r="BY97" s="785"/>
      <c r="BZ97" s="785"/>
      <c r="CA97" s="569"/>
      <c r="CB97" s="569"/>
      <c r="CC97" s="569"/>
      <c r="CD97" s="569"/>
      <c r="CE97" s="569"/>
      <c r="CF97" s="785"/>
      <c r="CG97" s="785"/>
      <c r="CH97" s="569"/>
      <c r="CI97" s="569"/>
      <c r="CJ97" s="569"/>
      <c r="CK97" s="569"/>
      <c r="CL97" s="569"/>
      <c r="CM97" s="784"/>
      <c r="CN97" s="784"/>
      <c r="CO97" s="569"/>
      <c r="CP97" s="569"/>
      <c r="CQ97" s="569"/>
      <c r="CR97" s="569"/>
      <c r="CS97" s="569"/>
      <c r="CT97" s="785"/>
      <c r="CU97" s="785"/>
      <c r="CV97" s="569"/>
      <c r="CW97" s="569"/>
      <c r="CX97" s="569"/>
      <c r="CY97" s="569"/>
      <c r="CZ97" s="569"/>
      <c r="DA97" s="785"/>
      <c r="DB97" s="785"/>
      <c r="DC97" s="771">
        <v>1</v>
      </c>
      <c r="DD97" s="843">
        <v>2</v>
      </c>
      <c r="DE97" s="849">
        <v>3</v>
      </c>
      <c r="DF97" s="771">
        <v>4</v>
      </c>
      <c r="DG97" s="771">
        <v>5</v>
      </c>
      <c r="DH97" s="785"/>
      <c r="DI97" s="785"/>
      <c r="DJ97" s="771">
        <v>6</v>
      </c>
      <c r="DK97" s="771">
        <v>7</v>
      </c>
      <c r="DL97" s="771">
        <v>8</v>
      </c>
      <c r="DM97" s="771">
        <v>9</v>
      </c>
      <c r="DN97" s="772">
        <v>10</v>
      </c>
      <c r="DO97" s="785"/>
      <c r="DP97" s="785"/>
      <c r="DQ97" s="771">
        <v>11</v>
      </c>
      <c r="DR97" s="771">
        <v>12</v>
      </c>
      <c r="DS97" s="771">
        <v>13</v>
      </c>
      <c r="DT97" s="771">
        <v>14</v>
      </c>
      <c r="DU97" s="772">
        <v>15</v>
      </c>
      <c r="DV97" s="785"/>
      <c r="DW97" s="785"/>
      <c r="DX97" s="771">
        <v>16</v>
      </c>
      <c r="DY97" s="771">
        <v>17</v>
      </c>
      <c r="DZ97" s="771">
        <v>18</v>
      </c>
      <c r="EA97" s="771">
        <v>19</v>
      </c>
      <c r="EB97" s="771">
        <v>20</v>
      </c>
      <c r="EC97" s="785"/>
      <c r="ED97" s="785"/>
      <c r="EE97" s="771">
        <v>21</v>
      </c>
      <c r="EF97" s="771">
        <v>22</v>
      </c>
      <c r="EG97" s="771">
        <v>23</v>
      </c>
      <c r="EH97" s="771">
        <v>24</v>
      </c>
      <c r="EI97" s="771">
        <v>25</v>
      </c>
      <c r="EJ97" s="785"/>
      <c r="EK97" s="785"/>
      <c r="EL97" s="771">
        <v>26</v>
      </c>
      <c r="EM97" s="771">
        <v>27</v>
      </c>
      <c r="EN97" s="771">
        <v>28</v>
      </c>
      <c r="EO97" s="180">
        <v>29</v>
      </c>
      <c r="EP97" s="569"/>
      <c r="EQ97" s="785"/>
      <c r="ER97" s="785"/>
      <c r="ES97" s="569"/>
      <c r="ET97" s="569"/>
      <c r="EU97" s="569"/>
      <c r="EV97" s="569"/>
      <c r="EW97" s="569"/>
      <c r="EX97" s="785"/>
      <c r="EY97" s="785"/>
      <c r="EZ97" s="569"/>
      <c r="FA97" s="569"/>
      <c r="FB97" s="569"/>
      <c r="FC97" s="569"/>
      <c r="FD97" s="569"/>
      <c r="FE97" s="785"/>
      <c r="FF97" s="785"/>
      <c r="FH97"/>
      <c r="FI97"/>
      <c r="FO97"/>
      <c r="FP97"/>
      <c r="FV97"/>
      <c r="FW97"/>
      <c r="FZ97"/>
      <c r="GC97"/>
      <c r="GD97"/>
      <c r="GJ97"/>
      <c r="GK97"/>
      <c r="GQ97"/>
      <c r="GR97"/>
      <c r="GX97"/>
      <c r="GY97"/>
    </row>
    <row r="98" spans="1:207" s="82" customFormat="1" ht="23.25" x14ac:dyDescent="0.25">
      <c r="A98" s="763" t="s">
        <v>605</v>
      </c>
      <c r="B98" s="544"/>
      <c r="C98" s="544"/>
      <c r="D98" s="544"/>
      <c r="E98" s="544"/>
      <c r="F98" s="544"/>
      <c r="G98" s="544"/>
      <c r="H98" s="544"/>
      <c r="I98" s="544"/>
      <c r="J98" s="544"/>
      <c r="K98" s="544"/>
      <c r="L98" s="544"/>
      <c r="M98" s="544"/>
      <c r="N98" s="544"/>
      <c r="O98" s="544"/>
      <c r="P98" s="544"/>
      <c r="Q98" s="544"/>
      <c r="R98" s="544"/>
      <c r="S98" s="544"/>
      <c r="T98" s="544"/>
      <c r="U98" s="544"/>
      <c r="V98" s="544"/>
      <c r="W98" s="544"/>
      <c r="X98" s="544"/>
      <c r="Y98" s="544"/>
      <c r="Z98" s="544"/>
      <c r="AA98" s="544"/>
      <c r="AB98" s="544"/>
      <c r="AC98" s="544"/>
      <c r="AD98" s="544"/>
      <c r="AE98" s="544"/>
      <c r="AF98" s="544"/>
      <c r="AG98" s="544"/>
      <c r="AH98" s="544"/>
      <c r="AI98" s="544"/>
      <c r="AJ98" s="544"/>
      <c r="AK98" s="544"/>
      <c r="AL98" s="544"/>
      <c r="AM98" s="544"/>
      <c r="AN98" s="544"/>
      <c r="AO98" s="544"/>
      <c r="AP98" s="544"/>
      <c r="AQ98" s="544"/>
      <c r="AR98" s="544"/>
      <c r="AS98" s="544"/>
      <c r="AT98" s="544"/>
      <c r="AU98" s="544"/>
      <c r="AV98" s="544"/>
      <c r="AW98" s="544"/>
      <c r="AX98" s="544"/>
      <c r="AY98" s="773"/>
      <c r="AZ98" s="544"/>
      <c r="BA98" s="544"/>
      <c r="BB98" s="544"/>
      <c r="BC98" s="544"/>
      <c r="BD98" s="544"/>
      <c r="BE98" s="544"/>
      <c r="BF98" s="544"/>
      <c r="BG98" s="773"/>
      <c r="BH98" s="544"/>
      <c r="BI98" s="544"/>
      <c r="BJ98" s="544"/>
      <c r="BK98" s="544"/>
      <c r="BL98" s="544"/>
      <c r="BM98" s="544"/>
      <c r="BN98" s="544"/>
      <c r="BO98" s="544"/>
      <c r="BP98" s="544"/>
      <c r="BQ98" s="544"/>
      <c r="BR98" s="544"/>
      <c r="BS98" s="544"/>
      <c r="BT98" s="544"/>
      <c r="BU98" s="544"/>
      <c r="BV98" s="544"/>
      <c r="BW98" s="544"/>
      <c r="BX98" s="544"/>
      <c r="BY98" s="544"/>
      <c r="BZ98" s="544"/>
      <c r="CA98" s="544"/>
      <c r="CB98" s="544"/>
      <c r="CC98" s="544"/>
      <c r="CD98" s="544"/>
      <c r="CE98" s="544"/>
      <c r="CF98" s="544"/>
      <c r="CG98" s="544"/>
      <c r="CM98" s="544"/>
      <c r="CN98" s="544"/>
      <c r="CT98" s="774"/>
      <c r="CU98" s="774"/>
      <c r="CV98" s="544"/>
      <c r="CW98" s="544"/>
      <c r="CX98" s="544"/>
      <c r="CY98" s="544"/>
      <c r="CZ98" s="544"/>
      <c r="DA98" s="774"/>
      <c r="DB98" s="774"/>
      <c r="DC98" s="544"/>
      <c r="DD98" s="838"/>
      <c r="DE98" s="883"/>
      <c r="DF98" s="544"/>
      <c r="DG98" s="544"/>
      <c r="DH98" s="544"/>
      <c r="DI98" s="544"/>
      <c r="DO98" s="544"/>
      <c r="DP98" s="544"/>
      <c r="DV98" s="544"/>
      <c r="DW98" s="544"/>
      <c r="EC98" s="544"/>
      <c r="ED98" s="544"/>
      <c r="EE98" s="544"/>
      <c r="EF98" s="544"/>
      <c r="EG98" s="544"/>
      <c r="EH98" s="544"/>
      <c r="EI98" s="544"/>
      <c r="EJ98" s="544"/>
      <c r="EK98" s="544"/>
      <c r="EL98" s="544"/>
      <c r="EM98" s="544"/>
      <c r="EN98" s="544"/>
      <c r="EO98" s="544"/>
      <c r="EP98" s="544"/>
      <c r="EQ98" s="544"/>
      <c r="ER98" s="544"/>
      <c r="ES98" s="544"/>
      <c r="ET98" s="544"/>
      <c r="EU98" s="544"/>
      <c r="EV98" s="544"/>
      <c r="EW98" s="544"/>
      <c r="EX98" s="544"/>
      <c r="EY98" s="544"/>
      <c r="EZ98" s="544"/>
      <c r="FA98" s="544"/>
      <c r="FB98" s="544"/>
      <c r="FC98" s="544"/>
      <c r="FD98" s="544"/>
      <c r="FE98" s="544"/>
      <c r="FF98" s="544"/>
    </row>
    <row r="99" spans="1:207" ht="15.6" customHeight="1" x14ac:dyDescent="0.25">
      <c r="A99" s="853" t="s">
        <v>391</v>
      </c>
      <c r="B99" s="569"/>
      <c r="C99" s="569"/>
      <c r="D99" s="569"/>
      <c r="E99" s="569"/>
      <c r="F99" s="569"/>
      <c r="G99" s="785"/>
      <c r="H99" s="785"/>
      <c r="I99" s="569"/>
      <c r="J99" s="569"/>
      <c r="K99" s="569"/>
      <c r="L99" s="569"/>
      <c r="M99" s="569"/>
      <c r="N99" s="785"/>
      <c r="O99" s="785"/>
      <c r="P99" s="569"/>
      <c r="Q99" s="569"/>
      <c r="R99" s="569"/>
      <c r="S99" s="569"/>
      <c r="T99" s="569"/>
      <c r="U99" s="785"/>
      <c r="V99" s="785"/>
      <c r="W99" s="569"/>
      <c r="X99" s="569"/>
      <c r="Y99" s="569"/>
      <c r="Z99" s="569"/>
      <c r="AA99" s="569"/>
      <c r="AB99" s="785"/>
      <c r="AC99" s="785"/>
      <c r="AD99" s="569"/>
      <c r="AE99" s="569"/>
      <c r="AF99" s="569"/>
      <c r="AG99" s="569"/>
      <c r="AH99" s="569"/>
      <c r="AI99" s="785"/>
      <c r="AJ99" s="785"/>
      <c r="AK99" s="569"/>
      <c r="AL99" s="569"/>
      <c r="AM99" s="569"/>
      <c r="AN99" s="569"/>
      <c r="AO99" s="569"/>
      <c r="AP99" s="785"/>
      <c r="AQ99" s="785"/>
      <c r="AR99" s="569"/>
      <c r="AS99" s="569"/>
      <c r="AT99" s="569"/>
      <c r="AU99" s="569"/>
      <c r="AV99" s="785"/>
      <c r="AW99" s="785"/>
      <c r="AX99" s="785"/>
      <c r="AY99" s="794"/>
      <c r="AZ99" s="569"/>
      <c r="BA99" s="569"/>
      <c r="BB99" s="569"/>
      <c r="BC99" s="569"/>
      <c r="BD99" s="785"/>
      <c r="BE99" s="785"/>
      <c r="BF99" s="785"/>
      <c r="BG99" s="765">
        <v>1</v>
      </c>
      <c r="BH99" s="765">
        <v>2</v>
      </c>
      <c r="BI99" s="765">
        <v>3</v>
      </c>
      <c r="BJ99" s="765">
        <v>4</v>
      </c>
      <c r="BK99" s="785"/>
      <c r="BL99" s="785"/>
      <c r="BM99" s="765">
        <v>5</v>
      </c>
      <c r="BN99" s="765">
        <v>6</v>
      </c>
      <c r="BO99" s="765">
        <v>7</v>
      </c>
      <c r="BP99" s="765">
        <v>8</v>
      </c>
      <c r="BQ99" s="765">
        <v>9</v>
      </c>
      <c r="BR99" s="785"/>
      <c r="BS99" s="785"/>
      <c r="BT99" s="765">
        <v>10</v>
      </c>
      <c r="BU99" s="569"/>
      <c r="BV99" s="569"/>
      <c r="BW99" s="569"/>
      <c r="BX99" s="569"/>
      <c r="BY99" s="785"/>
      <c r="BZ99" s="785"/>
      <c r="CA99" s="569"/>
      <c r="CB99" s="569"/>
      <c r="CC99" s="569"/>
      <c r="CD99" s="569"/>
      <c r="CF99" s="785"/>
      <c r="CG99" s="785"/>
      <c r="CH99" s="569"/>
      <c r="CI99" s="569"/>
      <c r="CJ99" s="569"/>
      <c r="CK99" s="904" t="s">
        <v>612</v>
      </c>
      <c r="CL99" s="569"/>
      <c r="CM99" s="785"/>
      <c r="CN99" s="785"/>
      <c r="CO99" s="569"/>
      <c r="CP99" s="569"/>
      <c r="CQ99" s="569"/>
      <c r="CR99" s="569"/>
      <c r="CS99" s="569"/>
      <c r="CT99" s="784"/>
      <c r="CU99" s="784"/>
      <c r="CV99" s="569"/>
      <c r="CW99" s="569"/>
      <c r="CX99" s="569"/>
      <c r="CY99" s="569"/>
      <c r="CZ99" s="904" t="s">
        <v>613</v>
      </c>
      <c r="DA99" s="784"/>
      <c r="DB99" s="784"/>
      <c r="DC99" s="569"/>
      <c r="DD99" s="840"/>
      <c r="DE99" s="847"/>
      <c r="DF99" s="569"/>
      <c r="DG99" s="569"/>
      <c r="DH99" s="785"/>
      <c r="DI99" s="785"/>
      <c r="DJ99" s="569"/>
      <c r="DK99" s="569"/>
      <c r="DL99" s="569"/>
      <c r="DM99" s="569"/>
      <c r="DN99" s="569"/>
      <c r="DO99" s="785"/>
      <c r="DP99" s="785"/>
      <c r="DQ99" s="569"/>
      <c r="DR99" s="569"/>
      <c r="DS99" s="569"/>
      <c r="DT99" s="569"/>
      <c r="DU99" s="569"/>
      <c r="DV99" s="785"/>
      <c r="DW99" s="785"/>
      <c r="DX99" s="569"/>
      <c r="DY99" s="569"/>
      <c r="DZ99" s="569"/>
      <c r="EA99" s="569"/>
      <c r="EB99" s="569"/>
      <c r="EC99" s="785"/>
      <c r="ED99" s="785"/>
      <c r="EE99" s="569"/>
      <c r="EF99" s="569"/>
      <c r="EG99" s="569"/>
      <c r="EH99" s="569"/>
      <c r="EI99" s="569"/>
      <c r="EJ99" s="785"/>
      <c r="EK99" s="785"/>
      <c r="EL99" s="569"/>
      <c r="EM99" s="569"/>
      <c r="EN99" s="569"/>
      <c r="EO99" s="569"/>
      <c r="EP99" s="569"/>
      <c r="EQ99" s="785"/>
      <c r="ER99" s="785"/>
      <c r="ES99" s="569"/>
      <c r="ET99" s="569"/>
      <c r="EU99" s="569"/>
      <c r="EV99" s="569"/>
      <c r="EW99" s="569"/>
      <c r="EX99" s="785"/>
      <c r="EY99" s="785"/>
      <c r="EZ99" s="569"/>
      <c r="FA99" s="569"/>
      <c r="FB99" s="569"/>
      <c r="FC99" s="569"/>
      <c r="FD99" s="569"/>
      <c r="FE99" s="785"/>
      <c r="FF99" s="785"/>
      <c r="FH99"/>
      <c r="FI99"/>
      <c r="FO99"/>
      <c r="FP99"/>
      <c r="FV99"/>
      <c r="FW99"/>
      <c r="FZ99"/>
      <c r="GC99"/>
      <c r="GD99"/>
      <c r="GJ99"/>
      <c r="GK99"/>
      <c r="GQ99"/>
      <c r="GR99"/>
      <c r="GX99"/>
      <c r="GY99"/>
    </row>
    <row r="100" spans="1:207" ht="18.75" x14ac:dyDescent="0.3">
      <c r="A100" s="853" t="s">
        <v>594</v>
      </c>
      <c r="B100" s="569"/>
      <c r="C100" s="569"/>
      <c r="D100" s="569"/>
      <c r="E100" s="569"/>
      <c r="F100" s="569"/>
      <c r="G100" s="785"/>
      <c r="H100" s="785"/>
      <c r="I100" s="569"/>
      <c r="J100" s="569"/>
      <c r="K100" s="569"/>
      <c r="L100" s="569"/>
      <c r="M100" s="569"/>
      <c r="N100" s="785"/>
      <c r="O100" s="785"/>
      <c r="P100" s="569"/>
      <c r="Q100" s="569"/>
      <c r="R100" s="569"/>
      <c r="S100" s="569"/>
      <c r="T100" s="569"/>
      <c r="U100" s="785"/>
      <c r="V100" s="785"/>
      <c r="W100" s="569"/>
      <c r="X100" s="569"/>
      <c r="Y100" s="569"/>
      <c r="Z100" s="569"/>
      <c r="AA100" s="569"/>
      <c r="AB100" s="785"/>
      <c r="AC100" s="785"/>
      <c r="AD100" s="569"/>
      <c r="AE100" s="569"/>
      <c r="AF100" s="569"/>
      <c r="AG100" s="569"/>
      <c r="AH100" s="569"/>
      <c r="AI100" s="785"/>
      <c r="AJ100" s="785"/>
      <c r="AK100" s="569"/>
      <c r="AL100" s="569"/>
      <c r="AM100" s="569"/>
      <c r="AN100" s="569"/>
      <c r="AO100" s="569"/>
      <c r="AP100" s="785"/>
      <c r="AQ100" s="785"/>
      <c r="AR100" s="569"/>
      <c r="AS100" s="569"/>
      <c r="AT100" s="569"/>
      <c r="AU100" s="569"/>
      <c r="AV100" s="785"/>
      <c r="AW100" s="785"/>
      <c r="AX100" s="785"/>
      <c r="AY100" s="794"/>
      <c r="AZ100" s="569"/>
      <c r="BA100" s="569"/>
      <c r="BB100" s="569"/>
      <c r="BC100" s="569"/>
      <c r="BD100" s="785"/>
      <c r="BE100" s="785"/>
      <c r="BF100" s="785"/>
      <c r="BG100" s="766">
        <v>1</v>
      </c>
      <c r="BH100" s="766">
        <v>2</v>
      </c>
      <c r="BI100" s="766">
        <v>3</v>
      </c>
      <c r="BJ100" s="766">
        <v>4</v>
      </c>
      <c r="BK100" s="785"/>
      <c r="BL100" s="785"/>
      <c r="BM100" s="766">
        <v>5</v>
      </c>
      <c r="BN100" s="766">
        <v>6</v>
      </c>
      <c r="BO100" s="766">
        <v>7</v>
      </c>
      <c r="BP100" s="766">
        <v>8</v>
      </c>
      <c r="BQ100" s="766">
        <v>9</v>
      </c>
      <c r="BR100" s="785"/>
      <c r="BS100" s="785"/>
      <c r="BT100" s="905">
        <v>10</v>
      </c>
      <c r="BU100" s="766">
        <v>11</v>
      </c>
      <c r="BV100" s="907">
        <v>12</v>
      </c>
      <c r="BW100" s="766">
        <v>13</v>
      </c>
      <c r="BX100" s="766">
        <v>14</v>
      </c>
      <c r="BY100" s="785"/>
      <c r="BZ100" s="785"/>
      <c r="CA100" s="766">
        <v>15</v>
      </c>
      <c r="CB100" s="766">
        <v>16</v>
      </c>
      <c r="CC100" s="766">
        <v>17</v>
      </c>
      <c r="CD100" s="766">
        <v>18</v>
      </c>
      <c r="CE100" s="766">
        <v>19</v>
      </c>
      <c r="CF100" s="785"/>
      <c r="CG100" s="785"/>
      <c r="CH100" s="766">
        <v>20</v>
      </c>
      <c r="CI100" s="766">
        <v>21</v>
      </c>
      <c r="CJ100" s="766">
        <v>22</v>
      </c>
      <c r="CK100" s="905">
        <v>23</v>
      </c>
      <c r="CL100" s="766">
        <v>24</v>
      </c>
      <c r="CM100" s="784"/>
      <c r="CN100" s="784"/>
      <c r="CO100" s="766">
        <v>25</v>
      </c>
      <c r="CP100" s="766">
        <v>26</v>
      </c>
      <c r="CQ100" s="766">
        <v>27</v>
      </c>
      <c r="CR100" s="766">
        <v>28</v>
      </c>
      <c r="CS100" s="766">
        <v>29</v>
      </c>
      <c r="CT100" s="785"/>
      <c r="CU100" s="785"/>
      <c r="CV100" s="766">
        <v>30</v>
      </c>
      <c r="CW100" s="766">
        <v>31</v>
      </c>
      <c r="CX100" s="766">
        <v>32</v>
      </c>
      <c r="CY100" s="766">
        <v>33</v>
      </c>
      <c r="CZ100" s="766">
        <v>34</v>
      </c>
      <c r="DA100" s="785"/>
      <c r="DB100" s="785"/>
      <c r="DC100" s="569"/>
      <c r="DD100" s="840"/>
      <c r="DE100" s="847"/>
      <c r="DF100" s="569"/>
      <c r="DG100" s="569"/>
      <c r="DH100" s="785"/>
      <c r="DI100" s="785"/>
      <c r="DJ100" s="569"/>
      <c r="DK100" s="569"/>
      <c r="DL100" s="569"/>
      <c r="DM100" s="569"/>
      <c r="DN100" s="569"/>
      <c r="DO100" s="785"/>
      <c r="DP100" s="785"/>
      <c r="DQ100" s="569"/>
      <c r="DR100" s="569"/>
      <c r="DS100" s="569"/>
      <c r="DT100" s="569"/>
      <c r="DU100" s="569"/>
      <c r="DV100" s="785"/>
      <c r="DW100" s="785"/>
      <c r="DX100" s="569"/>
      <c r="DY100" s="569"/>
      <c r="DZ100" s="569"/>
      <c r="EA100" s="569"/>
      <c r="EB100" s="569"/>
      <c r="EC100" s="785"/>
      <c r="ED100" s="785"/>
      <c r="EE100" s="569"/>
      <c r="EF100" s="569"/>
      <c r="EG100" s="569"/>
      <c r="EH100" s="569"/>
      <c r="EI100" s="569"/>
      <c r="EJ100" s="785"/>
      <c r="EK100" s="785"/>
      <c r="EL100" s="569"/>
      <c r="EM100" s="569"/>
      <c r="EN100" s="569"/>
      <c r="EO100" s="569"/>
      <c r="EP100" s="569"/>
      <c r="EQ100" s="785"/>
      <c r="ER100" s="785"/>
      <c r="ES100" s="569"/>
      <c r="ET100" s="569"/>
      <c r="EU100" s="569"/>
      <c r="EV100" s="569"/>
      <c r="EW100" s="569"/>
      <c r="EX100" s="785"/>
      <c r="EY100" s="785"/>
      <c r="EZ100" s="569"/>
      <c r="FA100" s="569"/>
      <c r="FB100" s="569"/>
      <c r="FC100" s="569"/>
      <c r="FD100" s="569"/>
      <c r="FE100" s="785"/>
      <c r="FF100" s="785"/>
      <c r="FH100"/>
      <c r="FI100"/>
      <c r="FO100"/>
      <c r="FP100"/>
      <c r="FV100"/>
      <c r="FW100"/>
      <c r="FZ100"/>
      <c r="GC100"/>
      <c r="GD100"/>
      <c r="GJ100"/>
      <c r="GK100"/>
      <c r="GQ100"/>
      <c r="GR100"/>
      <c r="GX100"/>
      <c r="GY100"/>
    </row>
    <row r="101" spans="1:207" x14ac:dyDescent="0.25">
      <c r="A101" s="853" t="s">
        <v>593</v>
      </c>
      <c r="B101" s="569"/>
      <c r="C101" s="569"/>
      <c r="D101" s="569"/>
      <c r="E101" s="569"/>
      <c r="F101" s="569"/>
      <c r="G101" s="785"/>
      <c r="H101" s="785"/>
      <c r="I101" s="569"/>
      <c r="J101" s="569"/>
      <c r="K101" s="569"/>
      <c r="L101" s="569"/>
      <c r="M101" s="569"/>
      <c r="N101" s="785"/>
      <c r="O101" s="785"/>
      <c r="P101" s="569"/>
      <c r="Q101" s="569"/>
      <c r="R101" s="569"/>
      <c r="S101" s="569"/>
      <c r="T101" s="569"/>
      <c r="U101" s="785"/>
      <c r="V101" s="785"/>
      <c r="W101" s="569"/>
      <c r="X101" s="569"/>
      <c r="Y101" s="569"/>
      <c r="Z101" s="569"/>
      <c r="AA101" s="569"/>
      <c r="AB101" s="785"/>
      <c r="AC101" s="785"/>
      <c r="AD101" s="569"/>
      <c r="AE101" s="569"/>
      <c r="AF101" s="569"/>
      <c r="AG101" s="569"/>
      <c r="AH101" s="569"/>
      <c r="AI101" s="785"/>
      <c r="AJ101" s="785"/>
      <c r="AK101" s="569"/>
      <c r="AL101" s="569"/>
      <c r="AM101" s="569"/>
      <c r="AN101" s="569"/>
      <c r="AO101" s="569"/>
      <c r="AP101" s="785"/>
      <c r="AQ101" s="785"/>
      <c r="AR101" s="569"/>
      <c r="AS101" s="569"/>
      <c r="AT101" s="569"/>
      <c r="AU101" s="569"/>
      <c r="AV101" s="785"/>
      <c r="AW101" s="785"/>
      <c r="AX101" s="785"/>
      <c r="AY101" s="794"/>
      <c r="AZ101" s="569"/>
      <c r="BA101" s="569"/>
      <c r="BB101" s="569"/>
      <c r="BC101" s="569"/>
      <c r="BD101" s="785"/>
      <c r="BE101" s="785"/>
      <c r="BF101" s="785"/>
      <c r="BG101" s="819" t="s">
        <v>611</v>
      </c>
      <c r="BH101" s="569"/>
      <c r="BI101" s="569"/>
      <c r="BJ101" s="569"/>
      <c r="BK101" s="785"/>
      <c r="BL101" s="785"/>
      <c r="BM101" s="569"/>
      <c r="BN101" s="569"/>
      <c r="BO101" s="569"/>
      <c r="BP101" s="569"/>
      <c r="BQ101" s="569"/>
      <c r="BR101" s="785"/>
      <c r="BS101" s="785"/>
      <c r="BT101" s="904" t="s">
        <v>607</v>
      </c>
      <c r="BU101" s="569"/>
      <c r="BW101" s="569"/>
      <c r="BX101" s="569"/>
      <c r="BY101" s="785"/>
      <c r="BZ101" s="785"/>
      <c r="CA101" s="569"/>
      <c r="CB101" s="569"/>
      <c r="CC101" s="569"/>
      <c r="CD101" s="767">
        <v>1</v>
      </c>
      <c r="CE101" s="767">
        <v>2</v>
      </c>
      <c r="CF101" s="785"/>
      <c r="CG101" s="785"/>
      <c r="CH101" s="767">
        <v>3</v>
      </c>
      <c r="CI101" s="767">
        <v>4</v>
      </c>
      <c r="CJ101" s="767">
        <v>5</v>
      </c>
      <c r="CK101" s="767">
        <v>6</v>
      </c>
      <c r="CL101" s="767">
        <v>7</v>
      </c>
      <c r="CM101" s="784"/>
      <c r="CN101" s="784"/>
      <c r="CO101" s="767">
        <v>8</v>
      </c>
      <c r="CP101" s="767">
        <v>9</v>
      </c>
      <c r="CQ101" s="767">
        <v>10</v>
      </c>
      <c r="CR101" s="767">
        <v>11</v>
      </c>
      <c r="CS101" s="767">
        <v>12</v>
      </c>
      <c r="CT101" s="785"/>
      <c r="CU101" s="785"/>
      <c r="CV101" s="767">
        <v>13</v>
      </c>
      <c r="CW101" s="569"/>
      <c r="CX101" s="569"/>
      <c r="CY101" s="569"/>
      <c r="CZ101" s="569"/>
      <c r="DA101" s="785"/>
      <c r="DB101" s="785"/>
      <c r="DC101" s="569"/>
      <c r="DD101" s="840"/>
      <c r="DE101" s="847"/>
      <c r="DF101" s="569"/>
      <c r="DG101" s="569"/>
      <c r="DH101" s="785"/>
      <c r="DI101" s="785"/>
      <c r="DJ101" s="569"/>
      <c r="DK101" s="569"/>
      <c r="DL101" s="569"/>
      <c r="DM101" s="569"/>
      <c r="DN101" s="569"/>
      <c r="DO101" s="785"/>
      <c r="DP101" s="785"/>
      <c r="DQ101" s="569"/>
      <c r="DR101" s="569"/>
      <c r="DS101" s="569"/>
      <c r="DT101" s="569"/>
      <c r="DU101" s="569"/>
      <c r="DV101" s="785"/>
      <c r="DW101" s="785"/>
      <c r="DX101" s="569"/>
      <c r="DY101" s="569"/>
      <c r="DZ101" s="569"/>
      <c r="EA101" s="569"/>
      <c r="EB101" s="569"/>
      <c r="EC101" s="785"/>
      <c r="ED101" s="785"/>
      <c r="EE101" s="569"/>
      <c r="EF101" s="569"/>
      <c r="EG101" s="569"/>
      <c r="EH101" s="569"/>
      <c r="EI101" s="569"/>
      <c r="EJ101" s="785"/>
      <c r="EK101" s="785"/>
      <c r="EL101" s="569"/>
      <c r="EM101" s="569"/>
      <c r="EN101" s="569"/>
      <c r="EO101" s="569"/>
      <c r="EP101" s="569"/>
      <c r="EQ101" s="785"/>
      <c r="ER101" s="785"/>
      <c r="ES101" s="569"/>
      <c r="ET101" s="569"/>
      <c r="EU101" s="569"/>
      <c r="EV101" s="569"/>
      <c r="EW101" s="569"/>
      <c r="EX101" s="785"/>
      <c r="EY101" s="785"/>
      <c r="EZ101" s="569"/>
      <c r="FA101" s="569"/>
      <c r="FB101" s="569"/>
      <c r="FC101" s="569"/>
      <c r="FD101" s="569"/>
      <c r="FE101" s="785"/>
      <c r="FF101" s="785"/>
      <c r="FH101"/>
      <c r="FI101"/>
      <c r="FO101"/>
      <c r="FP101"/>
      <c r="FV101"/>
      <c r="FW101"/>
      <c r="FZ101"/>
      <c r="GC101"/>
      <c r="GD101"/>
      <c r="GJ101"/>
      <c r="GK101"/>
      <c r="GQ101"/>
      <c r="GR101"/>
      <c r="GX101"/>
      <c r="GY101"/>
    </row>
    <row r="102" spans="1:207" x14ac:dyDescent="0.25">
      <c r="A102" s="836" t="s">
        <v>592</v>
      </c>
      <c r="B102" s="569"/>
      <c r="C102" s="569"/>
      <c r="D102" s="569"/>
      <c r="E102" s="569"/>
      <c r="F102" s="569"/>
      <c r="G102" s="785"/>
      <c r="H102" s="785"/>
      <c r="I102" s="569"/>
      <c r="J102" s="569"/>
      <c r="K102" s="569"/>
      <c r="L102" s="569"/>
      <c r="M102" s="569"/>
      <c r="N102" s="785"/>
      <c r="O102" s="785"/>
      <c r="P102" s="569"/>
      <c r="Q102" s="569"/>
      <c r="R102" s="569"/>
      <c r="S102" s="569"/>
      <c r="T102" s="569"/>
      <c r="U102" s="785"/>
      <c r="V102" s="785"/>
      <c r="W102" s="569"/>
      <c r="X102" s="569"/>
      <c r="Y102" s="569"/>
      <c r="Z102" s="569"/>
      <c r="AA102" s="569"/>
      <c r="AB102" s="785"/>
      <c r="AC102" s="785"/>
      <c r="AD102" s="569"/>
      <c r="AE102" s="569"/>
      <c r="AF102" s="569"/>
      <c r="AG102" s="569"/>
      <c r="AH102" s="569"/>
      <c r="AI102" s="785"/>
      <c r="AJ102" s="785"/>
      <c r="AK102" s="569"/>
      <c r="AL102" s="569"/>
      <c r="AM102" s="569"/>
      <c r="AN102" s="569"/>
      <c r="AO102" s="569"/>
      <c r="AP102" s="785"/>
      <c r="AQ102" s="785"/>
      <c r="AR102" s="569"/>
      <c r="AS102" s="569"/>
      <c r="AT102" s="569"/>
      <c r="AU102" s="569"/>
      <c r="AV102" s="785"/>
      <c r="AW102" s="785"/>
      <c r="AX102" s="785"/>
      <c r="AY102" s="794"/>
      <c r="AZ102" s="569"/>
      <c r="BA102" s="569"/>
      <c r="BB102" s="569"/>
      <c r="BC102" s="569"/>
      <c r="BD102" s="785"/>
      <c r="BE102" s="785"/>
      <c r="BF102" s="785"/>
      <c r="BG102" s="794"/>
      <c r="BH102" s="569"/>
      <c r="BI102" s="569"/>
      <c r="BJ102" s="569"/>
      <c r="BK102" s="785"/>
      <c r="BL102" s="785"/>
      <c r="BM102" s="569"/>
      <c r="BN102" s="569"/>
      <c r="BO102" s="569"/>
      <c r="BP102" s="569"/>
      <c r="BQ102" s="569"/>
      <c r="BR102" s="785"/>
      <c r="BS102" s="785"/>
      <c r="BT102" s="569"/>
      <c r="BU102" s="569"/>
      <c r="BV102" s="569"/>
      <c r="BW102" s="569"/>
      <c r="BX102" s="569"/>
      <c r="BY102" s="785"/>
      <c r="BZ102" s="785"/>
      <c r="CA102" s="569"/>
      <c r="CB102" s="569"/>
      <c r="CC102" s="569"/>
      <c r="CD102" s="569"/>
      <c r="CE102" s="569"/>
      <c r="CF102" s="785"/>
      <c r="CG102" s="785"/>
      <c r="CH102" s="569"/>
      <c r="CI102" s="569"/>
      <c r="CJ102" s="569"/>
      <c r="CL102" s="569"/>
      <c r="CM102" s="784"/>
      <c r="CN102" s="784"/>
      <c r="CO102" s="569"/>
      <c r="CP102" s="569"/>
      <c r="CQ102"/>
      <c r="CT102" s="785"/>
      <c r="CU102" s="785"/>
      <c r="CV102" s="769">
        <v>1</v>
      </c>
      <c r="CW102" s="769">
        <v>2</v>
      </c>
      <c r="CX102" s="769">
        <v>3</v>
      </c>
      <c r="CY102" s="769">
        <v>4</v>
      </c>
      <c r="CZ102" s="769">
        <v>5</v>
      </c>
      <c r="DA102" s="785"/>
      <c r="DB102" s="785"/>
      <c r="DC102" s="769">
        <v>6</v>
      </c>
      <c r="DD102" s="906">
        <v>7</v>
      </c>
      <c r="DE102" s="888">
        <v>8</v>
      </c>
      <c r="DF102" s="889">
        <v>9</v>
      </c>
      <c r="DG102" s="769">
        <v>10</v>
      </c>
      <c r="DH102" s="785"/>
      <c r="DI102" s="785"/>
      <c r="DJ102" s="769">
        <v>11</v>
      </c>
      <c r="DK102" s="770">
        <v>12</v>
      </c>
      <c r="DL102" s="769">
        <v>13</v>
      </c>
      <c r="DM102" s="769">
        <v>14</v>
      </c>
      <c r="DN102" s="769">
        <v>15</v>
      </c>
      <c r="DO102" s="785"/>
      <c r="DP102" s="785"/>
      <c r="DQ102" s="569"/>
      <c r="DR102" s="569"/>
      <c r="DS102" s="569"/>
      <c r="DT102" s="569"/>
      <c r="DU102" s="569"/>
      <c r="DV102" s="785"/>
      <c r="DW102" s="785"/>
      <c r="DX102" s="569"/>
      <c r="DY102" s="569"/>
      <c r="DZ102" s="569"/>
      <c r="EA102" s="569"/>
      <c r="EB102" s="569"/>
      <c r="EC102" s="785"/>
      <c r="ED102" s="785"/>
      <c r="EE102" s="569"/>
      <c r="EF102" s="569"/>
      <c r="EG102" s="569"/>
      <c r="EH102" s="569"/>
      <c r="EI102" s="569"/>
      <c r="EJ102" s="785"/>
      <c r="EK102" s="785"/>
      <c r="EL102" s="569"/>
      <c r="EM102" s="569"/>
      <c r="EN102" s="569"/>
      <c r="EO102" s="569"/>
      <c r="EP102" s="569"/>
      <c r="EQ102" s="785"/>
      <c r="ER102" s="785"/>
      <c r="ES102" s="569"/>
      <c r="ET102" s="569"/>
      <c r="EU102" s="569"/>
      <c r="EV102" s="569"/>
      <c r="EW102" s="569"/>
      <c r="EX102" s="785"/>
      <c r="EY102" s="785"/>
      <c r="EZ102" s="569"/>
      <c r="FA102" s="569"/>
      <c r="FB102" s="569"/>
      <c r="FC102" s="569"/>
      <c r="FD102" s="569"/>
      <c r="FE102" s="785"/>
      <c r="FF102" s="785"/>
      <c r="FH102"/>
      <c r="FI102"/>
      <c r="FO102"/>
      <c r="FP102"/>
      <c r="FV102"/>
      <c r="FW102"/>
      <c r="FZ102"/>
      <c r="GC102"/>
      <c r="GD102"/>
      <c r="GJ102"/>
      <c r="GK102"/>
      <c r="GQ102"/>
      <c r="GR102"/>
      <c r="GX102"/>
      <c r="GY102"/>
    </row>
    <row r="103" spans="1:207" x14ac:dyDescent="0.25">
      <c r="A103" s="836" t="s">
        <v>124</v>
      </c>
      <c r="B103" s="569"/>
      <c r="C103" s="569"/>
      <c r="D103" s="569"/>
      <c r="E103" s="569"/>
      <c r="F103" s="569"/>
      <c r="G103" s="785"/>
      <c r="H103" s="785"/>
      <c r="I103" s="569"/>
      <c r="J103" s="569"/>
      <c r="K103" s="569"/>
      <c r="L103" s="569"/>
      <c r="M103" s="569"/>
      <c r="N103" s="785"/>
      <c r="O103" s="785"/>
      <c r="P103" s="569"/>
      <c r="Q103" s="569"/>
      <c r="R103" s="569"/>
      <c r="S103" s="569"/>
      <c r="T103" s="569"/>
      <c r="U103" s="785"/>
      <c r="V103" s="785"/>
      <c r="W103" s="569"/>
      <c r="X103" s="569"/>
      <c r="Y103" s="569"/>
      <c r="Z103" s="569"/>
      <c r="AA103" s="569"/>
      <c r="AB103" s="785"/>
      <c r="AC103" s="785"/>
      <c r="AD103" s="569"/>
      <c r="AE103" s="569"/>
      <c r="AF103" s="569"/>
      <c r="AG103" s="569"/>
      <c r="AH103" s="569"/>
      <c r="AI103" s="785"/>
      <c r="AJ103" s="785"/>
      <c r="AK103" s="569"/>
      <c r="AL103" s="569"/>
      <c r="AM103" s="569"/>
      <c r="AN103" s="569"/>
      <c r="AO103" s="569"/>
      <c r="AP103" s="785"/>
      <c r="AQ103" s="785"/>
      <c r="AR103" s="569"/>
      <c r="AS103" s="569"/>
      <c r="AT103" s="569"/>
      <c r="AU103" s="569"/>
      <c r="AV103" s="785"/>
      <c r="AW103" s="785"/>
      <c r="AX103" s="785"/>
      <c r="AY103" s="794"/>
      <c r="AZ103" s="569"/>
      <c r="BA103" s="569"/>
      <c r="BB103" s="569"/>
      <c r="BC103" s="569"/>
      <c r="BD103" s="785"/>
      <c r="BE103" s="785"/>
      <c r="BF103" s="785"/>
      <c r="BG103" s="794"/>
      <c r="BH103" s="569"/>
      <c r="BI103" s="569"/>
      <c r="BJ103" s="569"/>
      <c r="BK103" s="785"/>
      <c r="BL103" s="785"/>
      <c r="BM103" s="569"/>
      <c r="BN103" s="569"/>
      <c r="BO103" s="569"/>
      <c r="BP103" s="569"/>
      <c r="BQ103" s="569"/>
      <c r="BR103" s="785"/>
      <c r="BS103" s="785"/>
      <c r="BT103" s="569"/>
      <c r="BU103" s="569"/>
      <c r="BV103" s="569"/>
      <c r="BW103" s="569"/>
      <c r="BX103" s="569"/>
      <c r="BY103" s="785"/>
      <c r="BZ103" s="785"/>
      <c r="CA103" s="569"/>
      <c r="CB103" s="569"/>
      <c r="CC103" s="569"/>
      <c r="CD103" s="569"/>
      <c r="CE103" s="569"/>
      <c r="CF103" s="785"/>
      <c r="CG103" s="785"/>
      <c r="CH103" s="569"/>
      <c r="CI103" s="569"/>
      <c r="CJ103" s="569"/>
      <c r="CK103" s="569"/>
      <c r="CL103" s="569"/>
      <c r="CM103" s="784"/>
      <c r="CN103" s="784"/>
      <c r="CO103" s="569"/>
      <c r="CP103" s="771">
        <v>1</v>
      </c>
      <c r="CQ103" s="771">
        <v>2</v>
      </c>
      <c r="CR103" s="771">
        <v>3</v>
      </c>
      <c r="CS103" s="771">
        <v>4</v>
      </c>
      <c r="CT103" s="785"/>
      <c r="CU103" s="785"/>
      <c r="CV103" s="771">
        <v>5</v>
      </c>
      <c r="CW103" s="771">
        <v>6</v>
      </c>
      <c r="CX103" s="771">
        <v>7</v>
      </c>
      <c r="CY103" s="771">
        <v>8</v>
      </c>
      <c r="CZ103" s="771">
        <v>9</v>
      </c>
      <c r="DA103" s="785"/>
      <c r="DB103" s="785"/>
      <c r="DC103" s="908">
        <v>10</v>
      </c>
      <c r="DD103" s="909">
        <v>11</v>
      </c>
      <c r="DE103" s="910">
        <v>12</v>
      </c>
      <c r="DF103" s="908">
        <v>13</v>
      </c>
      <c r="DG103" s="908">
        <v>14</v>
      </c>
      <c r="DH103" s="785"/>
      <c r="DI103" s="785"/>
      <c r="DJ103" s="772">
        <v>15</v>
      </c>
      <c r="DK103" s="771">
        <v>16</v>
      </c>
      <c r="DL103" s="771">
        <v>17</v>
      </c>
      <c r="DM103" s="771">
        <v>18</v>
      </c>
      <c r="DN103" s="771">
        <v>19</v>
      </c>
      <c r="DO103" s="785"/>
      <c r="DP103" s="785"/>
      <c r="DQ103" s="771">
        <v>20</v>
      </c>
      <c r="DR103" s="771">
        <v>21</v>
      </c>
      <c r="DS103" s="771">
        <v>22</v>
      </c>
      <c r="DT103" s="771">
        <v>23</v>
      </c>
      <c r="DU103" s="771">
        <v>24</v>
      </c>
      <c r="DV103" s="785"/>
      <c r="DW103" s="785"/>
      <c r="DX103" s="771">
        <v>25</v>
      </c>
      <c r="DY103" s="771">
        <v>26</v>
      </c>
      <c r="DZ103" s="771">
        <v>27</v>
      </c>
      <c r="EA103" s="771">
        <v>28</v>
      </c>
      <c r="EB103" s="180">
        <v>29</v>
      </c>
      <c r="EC103" s="785"/>
      <c r="ED103" s="785"/>
      <c r="EE103" s="569"/>
      <c r="EF103" s="569"/>
      <c r="EG103" s="569"/>
      <c r="EH103" s="569"/>
      <c r="EI103" s="569"/>
      <c r="EJ103" s="785"/>
      <c r="EK103" s="785"/>
      <c r="EL103" s="569"/>
      <c r="EM103" s="569"/>
      <c r="EN103" s="569"/>
      <c r="EO103" s="569"/>
      <c r="EP103" s="569"/>
      <c r="EQ103" s="785"/>
      <c r="ER103" s="785"/>
      <c r="ES103" s="569"/>
      <c r="ET103" s="569"/>
      <c r="EU103" s="569"/>
      <c r="EV103" s="569"/>
      <c r="EW103" s="569"/>
      <c r="EX103" s="785"/>
      <c r="EY103" s="785"/>
      <c r="EZ103" s="569"/>
      <c r="FA103" s="569"/>
      <c r="FB103" s="569"/>
      <c r="FC103" s="569"/>
      <c r="FD103" s="569"/>
      <c r="FE103" s="785"/>
      <c r="FF103" s="785"/>
      <c r="FH103"/>
      <c r="FI103"/>
      <c r="FO103"/>
      <c r="FP103"/>
      <c r="FV103"/>
      <c r="FW103"/>
      <c r="FZ103"/>
      <c r="GC103"/>
      <c r="GD103"/>
      <c r="GJ103"/>
      <c r="GK103"/>
      <c r="GQ103"/>
      <c r="GR103"/>
      <c r="GX103"/>
      <c r="GY103"/>
    </row>
    <row r="104" spans="1:207" x14ac:dyDescent="0.25">
      <c r="CB104"/>
      <c r="CC104"/>
      <c r="CI104"/>
      <c r="CJ104"/>
      <c r="CM104"/>
      <c r="CP104"/>
      <c r="CQ104"/>
      <c r="CW104"/>
      <c r="CX104"/>
      <c r="DD104"/>
      <c r="DE104" s="466"/>
      <c r="DK104"/>
      <c r="DL104"/>
      <c r="DQ104"/>
      <c r="DR104"/>
      <c r="DS104"/>
      <c r="DT104"/>
      <c r="DY104"/>
      <c r="DZ104"/>
      <c r="EA104"/>
      <c r="EB104"/>
      <c r="EF104"/>
      <c r="EG104"/>
      <c r="EM104"/>
      <c r="EN104"/>
      <c r="ET104"/>
      <c r="EU104"/>
      <c r="EV104"/>
      <c r="FA104"/>
      <c r="FB104"/>
      <c r="FH104"/>
      <c r="FI104"/>
      <c r="FO104"/>
      <c r="FP104"/>
      <c r="FV104"/>
      <c r="FW104"/>
      <c r="FZ104"/>
      <c r="GC104"/>
      <c r="GD104"/>
      <c r="GJ104"/>
      <c r="GK104"/>
      <c r="GQ104"/>
      <c r="GR104"/>
      <c r="GX104"/>
      <c r="GY104"/>
    </row>
    <row r="105" spans="1:207" x14ac:dyDescent="0.25">
      <c r="CB105"/>
      <c r="CC105"/>
      <c r="CI105"/>
      <c r="CJ105"/>
      <c r="CM105"/>
      <c r="CP105"/>
      <c r="CQ105"/>
      <c r="CW105"/>
      <c r="CX105"/>
      <c r="DD105"/>
      <c r="DE105" s="466"/>
      <c r="DK105"/>
      <c r="DL105"/>
      <c r="DQ105"/>
      <c r="DR105"/>
      <c r="DS105"/>
      <c r="DT105"/>
      <c r="DY105"/>
      <c r="DZ105"/>
      <c r="EA105"/>
      <c r="EB105"/>
      <c r="EF105"/>
      <c r="EG105"/>
      <c r="EM105"/>
      <c r="EN105"/>
      <c r="ET105"/>
      <c r="EU105"/>
      <c r="EV105"/>
      <c r="FA105"/>
      <c r="FB105"/>
      <c r="FH105"/>
      <c r="FI105"/>
      <c r="FO105"/>
      <c r="FP105"/>
      <c r="FV105"/>
      <c r="FW105"/>
      <c r="FZ105"/>
      <c r="GC105"/>
      <c r="GD105"/>
      <c r="GJ105"/>
      <c r="GK105"/>
      <c r="GQ105"/>
      <c r="GR105"/>
      <c r="GX105"/>
      <c r="GY105"/>
    </row>
    <row r="106" spans="1:207" x14ac:dyDescent="0.25">
      <c r="CB106"/>
      <c r="CC106"/>
      <c r="CI106"/>
      <c r="CJ106"/>
      <c r="CM106"/>
      <c r="CP106"/>
      <c r="CQ106"/>
      <c r="CW106"/>
      <c r="CX106"/>
      <c r="DD106"/>
      <c r="DE106" s="466"/>
      <c r="DK106"/>
      <c r="DL106"/>
      <c r="DQ106"/>
      <c r="DR106"/>
      <c r="DS106"/>
      <c r="DT106"/>
      <c r="DY106"/>
      <c r="DZ106"/>
      <c r="EA106"/>
      <c r="EB106"/>
      <c r="EF106"/>
      <c r="EG106"/>
      <c r="EM106"/>
      <c r="EN106"/>
      <c r="ET106"/>
      <c r="EU106"/>
      <c r="EV106"/>
      <c r="FA106"/>
      <c r="FB106"/>
      <c r="FH106"/>
      <c r="FI106"/>
      <c r="FO106"/>
      <c r="FP106"/>
      <c r="FV106"/>
      <c r="FW106"/>
      <c r="FZ106"/>
      <c r="GC106"/>
      <c r="GD106"/>
      <c r="GJ106"/>
      <c r="GK106"/>
      <c r="GQ106"/>
      <c r="GR106"/>
      <c r="GX106"/>
      <c r="GY106"/>
    </row>
    <row r="107" spans="1:207" x14ac:dyDescent="0.25">
      <c r="CB107"/>
      <c r="CC107"/>
      <c r="CI107"/>
      <c r="CJ107"/>
      <c r="CM107"/>
      <c r="CP107"/>
      <c r="CQ107"/>
      <c r="CW107"/>
      <c r="CX107"/>
      <c r="DD107"/>
      <c r="DE107" s="466"/>
      <c r="DK107"/>
      <c r="DL107"/>
      <c r="DQ107"/>
      <c r="DR107"/>
      <c r="DS107"/>
      <c r="DT107"/>
      <c r="DY107"/>
      <c r="DZ107"/>
      <c r="EA107"/>
      <c r="EB107"/>
      <c r="EF107"/>
      <c r="EG107"/>
      <c r="EM107"/>
      <c r="EN107"/>
      <c r="ET107"/>
      <c r="EU107"/>
      <c r="EV107"/>
      <c r="FA107"/>
      <c r="FB107"/>
      <c r="FH107"/>
      <c r="FI107"/>
      <c r="FO107"/>
      <c r="FP107"/>
      <c r="FV107"/>
      <c r="FW107"/>
      <c r="FZ107"/>
      <c r="GC107"/>
      <c r="GD107"/>
      <c r="GJ107"/>
      <c r="GK107"/>
      <c r="GQ107"/>
      <c r="GR107"/>
      <c r="GX107"/>
      <c r="GY107"/>
    </row>
    <row r="108" spans="1:207" x14ac:dyDescent="0.25">
      <c r="CB108"/>
      <c r="CC108"/>
      <c r="CI108"/>
      <c r="CJ108"/>
      <c r="CM108"/>
      <c r="CP108"/>
      <c r="CQ108"/>
      <c r="CW108"/>
      <c r="CX108"/>
      <c r="DD108"/>
      <c r="DE108" s="466"/>
      <c r="DK108"/>
      <c r="DL108"/>
      <c r="DQ108"/>
      <c r="DR108"/>
      <c r="DS108"/>
      <c r="DT108"/>
      <c r="DY108"/>
      <c r="DZ108"/>
      <c r="EA108"/>
      <c r="EB108"/>
      <c r="EF108"/>
      <c r="EG108"/>
      <c r="EM108"/>
      <c r="EN108"/>
      <c r="ET108"/>
      <c r="EU108"/>
      <c r="EV108"/>
      <c r="FA108"/>
      <c r="FB108"/>
      <c r="FH108"/>
      <c r="FI108"/>
      <c r="FO108"/>
      <c r="FP108"/>
      <c r="FV108"/>
      <c r="FW108"/>
      <c r="FZ108"/>
      <c r="GC108"/>
      <c r="GD108"/>
      <c r="GJ108"/>
      <c r="GK108"/>
      <c r="GQ108"/>
      <c r="GR108"/>
      <c r="GX108"/>
      <c r="GY108"/>
    </row>
    <row r="109" spans="1:207" x14ac:dyDescent="0.25">
      <c r="CB109"/>
      <c r="CC109"/>
      <c r="CI109"/>
      <c r="CJ109"/>
      <c r="CM109"/>
      <c r="CP109"/>
      <c r="CQ109"/>
      <c r="CW109"/>
      <c r="CX109"/>
      <c r="DD109"/>
      <c r="DE109" s="466"/>
      <c r="DK109"/>
      <c r="DL109"/>
      <c r="DQ109"/>
      <c r="DR109"/>
      <c r="DS109"/>
      <c r="DT109"/>
      <c r="DY109"/>
      <c r="DZ109"/>
      <c r="EA109"/>
      <c r="EB109"/>
      <c r="EF109"/>
      <c r="EG109"/>
      <c r="EM109"/>
      <c r="EN109"/>
      <c r="ET109"/>
      <c r="EU109"/>
      <c r="EV109"/>
      <c r="FA109"/>
      <c r="FB109"/>
      <c r="FH109"/>
      <c r="FI109"/>
      <c r="FO109"/>
      <c r="FP109"/>
      <c r="FV109"/>
      <c r="FW109"/>
      <c r="FZ109"/>
      <c r="GC109"/>
      <c r="GD109"/>
      <c r="GJ109"/>
      <c r="GK109"/>
      <c r="GQ109"/>
      <c r="GR109"/>
      <c r="GX109"/>
      <c r="GY109"/>
    </row>
    <row r="110" spans="1:207" x14ac:dyDescent="0.25">
      <c r="CB110"/>
      <c r="CC110"/>
      <c r="CI110"/>
      <c r="CJ110"/>
      <c r="CM110"/>
      <c r="CP110"/>
      <c r="CQ110"/>
      <c r="CW110"/>
      <c r="CX110"/>
      <c r="DD110"/>
      <c r="DE110" s="466"/>
      <c r="DK110"/>
      <c r="DL110"/>
      <c r="DQ110"/>
      <c r="DR110"/>
      <c r="DS110"/>
      <c r="DT110"/>
      <c r="DY110"/>
      <c r="DZ110"/>
      <c r="EA110"/>
      <c r="EB110"/>
      <c r="EF110"/>
      <c r="EG110"/>
      <c r="EM110"/>
      <c r="EN110"/>
      <c r="ET110"/>
      <c r="EU110"/>
      <c r="EV110"/>
      <c r="FA110"/>
      <c r="FB110"/>
      <c r="FH110"/>
      <c r="FI110"/>
      <c r="FO110"/>
      <c r="FP110"/>
      <c r="FV110"/>
      <c r="FW110"/>
      <c r="FZ110"/>
      <c r="GC110"/>
      <c r="GD110"/>
      <c r="GJ110"/>
      <c r="GK110"/>
      <c r="GQ110"/>
      <c r="GR110"/>
      <c r="GX110"/>
      <c r="GY110"/>
    </row>
    <row r="111" spans="1:207" x14ac:dyDescent="0.25">
      <c r="CB111"/>
      <c r="CC111"/>
      <c r="CI111"/>
      <c r="CJ111"/>
      <c r="CM111"/>
      <c r="CP111"/>
      <c r="CQ111"/>
      <c r="CW111"/>
      <c r="CX111"/>
      <c r="DD111"/>
      <c r="DE111" s="466"/>
      <c r="DK111"/>
      <c r="DL111"/>
      <c r="DQ111"/>
      <c r="DR111"/>
      <c r="DS111"/>
      <c r="DT111"/>
      <c r="DY111"/>
      <c r="DZ111"/>
      <c r="EA111"/>
      <c r="EB111"/>
      <c r="EF111"/>
      <c r="EG111"/>
      <c r="EM111"/>
      <c r="EN111"/>
      <c r="ET111"/>
      <c r="EU111"/>
      <c r="EV111"/>
      <c r="FA111"/>
      <c r="FB111"/>
      <c r="FH111"/>
      <c r="FI111"/>
      <c r="FO111"/>
      <c r="FP111"/>
      <c r="FV111"/>
      <c r="FW111"/>
      <c r="FZ111"/>
      <c r="GC111"/>
      <c r="GD111"/>
      <c r="GJ111"/>
      <c r="GK111"/>
      <c r="GQ111"/>
      <c r="GR111"/>
      <c r="GX111"/>
      <c r="GY111"/>
    </row>
    <row r="112" spans="1:207" x14ac:dyDescent="0.25">
      <c r="CB112"/>
      <c r="CC112"/>
      <c r="CI112"/>
      <c r="CJ112"/>
      <c r="CM112"/>
      <c r="CP112"/>
      <c r="CQ112"/>
      <c r="CW112"/>
      <c r="CX112"/>
      <c r="DD112"/>
      <c r="DE112" s="466"/>
      <c r="DK112"/>
      <c r="DL112"/>
      <c r="DQ112"/>
      <c r="DR112"/>
      <c r="DS112"/>
      <c r="DT112"/>
      <c r="DY112"/>
      <c r="DZ112"/>
      <c r="EA112"/>
      <c r="EB112"/>
      <c r="EF112"/>
      <c r="EG112"/>
      <c r="EM112"/>
      <c r="EN112"/>
      <c r="ET112"/>
      <c r="EU112"/>
      <c r="EV112"/>
      <c r="FA112"/>
      <c r="FB112"/>
      <c r="FH112"/>
      <c r="FI112"/>
      <c r="FO112"/>
      <c r="FP112"/>
      <c r="FV112"/>
      <c r="FW112"/>
      <c r="FZ112"/>
      <c r="GC112"/>
      <c r="GD112"/>
      <c r="GJ112"/>
      <c r="GK112"/>
      <c r="GQ112"/>
      <c r="GR112"/>
      <c r="GX112"/>
      <c r="GY112"/>
    </row>
    <row r="113" spans="109:109" customFormat="1" x14ac:dyDescent="0.25">
      <c r="DE113" s="466"/>
    </row>
    <row r="114" spans="109:109" customFormat="1" x14ac:dyDescent="0.25">
      <c r="DE114" s="466"/>
    </row>
    <row r="115" spans="109:109" customFormat="1" x14ac:dyDescent="0.25">
      <c r="DE115" s="466"/>
    </row>
    <row r="116" spans="109:109" customFormat="1" x14ac:dyDescent="0.25">
      <c r="DE116" s="466"/>
    </row>
    <row r="117" spans="109:109" customFormat="1" x14ac:dyDescent="0.25">
      <c r="DE117" s="466"/>
    </row>
    <row r="118" spans="109:109" customFormat="1" x14ac:dyDescent="0.25">
      <c r="DE118" s="466"/>
    </row>
    <row r="119" spans="109:109" customFormat="1" x14ac:dyDescent="0.25">
      <c r="DE119" s="466"/>
    </row>
    <row r="120" spans="109:109" customFormat="1" x14ac:dyDescent="0.25">
      <c r="DE120" s="466"/>
    </row>
    <row r="121" spans="109:109" customFormat="1" x14ac:dyDescent="0.25">
      <c r="DE121" s="466"/>
    </row>
    <row r="122" spans="109:109" customFormat="1" x14ac:dyDescent="0.25">
      <c r="DE122" s="466"/>
    </row>
    <row r="123" spans="109:109" customFormat="1" x14ac:dyDescent="0.25">
      <c r="DE123" s="466"/>
    </row>
    <row r="124" spans="109:109" customFormat="1" x14ac:dyDescent="0.25">
      <c r="DE124" s="466"/>
    </row>
    <row r="125" spans="109:109" customFormat="1" x14ac:dyDescent="0.25">
      <c r="DE125" s="466"/>
    </row>
    <row r="126" spans="109:109" customFormat="1" x14ac:dyDescent="0.25">
      <c r="DE126" s="466"/>
    </row>
    <row r="127" spans="109:109" customFormat="1" x14ac:dyDescent="0.25">
      <c r="DE127" s="466"/>
    </row>
    <row r="128" spans="109:109" customFormat="1" x14ac:dyDescent="0.25">
      <c r="DE128" s="466"/>
    </row>
    <row r="129" spans="109:109" customFormat="1" x14ac:dyDescent="0.25">
      <c r="DE129" s="466"/>
    </row>
    <row r="130" spans="109:109" customFormat="1" x14ac:dyDescent="0.25">
      <c r="DE130" s="466"/>
    </row>
    <row r="131" spans="109:109" customFormat="1" x14ac:dyDescent="0.25">
      <c r="DE131" s="466"/>
    </row>
    <row r="132" spans="109:109" customFormat="1" x14ac:dyDescent="0.25">
      <c r="DE132" s="466"/>
    </row>
    <row r="133" spans="109:109" customFormat="1" x14ac:dyDescent="0.25">
      <c r="DE133" s="466"/>
    </row>
    <row r="134" spans="109:109" customFormat="1" x14ac:dyDescent="0.25">
      <c r="DE134" s="466"/>
    </row>
    <row r="135" spans="109:109" customFormat="1" x14ac:dyDescent="0.25">
      <c r="DE135" s="466"/>
    </row>
    <row r="136" spans="109:109" customFormat="1" x14ac:dyDescent="0.25">
      <c r="DE136" s="466"/>
    </row>
    <row r="137" spans="109:109" customFormat="1" x14ac:dyDescent="0.25">
      <c r="DE137" s="466"/>
    </row>
    <row r="138" spans="109:109" customFormat="1" x14ac:dyDescent="0.25">
      <c r="DE138" s="466"/>
    </row>
    <row r="139" spans="109:109" customFormat="1" x14ac:dyDescent="0.25">
      <c r="DE139" s="466"/>
    </row>
    <row r="140" spans="109:109" customFormat="1" x14ac:dyDescent="0.25">
      <c r="DE140" s="466"/>
    </row>
    <row r="141" spans="109:109" customFormat="1" x14ac:dyDescent="0.25">
      <c r="DE141" s="466"/>
    </row>
    <row r="142" spans="109:109" customFormat="1" x14ac:dyDescent="0.25">
      <c r="DE142" s="466"/>
    </row>
    <row r="143" spans="109:109" customFormat="1" x14ac:dyDescent="0.25">
      <c r="DE143" s="466"/>
    </row>
    <row r="144" spans="109:109" customFormat="1" x14ac:dyDescent="0.25">
      <c r="DE144" s="466"/>
    </row>
    <row r="145" spans="109:109" customFormat="1" x14ac:dyDescent="0.25">
      <c r="DE145" s="466"/>
    </row>
    <row r="146" spans="109:109" customFormat="1" x14ac:dyDescent="0.25">
      <c r="DE146" s="466"/>
    </row>
    <row r="147" spans="109:109" customFormat="1" x14ac:dyDescent="0.25">
      <c r="DE147" s="466"/>
    </row>
    <row r="148" spans="109:109" customFormat="1" x14ac:dyDescent="0.25">
      <c r="DE148" s="466"/>
    </row>
    <row r="149" spans="109:109" customFormat="1" x14ac:dyDescent="0.25">
      <c r="DE149" s="466"/>
    </row>
    <row r="150" spans="109:109" customFormat="1" x14ac:dyDescent="0.25">
      <c r="DE150" s="466"/>
    </row>
    <row r="151" spans="109:109" customFormat="1" x14ac:dyDescent="0.25">
      <c r="DE151" s="466"/>
    </row>
    <row r="152" spans="109:109" customFormat="1" x14ac:dyDescent="0.25">
      <c r="DE152" s="466"/>
    </row>
    <row r="153" spans="109:109" customFormat="1" x14ac:dyDescent="0.25">
      <c r="DE153" s="466"/>
    </row>
    <row r="154" spans="109:109" customFormat="1" x14ac:dyDescent="0.25">
      <c r="DE154" s="466"/>
    </row>
    <row r="155" spans="109:109" customFormat="1" x14ac:dyDescent="0.25">
      <c r="DE155" s="466"/>
    </row>
    <row r="156" spans="109:109" customFormat="1" x14ac:dyDescent="0.25">
      <c r="DE156" s="466"/>
    </row>
    <row r="157" spans="109:109" customFormat="1" x14ac:dyDescent="0.25">
      <c r="DE157" s="466"/>
    </row>
    <row r="158" spans="109:109" customFormat="1" x14ac:dyDescent="0.25">
      <c r="DE158" s="466"/>
    </row>
    <row r="159" spans="109:109" customFormat="1" x14ac:dyDescent="0.25">
      <c r="DE159" s="466"/>
    </row>
    <row r="160" spans="109:109" customFormat="1" x14ac:dyDescent="0.25">
      <c r="DE160" s="466"/>
    </row>
    <row r="161" spans="109:109" customFormat="1" x14ac:dyDescent="0.25">
      <c r="DE161" s="466"/>
    </row>
    <row r="162" spans="109:109" customFormat="1" x14ac:dyDescent="0.25">
      <c r="DE162" s="466"/>
    </row>
    <row r="163" spans="109:109" customFormat="1" x14ac:dyDescent="0.25">
      <c r="DE163" s="466"/>
    </row>
    <row r="164" spans="109:109" customFormat="1" x14ac:dyDescent="0.25">
      <c r="DE164" s="466"/>
    </row>
    <row r="165" spans="109:109" customFormat="1" x14ac:dyDescent="0.25">
      <c r="DE165" s="466"/>
    </row>
    <row r="166" spans="109:109" customFormat="1" x14ac:dyDescent="0.25">
      <c r="DE166" s="466"/>
    </row>
    <row r="167" spans="109:109" customFormat="1" x14ac:dyDescent="0.25">
      <c r="DE167" s="466"/>
    </row>
    <row r="168" spans="109:109" customFormat="1" x14ac:dyDescent="0.25">
      <c r="DE168" s="466"/>
    </row>
    <row r="169" spans="109:109" customFormat="1" x14ac:dyDescent="0.25">
      <c r="DE169" s="466"/>
    </row>
    <row r="170" spans="109:109" customFormat="1" x14ac:dyDescent="0.25">
      <c r="DE170" s="466"/>
    </row>
    <row r="171" spans="109:109" customFormat="1" x14ac:dyDescent="0.25">
      <c r="DE171" s="466"/>
    </row>
    <row r="172" spans="109:109" customFormat="1" x14ac:dyDescent="0.25">
      <c r="DE172" s="466"/>
    </row>
    <row r="173" spans="109:109" customFormat="1" x14ac:dyDescent="0.25">
      <c r="DE173" s="466"/>
    </row>
    <row r="174" spans="109:109" customFormat="1" x14ac:dyDescent="0.25">
      <c r="DE174" s="466"/>
    </row>
    <row r="175" spans="109:109" customFormat="1" x14ac:dyDescent="0.25">
      <c r="DE175" s="466"/>
    </row>
    <row r="176" spans="109:109" customFormat="1" x14ac:dyDescent="0.25">
      <c r="DE176" s="466"/>
    </row>
    <row r="177" spans="109:109" customFormat="1" x14ac:dyDescent="0.25">
      <c r="DE177" s="466"/>
    </row>
    <row r="178" spans="109:109" customFormat="1" x14ac:dyDescent="0.25">
      <c r="DE178" s="466"/>
    </row>
    <row r="179" spans="109:109" customFormat="1" x14ac:dyDescent="0.25">
      <c r="DE179" s="466"/>
    </row>
    <row r="180" spans="109:109" customFormat="1" x14ac:dyDescent="0.25">
      <c r="DE180" s="466"/>
    </row>
    <row r="181" spans="109:109" customFormat="1" x14ac:dyDescent="0.25">
      <c r="DE181" s="466"/>
    </row>
    <row r="182" spans="109:109" customFormat="1" x14ac:dyDescent="0.25">
      <c r="DE182" s="466"/>
    </row>
    <row r="183" spans="109:109" customFormat="1" x14ac:dyDescent="0.25">
      <c r="DE183" s="466"/>
    </row>
    <row r="184" spans="109:109" customFormat="1" x14ac:dyDescent="0.25">
      <c r="DE184" s="466"/>
    </row>
    <row r="185" spans="109:109" customFormat="1" x14ac:dyDescent="0.25">
      <c r="DE185" s="466"/>
    </row>
    <row r="186" spans="109:109" customFormat="1" x14ac:dyDescent="0.25">
      <c r="DE186" s="466"/>
    </row>
    <row r="187" spans="109:109" customFormat="1" x14ac:dyDescent="0.25">
      <c r="DE187" s="466"/>
    </row>
    <row r="188" spans="109:109" customFormat="1" x14ac:dyDescent="0.25">
      <c r="DE188" s="466"/>
    </row>
    <row r="189" spans="109:109" customFormat="1" x14ac:dyDescent="0.25">
      <c r="DE189" s="466"/>
    </row>
    <row r="190" spans="109:109" customFormat="1" x14ac:dyDescent="0.25">
      <c r="DE190" s="466"/>
    </row>
    <row r="191" spans="109:109" customFormat="1" x14ac:dyDescent="0.25">
      <c r="DE191" s="466"/>
    </row>
    <row r="192" spans="109:109" customFormat="1" x14ac:dyDescent="0.25">
      <c r="DE192" s="466"/>
    </row>
    <row r="193" spans="109:109" customFormat="1" x14ac:dyDescent="0.25">
      <c r="DE193" s="466"/>
    </row>
    <row r="194" spans="109:109" customFormat="1" x14ac:dyDescent="0.25">
      <c r="DE194" s="466"/>
    </row>
    <row r="195" spans="109:109" customFormat="1" x14ac:dyDescent="0.25">
      <c r="DE195" s="466"/>
    </row>
    <row r="196" spans="109:109" customFormat="1" x14ac:dyDescent="0.25">
      <c r="DE196" s="466"/>
    </row>
    <row r="197" spans="109:109" customFormat="1" x14ac:dyDescent="0.25">
      <c r="DE197" s="466"/>
    </row>
    <row r="198" spans="109:109" customFormat="1" x14ac:dyDescent="0.25">
      <c r="DE198" s="466"/>
    </row>
    <row r="199" spans="109:109" customFormat="1" x14ac:dyDescent="0.25">
      <c r="DE199" s="466"/>
    </row>
    <row r="200" spans="109:109" customFormat="1" x14ac:dyDescent="0.25">
      <c r="DE200" s="466"/>
    </row>
    <row r="201" spans="109:109" customFormat="1" x14ac:dyDescent="0.25">
      <c r="DE201" s="466"/>
    </row>
    <row r="202" spans="109:109" customFormat="1" x14ac:dyDescent="0.25">
      <c r="DE202" s="466"/>
    </row>
    <row r="203" spans="109:109" customFormat="1" x14ac:dyDescent="0.25">
      <c r="DE203" s="466"/>
    </row>
    <row r="204" spans="109:109" customFormat="1" x14ac:dyDescent="0.25">
      <c r="DE204" s="466"/>
    </row>
    <row r="205" spans="109:109" customFormat="1" x14ac:dyDescent="0.25">
      <c r="DE205" s="466"/>
    </row>
    <row r="206" spans="109:109" customFormat="1" x14ac:dyDescent="0.25">
      <c r="DE206" s="466"/>
    </row>
    <row r="207" spans="109:109" customFormat="1" x14ac:dyDescent="0.25">
      <c r="DE207" s="466"/>
    </row>
    <row r="208" spans="109:109" customFormat="1" x14ac:dyDescent="0.25">
      <c r="DE208" s="466"/>
    </row>
    <row r="209" spans="109:109" customFormat="1" x14ac:dyDescent="0.25">
      <c r="DE209" s="466"/>
    </row>
    <row r="210" spans="109:109" customFormat="1" x14ac:dyDescent="0.25">
      <c r="DE210" s="466"/>
    </row>
    <row r="211" spans="109:109" customFormat="1" x14ac:dyDescent="0.25">
      <c r="DE211" s="466"/>
    </row>
    <row r="212" spans="109:109" customFormat="1" x14ac:dyDescent="0.25">
      <c r="DE212" s="466"/>
    </row>
    <row r="213" spans="109:109" customFormat="1" x14ac:dyDescent="0.25">
      <c r="DE213" s="466"/>
    </row>
    <row r="214" spans="109:109" customFormat="1" x14ac:dyDescent="0.25">
      <c r="DE214" s="466"/>
    </row>
    <row r="215" spans="109:109" customFormat="1" x14ac:dyDescent="0.25">
      <c r="DE215" s="466"/>
    </row>
    <row r="216" spans="109:109" customFormat="1" x14ac:dyDescent="0.25">
      <c r="DE216" s="466"/>
    </row>
    <row r="217" spans="109:109" customFormat="1" x14ac:dyDescent="0.25">
      <c r="DE217" s="466"/>
    </row>
    <row r="218" spans="109:109" customFormat="1" x14ac:dyDescent="0.25">
      <c r="DE218" s="466"/>
    </row>
    <row r="219" spans="109:109" customFormat="1" x14ac:dyDescent="0.25">
      <c r="DE219" s="466"/>
    </row>
    <row r="220" spans="109:109" customFormat="1" x14ac:dyDescent="0.25">
      <c r="DE220" s="466"/>
    </row>
    <row r="221" spans="109:109" customFormat="1" x14ac:dyDescent="0.25">
      <c r="DE221" s="466"/>
    </row>
    <row r="222" spans="109:109" customFormat="1" x14ac:dyDescent="0.25">
      <c r="DE222" s="466"/>
    </row>
    <row r="223" spans="109:109" customFormat="1" x14ac:dyDescent="0.25">
      <c r="DE223" s="466"/>
    </row>
    <row r="224" spans="109:109" customFormat="1" x14ac:dyDescent="0.25">
      <c r="DE224" s="466"/>
    </row>
    <row r="225" spans="109:109" customFormat="1" x14ac:dyDescent="0.25">
      <c r="DE225" s="466"/>
    </row>
    <row r="226" spans="109:109" customFormat="1" x14ac:dyDescent="0.25">
      <c r="DE226" s="466"/>
    </row>
    <row r="227" spans="109:109" customFormat="1" x14ac:dyDescent="0.25">
      <c r="DE227" s="466"/>
    </row>
    <row r="228" spans="109:109" customFormat="1" x14ac:dyDescent="0.25">
      <c r="DE228" s="466"/>
    </row>
    <row r="229" spans="109:109" customFormat="1" x14ac:dyDescent="0.25">
      <c r="DE229" s="466"/>
    </row>
    <row r="230" spans="109:109" customFormat="1" x14ac:dyDescent="0.25">
      <c r="DE230" s="466"/>
    </row>
    <row r="231" spans="109:109" customFormat="1" x14ac:dyDescent="0.25">
      <c r="DE231" s="466"/>
    </row>
    <row r="232" spans="109:109" customFormat="1" x14ac:dyDescent="0.25">
      <c r="DE232" s="466"/>
    </row>
    <row r="233" spans="109:109" customFormat="1" x14ac:dyDescent="0.25">
      <c r="DE233" s="466"/>
    </row>
    <row r="234" spans="109:109" customFormat="1" x14ac:dyDescent="0.25">
      <c r="DE234" s="466"/>
    </row>
    <row r="235" spans="109:109" customFormat="1" x14ac:dyDescent="0.25">
      <c r="DE235" s="466"/>
    </row>
    <row r="236" spans="109:109" customFormat="1" x14ac:dyDescent="0.25">
      <c r="DE236" s="466"/>
    </row>
    <row r="237" spans="109:109" customFormat="1" x14ac:dyDescent="0.25">
      <c r="DE237" s="466"/>
    </row>
    <row r="238" spans="109:109" customFormat="1" x14ac:dyDescent="0.25">
      <c r="DE238" s="466"/>
    </row>
    <row r="239" spans="109:109" customFormat="1" x14ac:dyDescent="0.25">
      <c r="DE239" s="466"/>
    </row>
    <row r="240" spans="109:109" customFormat="1" x14ac:dyDescent="0.25">
      <c r="DE240" s="466"/>
    </row>
    <row r="241" spans="109:109" customFormat="1" x14ac:dyDescent="0.25">
      <c r="DE241" s="466"/>
    </row>
    <row r="242" spans="109:109" customFormat="1" x14ac:dyDescent="0.25">
      <c r="DE242" s="466"/>
    </row>
    <row r="243" spans="109:109" customFormat="1" x14ac:dyDescent="0.25">
      <c r="DE243" s="466"/>
    </row>
    <row r="244" spans="109:109" customFormat="1" x14ac:dyDescent="0.25">
      <c r="DE244" s="466"/>
    </row>
    <row r="245" spans="109:109" customFormat="1" x14ac:dyDescent="0.25">
      <c r="DE245" s="466"/>
    </row>
    <row r="246" spans="109:109" customFormat="1" x14ac:dyDescent="0.25">
      <c r="DE246" s="466"/>
    </row>
    <row r="247" spans="109:109" customFormat="1" x14ac:dyDescent="0.25">
      <c r="DE247" s="466"/>
    </row>
    <row r="248" spans="109:109" customFormat="1" x14ac:dyDescent="0.25">
      <c r="DE248" s="466"/>
    </row>
    <row r="249" spans="109:109" customFormat="1" x14ac:dyDescent="0.25">
      <c r="DE249" s="466"/>
    </row>
    <row r="250" spans="109:109" customFormat="1" x14ac:dyDescent="0.25">
      <c r="DE250" s="466"/>
    </row>
    <row r="251" spans="109:109" customFormat="1" x14ac:dyDescent="0.25">
      <c r="DE251" s="466"/>
    </row>
    <row r="252" spans="109:109" customFormat="1" x14ac:dyDescent="0.25">
      <c r="DE252" s="466"/>
    </row>
    <row r="253" spans="109:109" customFormat="1" x14ac:dyDescent="0.25">
      <c r="DE253" s="466"/>
    </row>
    <row r="254" spans="109:109" customFormat="1" x14ac:dyDescent="0.25">
      <c r="DE254" s="466"/>
    </row>
    <row r="255" spans="109:109" customFormat="1" x14ac:dyDescent="0.25">
      <c r="DE255" s="466"/>
    </row>
    <row r="256" spans="109:109" customFormat="1" x14ac:dyDescent="0.25">
      <c r="DE256" s="466"/>
    </row>
    <row r="257" spans="109:109" customFormat="1" x14ac:dyDescent="0.25">
      <c r="DE257" s="466"/>
    </row>
    <row r="258" spans="109:109" customFormat="1" x14ac:dyDescent="0.25">
      <c r="DE258" s="466"/>
    </row>
    <row r="259" spans="109:109" customFormat="1" x14ac:dyDescent="0.25">
      <c r="DE259" s="466"/>
    </row>
    <row r="260" spans="109:109" customFormat="1" x14ac:dyDescent="0.25">
      <c r="DE260" s="466"/>
    </row>
    <row r="261" spans="109:109" customFormat="1" x14ac:dyDescent="0.25">
      <c r="DE261" s="466"/>
    </row>
    <row r="262" spans="109:109" customFormat="1" x14ac:dyDescent="0.25">
      <c r="DE262" s="466"/>
    </row>
    <row r="263" spans="109:109" customFormat="1" x14ac:dyDescent="0.25">
      <c r="DE263" s="466"/>
    </row>
    <row r="264" spans="109:109" customFormat="1" x14ac:dyDescent="0.25">
      <c r="DE264" s="466"/>
    </row>
    <row r="265" spans="109:109" customFormat="1" x14ac:dyDescent="0.25">
      <c r="DE265" s="466"/>
    </row>
    <row r="266" spans="109:109" customFormat="1" x14ac:dyDescent="0.25">
      <c r="DE266" s="466"/>
    </row>
    <row r="267" spans="109:109" customFormat="1" x14ac:dyDescent="0.25">
      <c r="DE267" s="466"/>
    </row>
    <row r="268" spans="109:109" customFormat="1" x14ac:dyDescent="0.25">
      <c r="DE268" s="466"/>
    </row>
    <row r="269" spans="109:109" customFormat="1" x14ac:dyDescent="0.25">
      <c r="DE269" s="466"/>
    </row>
    <row r="270" spans="109:109" customFormat="1" x14ac:dyDescent="0.25">
      <c r="DE270" s="466"/>
    </row>
    <row r="271" spans="109:109" customFormat="1" x14ac:dyDescent="0.25">
      <c r="DE271" s="466"/>
    </row>
    <row r="272" spans="109:109" customFormat="1" x14ac:dyDescent="0.25">
      <c r="DE272" s="466"/>
    </row>
    <row r="273" spans="109:109" customFormat="1" x14ac:dyDescent="0.25">
      <c r="DE273" s="466"/>
    </row>
    <row r="274" spans="109:109" customFormat="1" x14ac:dyDescent="0.25">
      <c r="DE274" s="466"/>
    </row>
    <row r="275" spans="109:109" customFormat="1" x14ac:dyDescent="0.25">
      <c r="DE275" s="466"/>
    </row>
    <row r="276" spans="109:109" customFormat="1" x14ac:dyDescent="0.25">
      <c r="DE276" s="466"/>
    </row>
    <row r="277" spans="109:109" customFormat="1" x14ac:dyDescent="0.25">
      <c r="DE277" s="466"/>
    </row>
    <row r="278" spans="109:109" customFormat="1" x14ac:dyDescent="0.25">
      <c r="DE278" s="466"/>
    </row>
    <row r="279" spans="109:109" customFormat="1" x14ac:dyDescent="0.25">
      <c r="DE279" s="466"/>
    </row>
    <row r="280" spans="109:109" customFormat="1" x14ac:dyDescent="0.25">
      <c r="DE280" s="466"/>
    </row>
    <row r="281" spans="109:109" customFormat="1" x14ac:dyDescent="0.25">
      <c r="DE281" s="466"/>
    </row>
    <row r="282" spans="109:109" customFormat="1" x14ac:dyDescent="0.25">
      <c r="DE282" s="466"/>
    </row>
    <row r="283" spans="109:109" customFormat="1" x14ac:dyDescent="0.25">
      <c r="DE283" s="466"/>
    </row>
    <row r="284" spans="109:109" customFormat="1" x14ac:dyDescent="0.25">
      <c r="DE284" s="466"/>
    </row>
    <row r="285" spans="109:109" customFormat="1" x14ac:dyDescent="0.25">
      <c r="DE285" s="466"/>
    </row>
    <row r="286" spans="109:109" customFormat="1" x14ac:dyDescent="0.25">
      <c r="DE286" s="466"/>
    </row>
    <row r="287" spans="109:109" customFormat="1" x14ac:dyDescent="0.25">
      <c r="DE287" s="466"/>
    </row>
    <row r="288" spans="109:109" customFormat="1" x14ac:dyDescent="0.25">
      <c r="DE288" s="466"/>
    </row>
    <row r="289" spans="109:109" customFormat="1" x14ac:dyDescent="0.25">
      <c r="DE289" s="466"/>
    </row>
    <row r="290" spans="109:109" customFormat="1" x14ac:dyDescent="0.25">
      <c r="DE290" s="466"/>
    </row>
    <row r="291" spans="109:109" customFormat="1" x14ac:dyDescent="0.25">
      <c r="DE291" s="466"/>
    </row>
    <row r="292" spans="109:109" customFormat="1" x14ac:dyDescent="0.25">
      <c r="DE292" s="466"/>
    </row>
    <row r="293" spans="109:109" customFormat="1" x14ac:dyDescent="0.25">
      <c r="DE293" s="466"/>
    </row>
    <row r="294" spans="109:109" customFormat="1" x14ac:dyDescent="0.25">
      <c r="DE294" s="466"/>
    </row>
    <row r="295" spans="109:109" customFormat="1" x14ac:dyDescent="0.25">
      <c r="DE295" s="466"/>
    </row>
    <row r="296" spans="109:109" customFormat="1" x14ac:dyDescent="0.25">
      <c r="DE296" s="466"/>
    </row>
    <row r="297" spans="109:109" customFormat="1" x14ac:dyDescent="0.25">
      <c r="DE297" s="466"/>
    </row>
    <row r="298" spans="109:109" customFormat="1" x14ac:dyDescent="0.25">
      <c r="DE298" s="466"/>
    </row>
    <row r="299" spans="109:109" customFormat="1" x14ac:dyDescent="0.25">
      <c r="DE299" s="466"/>
    </row>
    <row r="300" spans="109:109" customFormat="1" x14ac:dyDescent="0.25">
      <c r="DE300" s="466"/>
    </row>
    <row r="301" spans="109:109" customFormat="1" x14ac:dyDescent="0.25">
      <c r="DE301" s="466"/>
    </row>
    <row r="302" spans="109:109" customFormat="1" x14ac:dyDescent="0.25">
      <c r="DE302" s="466"/>
    </row>
    <row r="303" spans="109:109" customFormat="1" x14ac:dyDescent="0.25">
      <c r="DE303" s="466"/>
    </row>
    <row r="304" spans="109:109" customFormat="1" x14ac:dyDescent="0.25">
      <c r="DE304" s="466"/>
    </row>
    <row r="305" spans="109:109" customFormat="1" x14ac:dyDescent="0.25">
      <c r="DE305" s="466"/>
    </row>
    <row r="306" spans="109:109" customFormat="1" x14ac:dyDescent="0.25">
      <c r="DE306" s="466"/>
    </row>
    <row r="307" spans="109:109" customFormat="1" x14ac:dyDescent="0.25">
      <c r="DE307" s="466"/>
    </row>
    <row r="308" spans="109:109" customFormat="1" x14ac:dyDescent="0.25">
      <c r="DE308" s="466"/>
    </row>
    <row r="309" spans="109:109" customFormat="1" x14ac:dyDescent="0.25">
      <c r="DE309" s="466"/>
    </row>
    <row r="310" spans="109:109" customFormat="1" x14ac:dyDescent="0.25">
      <c r="DE310" s="466"/>
    </row>
    <row r="311" spans="109:109" customFormat="1" x14ac:dyDescent="0.25">
      <c r="DE311" s="466"/>
    </row>
    <row r="312" spans="109:109" customFormat="1" x14ac:dyDescent="0.25">
      <c r="DE312" s="466"/>
    </row>
    <row r="313" spans="109:109" customFormat="1" x14ac:dyDescent="0.25">
      <c r="DE313" s="466"/>
    </row>
    <row r="314" spans="109:109" customFormat="1" x14ac:dyDescent="0.25">
      <c r="DE314" s="466"/>
    </row>
    <row r="315" spans="109:109" customFormat="1" x14ac:dyDescent="0.25">
      <c r="DE315" s="466"/>
    </row>
    <row r="316" spans="109:109" customFormat="1" x14ac:dyDescent="0.25">
      <c r="DE316" s="466"/>
    </row>
    <row r="317" spans="109:109" customFormat="1" x14ac:dyDescent="0.25">
      <c r="DE317" s="466"/>
    </row>
    <row r="318" spans="109:109" customFormat="1" x14ac:dyDescent="0.25">
      <c r="DE318" s="466"/>
    </row>
    <row r="319" spans="109:109" customFormat="1" x14ac:dyDescent="0.25">
      <c r="DE319" s="466"/>
    </row>
    <row r="320" spans="109:109" customFormat="1" x14ac:dyDescent="0.25">
      <c r="DE320" s="466"/>
    </row>
    <row r="321" spans="109:109" customFormat="1" x14ac:dyDescent="0.25">
      <c r="DE321" s="466"/>
    </row>
    <row r="322" spans="109:109" customFormat="1" x14ac:dyDescent="0.25">
      <c r="DE322" s="466"/>
    </row>
    <row r="323" spans="109:109" customFormat="1" x14ac:dyDescent="0.25">
      <c r="DE323" s="466"/>
    </row>
    <row r="324" spans="109:109" customFormat="1" x14ac:dyDescent="0.25">
      <c r="DE324" s="466"/>
    </row>
    <row r="325" spans="109:109" customFormat="1" x14ac:dyDescent="0.25">
      <c r="DE325" s="466"/>
    </row>
    <row r="326" spans="109:109" customFormat="1" x14ac:dyDescent="0.25">
      <c r="DE326" s="466"/>
    </row>
    <row r="327" spans="109:109" customFormat="1" x14ac:dyDescent="0.25">
      <c r="DE327" s="466"/>
    </row>
    <row r="328" spans="109:109" customFormat="1" x14ac:dyDescent="0.25">
      <c r="DE328" s="466"/>
    </row>
    <row r="329" spans="109:109" customFormat="1" x14ac:dyDescent="0.25">
      <c r="DE329" s="466"/>
    </row>
    <row r="330" spans="109:109" customFormat="1" x14ac:dyDescent="0.25">
      <c r="DE330" s="466"/>
    </row>
    <row r="331" spans="109:109" customFormat="1" x14ac:dyDescent="0.25">
      <c r="DE331" s="466"/>
    </row>
    <row r="332" spans="109:109" customFormat="1" x14ac:dyDescent="0.25">
      <c r="DE332" s="466"/>
    </row>
    <row r="333" spans="109:109" customFormat="1" x14ac:dyDescent="0.25">
      <c r="DE333" s="466"/>
    </row>
    <row r="334" spans="109:109" customFormat="1" x14ac:dyDescent="0.25">
      <c r="DE334" s="466"/>
    </row>
    <row r="335" spans="109:109" customFormat="1" x14ac:dyDescent="0.25">
      <c r="DE335" s="466"/>
    </row>
    <row r="336" spans="109:109" customFormat="1" x14ac:dyDescent="0.25">
      <c r="DE336" s="466"/>
    </row>
    <row r="337" spans="109:109" customFormat="1" x14ac:dyDescent="0.25">
      <c r="DE337" s="466"/>
    </row>
    <row r="338" spans="109:109" customFormat="1" x14ac:dyDescent="0.25">
      <c r="DE338" s="466"/>
    </row>
    <row r="339" spans="109:109" customFormat="1" x14ac:dyDescent="0.25">
      <c r="DE339" s="466"/>
    </row>
    <row r="340" spans="109:109" customFormat="1" x14ac:dyDescent="0.25">
      <c r="DE340" s="466"/>
    </row>
    <row r="341" spans="109:109" customFormat="1" x14ac:dyDescent="0.25">
      <c r="DE341" s="466"/>
    </row>
    <row r="342" spans="109:109" customFormat="1" x14ac:dyDescent="0.25">
      <c r="DE342" s="466"/>
    </row>
    <row r="343" spans="109:109" customFormat="1" x14ac:dyDescent="0.25">
      <c r="DE343" s="466"/>
    </row>
    <row r="344" spans="109:109" customFormat="1" x14ac:dyDescent="0.25">
      <c r="DE344" s="466"/>
    </row>
    <row r="345" spans="109:109" customFormat="1" x14ac:dyDescent="0.25">
      <c r="DE345" s="466"/>
    </row>
    <row r="346" spans="109:109" customFormat="1" x14ac:dyDescent="0.25">
      <c r="DE346" s="466"/>
    </row>
    <row r="347" spans="109:109" customFormat="1" x14ac:dyDescent="0.25">
      <c r="DE347" s="466"/>
    </row>
    <row r="348" spans="109:109" customFormat="1" x14ac:dyDescent="0.25">
      <c r="DE348" s="466"/>
    </row>
    <row r="349" spans="109:109" customFormat="1" x14ac:dyDescent="0.25">
      <c r="DE349" s="466"/>
    </row>
    <row r="350" spans="109:109" customFormat="1" x14ac:dyDescent="0.25">
      <c r="DE350" s="466"/>
    </row>
    <row r="351" spans="109:109" customFormat="1" x14ac:dyDescent="0.25">
      <c r="DE351" s="466"/>
    </row>
    <row r="352" spans="109:109" customFormat="1" x14ac:dyDescent="0.25">
      <c r="DE352" s="466"/>
    </row>
    <row r="353" spans="109:109" customFormat="1" x14ac:dyDescent="0.25">
      <c r="DE353" s="466"/>
    </row>
    <row r="354" spans="109:109" customFormat="1" x14ac:dyDescent="0.25">
      <c r="DE354" s="466"/>
    </row>
    <row r="355" spans="109:109" customFormat="1" x14ac:dyDescent="0.25">
      <c r="DE355" s="466"/>
    </row>
    <row r="356" spans="109:109" customFormat="1" x14ac:dyDescent="0.25">
      <c r="DE356" s="466"/>
    </row>
    <row r="357" spans="109:109" customFormat="1" x14ac:dyDescent="0.25">
      <c r="DE357" s="466"/>
    </row>
    <row r="358" spans="109:109" customFormat="1" x14ac:dyDescent="0.25">
      <c r="DE358" s="466"/>
    </row>
    <row r="359" spans="109:109" customFormat="1" x14ac:dyDescent="0.25">
      <c r="DE359" s="466"/>
    </row>
    <row r="360" spans="109:109" customFormat="1" x14ac:dyDescent="0.25">
      <c r="DE360" s="466"/>
    </row>
    <row r="361" spans="109:109" customFormat="1" x14ac:dyDescent="0.25">
      <c r="DE361" s="466"/>
    </row>
    <row r="362" spans="109:109" customFormat="1" x14ac:dyDescent="0.25">
      <c r="DE362" s="466"/>
    </row>
    <row r="363" spans="109:109" customFormat="1" x14ac:dyDescent="0.25">
      <c r="DE363" s="466"/>
    </row>
    <row r="364" spans="109:109" customFormat="1" x14ac:dyDescent="0.25">
      <c r="DE364" s="466"/>
    </row>
    <row r="365" spans="109:109" customFormat="1" x14ac:dyDescent="0.25">
      <c r="DE365" s="466"/>
    </row>
    <row r="366" spans="109:109" customFormat="1" x14ac:dyDescent="0.25">
      <c r="DE366" s="466"/>
    </row>
    <row r="367" spans="109:109" customFormat="1" x14ac:dyDescent="0.25">
      <c r="DE367" s="466"/>
    </row>
    <row r="368" spans="109:109" customFormat="1" x14ac:dyDescent="0.25">
      <c r="DE368" s="466"/>
    </row>
    <row r="369" spans="109:109" customFormat="1" x14ac:dyDescent="0.25">
      <c r="DE369" s="466"/>
    </row>
    <row r="370" spans="109:109" customFormat="1" x14ac:dyDescent="0.25">
      <c r="DE370" s="466"/>
    </row>
    <row r="371" spans="109:109" customFormat="1" x14ac:dyDescent="0.25">
      <c r="DE371" s="466"/>
    </row>
    <row r="372" spans="109:109" customFormat="1" x14ac:dyDescent="0.25">
      <c r="DE372" s="466"/>
    </row>
    <row r="373" spans="109:109" customFormat="1" x14ac:dyDescent="0.25">
      <c r="DE373" s="466"/>
    </row>
    <row r="374" spans="109:109" customFormat="1" x14ac:dyDescent="0.25">
      <c r="DE374" s="466"/>
    </row>
    <row r="375" spans="109:109" customFormat="1" x14ac:dyDescent="0.25">
      <c r="DE375" s="466"/>
    </row>
    <row r="376" spans="109:109" customFormat="1" x14ac:dyDescent="0.25">
      <c r="DE376" s="466"/>
    </row>
    <row r="377" spans="109:109" customFormat="1" x14ac:dyDescent="0.25">
      <c r="DE377" s="466"/>
    </row>
    <row r="378" spans="109:109" customFormat="1" x14ac:dyDescent="0.25">
      <c r="DE378" s="466"/>
    </row>
    <row r="379" spans="109:109" customFormat="1" x14ac:dyDescent="0.25">
      <c r="DE379" s="466"/>
    </row>
    <row r="380" spans="109:109" customFormat="1" x14ac:dyDescent="0.25">
      <c r="DE380" s="466"/>
    </row>
    <row r="381" spans="109:109" customFormat="1" x14ac:dyDescent="0.25">
      <c r="DE381" s="466"/>
    </row>
    <row r="382" spans="109:109" customFormat="1" x14ac:dyDescent="0.25">
      <c r="DE382" s="466"/>
    </row>
    <row r="383" spans="109:109" customFormat="1" x14ac:dyDescent="0.25">
      <c r="DE383" s="466"/>
    </row>
    <row r="384" spans="109:109" customFormat="1" x14ac:dyDescent="0.25">
      <c r="DE384" s="466"/>
    </row>
    <row r="385" spans="109:109" customFormat="1" x14ac:dyDescent="0.25">
      <c r="DE385" s="466"/>
    </row>
    <row r="386" spans="109:109" customFormat="1" x14ac:dyDescent="0.25">
      <c r="DE386" s="466"/>
    </row>
    <row r="387" spans="109:109" customFormat="1" x14ac:dyDescent="0.25">
      <c r="DE387" s="466"/>
    </row>
    <row r="388" spans="109:109" customFormat="1" x14ac:dyDescent="0.25">
      <c r="DE388" s="466"/>
    </row>
    <row r="389" spans="109:109" customFormat="1" x14ac:dyDescent="0.25">
      <c r="DE389" s="466"/>
    </row>
    <row r="390" spans="109:109" customFormat="1" x14ac:dyDescent="0.25">
      <c r="DE390" s="466"/>
    </row>
    <row r="391" spans="109:109" customFormat="1" x14ac:dyDescent="0.25">
      <c r="DE391" s="466"/>
    </row>
    <row r="392" spans="109:109" customFormat="1" x14ac:dyDescent="0.25">
      <c r="DE392" s="466"/>
    </row>
    <row r="393" spans="109:109" customFormat="1" x14ac:dyDescent="0.25">
      <c r="DE393" s="466"/>
    </row>
    <row r="394" spans="109:109" customFormat="1" x14ac:dyDescent="0.25">
      <c r="DE394" s="466"/>
    </row>
    <row r="395" spans="109:109" customFormat="1" x14ac:dyDescent="0.25">
      <c r="DE395" s="466"/>
    </row>
    <row r="396" spans="109:109" customFormat="1" x14ac:dyDescent="0.25">
      <c r="DE396" s="466"/>
    </row>
    <row r="397" spans="109:109" customFormat="1" x14ac:dyDescent="0.25">
      <c r="DE397" s="466"/>
    </row>
    <row r="398" spans="109:109" customFormat="1" x14ac:dyDescent="0.25">
      <c r="DE398" s="466"/>
    </row>
    <row r="399" spans="109:109" customFormat="1" x14ac:dyDescent="0.25">
      <c r="DE399" s="466"/>
    </row>
    <row r="400" spans="109:109" customFormat="1" x14ac:dyDescent="0.25">
      <c r="DE400" s="466"/>
    </row>
    <row r="401" spans="109:109" customFormat="1" x14ac:dyDescent="0.25">
      <c r="DE401" s="466"/>
    </row>
    <row r="402" spans="109:109" customFormat="1" x14ac:dyDescent="0.25">
      <c r="DE402" s="466"/>
    </row>
    <row r="403" spans="109:109" customFormat="1" x14ac:dyDescent="0.25">
      <c r="DE403" s="466"/>
    </row>
    <row r="404" spans="109:109" customFormat="1" x14ac:dyDescent="0.25">
      <c r="DE404" s="466"/>
    </row>
    <row r="405" spans="109:109" customFormat="1" x14ac:dyDescent="0.25">
      <c r="DE405" s="466"/>
    </row>
    <row r="406" spans="109:109" customFormat="1" x14ac:dyDescent="0.25">
      <c r="DE406" s="466"/>
    </row>
    <row r="407" spans="109:109" customFormat="1" x14ac:dyDescent="0.25">
      <c r="DE407" s="466"/>
    </row>
    <row r="408" spans="109:109" customFormat="1" x14ac:dyDescent="0.25">
      <c r="DE408" s="466"/>
    </row>
    <row r="409" spans="109:109" customFormat="1" x14ac:dyDescent="0.25">
      <c r="DE409" s="466"/>
    </row>
    <row r="410" spans="109:109" customFormat="1" x14ac:dyDescent="0.25">
      <c r="DE410" s="466"/>
    </row>
    <row r="411" spans="109:109" customFormat="1" x14ac:dyDescent="0.25">
      <c r="DE411" s="466"/>
    </row>
    <row r="412" spans="109:109" customFormat="1" x14ac:dyDescent="0.25">
      <c r="DE412" s="466"/>
    </row>
    <row r="413" spans="109:109" customFormat="1" x14ac:dyDescent="0.25">
      <c r="DE413" s="466"/>
    </row>
    <row r="414" spans="109:109" customFormat="1" x14ac:dyDescent="0.25">
      <c r="DE414" s="466"/>
    </row>
    <row r="415" spans="109:109" customFormat="1" x14ac:dyDescent="0.25">
      <c r="DE415" s="466"/>
    </row>
    <row r="416" spans="109:109" customFormat="1" x14ac:dyDescent="0.25">
      <c r="DE416" s="466"/>
    </row>
    <row r="417" spans="109:109" customFormat="1" x14ac:dyDescent="0.25">
      <c r="DE417" s="466"/>
    </row>
    <row r="418" spans="109:109" customFormat="1" x14ac:dyDescent="0.25">
      <c r="DE418" s="466"/>
    </row>
    <row r="419" spans="109:109" customFormat="1" x14ac:dyDescent="0.25">
      <c r="DE419" s="466"/>
    </row>
    <row r="420" spans="109:109" customFormat="1" x14ac:dyDescent="0.25">
      <c r="DE420" s="466"/>
    </row>
    <row r="421" spans="109:109" customFormat="1" x14ac:dyDescent="0.25">
      <c r="DE421" s="466"/>
    </row>
    <row r="422" spans="109:109" customFormat="1" x14ac:dyDescent="0.25">
      <c r="DE422" s="466"/>
    </row>
    <row r="423" spans="109:109" customFormat="1" x14ac:dyDescent="0.25">
      <c r="DE423" s="466"/>
    </row>
    <row r="424" spans="109:109" customFormat="1" x14ac:dyDescent="0.25">
      <c r="DE424" s="466"/>
    </row>
    <row r="425" spans="109:109" customFormat="1" x14ac:dyDescent="0.25">
      <c r="DE425" s="466"/>
    </row>
    <row r="426" spans="109:109" customFormat="1" x14ac:dyDescent="0.25">
      <c r="DE426" s="466"/>
    </row>
    <row r="427" spans="109:109" customFormat="1" x14ac:dyDescent="0.25">
      <c r="DE427" s="466"/>
    </row>
    <row r="428" spans="109:109" customFormat="1" x14ac:dyDescent="0.25">
      <c r="DE428" s="466"/>
    </row>
    <row r="429" spans="109:109" customFormat="1" x14ac:dyDescent="0.25">
      <c r="DE429" s="466"/>
    </row>
    <row r="430" spans="109:109" customFormat="1" x14ac:dyDescent="0.25">
      <c r="DE430" s="466"/>
    </row>
    <row r="431" spans="109:109" customFormat="1" x14ac:dyDescent="0.25">
      <c r="DE431" s="466"/>
    </row>
    <row r="432" spans="109:109" customFormat="1" x14ac:dyDescent="0.25">
      <c r="DE432" s="466"/>
    </row>
    <row r="433" spans="109:109" customFormat="1" x14ac:dyDescent="0.25">
      <c r="DE433" s="466"/>
    </row>
    <row r="434" spans="109:109" customFormat="1" x14ac:dyDescent="0.25">
      <c r="DE434" s="466"/>
    </row>
    <row r="435" spans="109:109" customFormat="1" x14ac:dyDescent="0.25">
      <c r="DE435" s="466"/>
    </row>
    <row r="436" spans="109:109" customFormat="1" x14ac:dyDescent="0.25">
      <c r="DE436" s="466"/>
    </row>
    <row r="437" spans="109:109" customFormat="1" x14ac:dyDescent="0.25">
      <c r="DE437" s="466"/>
    </row>
    <row r="438" spans="109:109" customFormat="1" x14ac:dyDescent="0.25">
      <c r="DE438" s="466"/>
    </row>
    <row r="439" spans="109:109" customFormat="1" x14ac:dyDescent="0.25">
      <c r="DE439" s="466"/>
    </row>
    <row r="440" spans="109:109" customFormat="1" x14ac:dyDescent="0.25">
      <c r="DE440" s="466"/>
    </row>
    <row r="441" spans="109:109" customFormat="1" x14ac:dyDescent="0.25">
      <c r="DE441" s="466"/>
    </row>
    <row r="442" spans="109:109" customFormat="1" x14ac:dyDescent="0.25">
      <c r="DE442" s="466"/>
    </row>
    <row r="443" spans="109:109" customFormat="1" x14ac:dyDescent="0.25">
      <c r="DE443" s="466"/>
    </row>
    <row r="444" spans="109:109" customFormat="1" x14ac:dyDescent="0.25">
      <c r="DE444" s="466"/>
    </row>
    <row r="445" spans="109:109" customFormat="1" x14ac:dyDescent="0.25">
      <c r="DE445" s="466"/>
    </row>
    <row r="446" spans="109:109" customFormat="1" x14ac:dyDescent="0.25">
      <c r="DE446" s="466"/>
    </row>
    <row r="447" spans="109:109" customFormat="1" x14ac:dyDescent="0.25">
      <c r="DE447" s="466"/>
    </row>
    <row r="448" spans="109:109" customFormat="1" x14ac:dyDescent="0.25">
      <c r="DE448" s="466"/>
    </row>
    <row r="449" spans="109:109" customFormat="1" x14ac:dyDescent="0.25">
      <c r="DE449" s="466"/>
    </row>
    <row r="450" spans="109:109" customFormat="1" x14ac:dyDescent="0.25">
      <c r="DE450" s="466"/>
    </row>
    <row r="451" spans="109:109" customFormat="1" x14ac:dyDescent="0.25">
      <c r="DE451" s="466"/>
    </row>
    <row r="452" spans="109:109" customFormat="1" x14ac:dyDescent="0.25">
      <c r="DE452" s="466"/>
    </row>
    <row r="453" spans="109:109" customFormat="1" x14ac:dyDescent="0.25">
      <c r="DE453" s="466"/>
    </row>
    <row r="454" spans="109:109" customFormat="1" x14ac:dyDescent="0.25">
      <c r="DE454" s="466"/>
    </row>
    <row r="455" spans="109:109" customFormat="1" x14ac:dyDescent="0.25">
      <c r="DE455" s="466"/>
    </row>
    <row r="456" spans="109:109" customFormat="1" x14ac:dyDescent="0.25">
      <c r="DE456" s="466"/>
    </row>
    <row r="457" spans="109:109" customFormat="1" x14ac:dyDescent="0.25">
      <c r="DE457" s="466"/>
    </row>
    <row r="458" spans="109:109" customFormat="1" x14ac:dyDescent="0.25">
      <c r="DE458" s="466"/>
    </row>
    <row r="459" spans="109:109" customFormat="1" x14ac:dyDescent="0.25">
      <c r="DE459" s="466"/>
    </row>
    <row r="460" spans="109:109" customFormat="1" x14ac:dyDescent="0.25">
      <c r="DE460" s="466"/>
    </row>
    <row r="461" spans="109:109" customFormat="1" x14ac:dyDescent="0.25">
      <c r="DE461" s="466"/>
    </row>
    <row r="462" spans="109:109" customFormat="1" x14ac:dyDescent="0.25">
      <c r="DE462" s="466"/>
    </row>
    <row r="463" spans="109:109" customFormat="1" x14ac:dyDescent="0.25">
      <c r="DE463" s="466"/>
    </row>
    <row r="464" spans="109:109" customFormat="1" x14ac:dyDescent="0.25">
      <c r="DE464" s="466"/>
    </row>
    <row r="465" spans="109:109" customFormat="1" x14ac:dyDescent="0.25">
      <c r="DE465" s="466"/>
    </row>
    <row r="466" spans="109:109" customFormat="1" x14ac:dyDescent="0.25">
      <c r="DE466" s="466"/>
    </row>
    <row r="467" spans="109:109" customFormat="1" x14ac:dyDescent="0.25">
      <c r="DE467" s="466"/>
    </row>
    <row r="468" spans="109:109" customFormat="1" x14ac:dyDescent="0.25">
      <c r="DE468" s="466"/>
    </row>
    <row r="469" spans="109:109" customFormat="1" x14ac:dyDescent="0.25">
      <c r="DE469" s="466"/>
    </row>
    <row r="470" spans="109:109" customFormat="1" x14ac:dyDescent="0.25">
      <c r="DE470" s="466"/>
    </row>
    <row r="471" spans="109:109" customFormat="1" x14ac:dyDescent="0.25">
      <c r="DE471" s="466"/>
    </row>
    <row r="472" spans="109:109" customFormat="1" x14ac:dyDescent="0.25">
      <c r="DE472" s="466"/>
    </row>
    <row r="473" spans="109:109" customFormat="1" x14ac:dyDescent="0.25">
      <c r="DE473" s="466"/>
    </row>
    <row r="474" spans="109:109" customFormat="1" x14ac:dyDescent="0.25">
      <c r="DE474" s="466"/>
    </row>
    <row r="475" spans="109:109" customFormat="1" x14ac:dyDescent="0.25">
      <c r="DE475" s="466"/>
    </row>
    <row r="476" spans="109:109" customFormat="1" x14ac:dyDescent="0.25">
      <c r="DE476" s="466"/>
    </row>
    <row r="477" spans="109:109" customFormat="1" x14ac:dyDescent="0.25">
      <c r="DE477" s="466"/>
    </row>
    <row r="478" spans="109:109" customFormat="1" x14ac:dyDescent="0.25">
      <c r="DE478" s="466"/>
    </row>
    <row r="479" spans="109:109" customFormat="1" x14ac:dyDescent="0.25">
      <c r="DE479" s="466"/>
    </row>
    <row r="480" spans="109:109" customFormat="1" x14ac:dyDescent="0.25">
      <c r="DE480" s="466"/>
    </row>
    <row r="481" spans="109:109" customFormat="1" x14ac:dyDescent="0.25">
      <c r="DE481" s="466"/>
    </row>
    <row r="482" spans="109:109" customFormat="1" x14ac:dyDescent="0.25">
      <c r="DE482" s="466"/>
    </row>
    <row r="483" spans="109:109" customFormat="1" x14ac:dyDescent="0.25">
      <c r="DE483" s="466"/>
    </row>
    <row r="484" spans="109:109" customFormat="1" x14ac:dyDescent="0.25">
      <c r="DE484" s="466"/>
    </row>
    <row r="485" spans="109:109" customFormat="1" x14ac:dyDescent="0.25">
      <c r="DE485" s="466"/>
    </row>
    <row r="486" spans="109:109" customFormat="1" x14ac:dyDescent="0.25">
      <c r="DE486" s="466"/>
    </row>
    <row r="487" spans="109:109" customFormat="1" x14ac:dyDescent="0.25">
      <c r="DE487" s="466"/>
    </row>
    <row r="488" spans="109:109" customFormat="1" x14ac:dyDescent="0.25">
      <c r="DE488" s="466"/>
    </row>
    <row r="489" spans="109:109" customFormat="1" x14ac:dyDescent="0.25">
      <c r="DE489" s="466"/>
    </row>
    <row r="490" spans="109:109" customFormat="1" x14ac:dyDescent="0.25">
      <c r="DE490" s="466"/>
    </row>
    <row r="491" spans="109:109" customFormat="1" x14ac:dyDescent="0.25">
      <c r="DE491" s="466"/>
    </row>
    <row r="492" spans="109:109" customFormat="1" x14ac:dyDescent="0.25">
      <c r="DE492" s="466"/>
    </row>
    <row r="493" spans="109:109" customFormat="1" x14ac:dyDescent="0.25">
      <c r="DE493" s="466"/>
    </row>
    <row r="494" spans="109:109" customFormat="1" x14ac:dyDescent="0.25">
      <c r="DE494" s="466"/>
    </row>
    <row r="495" spans="109:109" customFormat="1" x14ac:dyDescent="0.25">
      <c r="DE495" s="466"/>
    </row>
    <row r="496" spans="109:109" customFormat="1" x14ac:dyDescent="0.25">
      <c r="DE496" s="466"/>
    </row>
    <row r="497" spans="109:182" customFormat="1" x14ac:dyDescent="0.25">
      <c r="DE497" s="466"/>
    </row>
    <row r="498" spans="109:182" customFormat="1" x14ac:dyDescent="0.25">
      <c r="DE498" s="466"/>
    </row>
    <row r="499" spans="109:182" customFormat="1" x14ac:dyDescent="0.25">
      <c r="DE499" s="466"/>
    </row>
    <row r="500" spans="109:182" customFormat="1" x14ac:dyDescent="0.25">
      <c r="DE500" s="466"/>
    </row>
    <row r="501" spans="109:182" customFormat="1" x14ac:dyDescent="0.25">
      <c r="DE501" s="466"/>
      <c r="FZ501" s="466"/>
    </row>
    <row r="502" spans="109:182" customFormat="1" x14ac:dyDescent="0.25">
      <c r="DE502" s="466"/>
      <c r="FZ502" s="466"/>
    </row>
    <row r="503" spans="109:182" customFormat="1" x14ac:dyDescent="0.25">
      <c r="DE503" s="466"/>
      <c r="FZ503" s="466"/>
    </row>
    <row r="504" spans="109:182" customFormat="1" x14ac:dyDescent="0.25">
      <c r="DE504" s="466"/>
      <c r="FZ504" s="466"/>
    </row>
    <row r="505" spans="109:182" customFormat="1" x14ac:dyDescent="0.25">
      <c r="DE505" s="466"/>
      <c r="FZ505" s="466"/>
    </row>
    <row r="506" spans="109:182" customFormat="1" x14ac:dyDescent="0.25">
      <c r="DE506" s="466"/>
      <c r="FZ506" s="466"/>
    </row>
    <row r="507" spans="109:182" customFormat="1" x14ac:dyDescent="0.25">
      <c r="DE507" s="466"/>
      <c r="FZ507" s="466"/>
    </row>
    <row r="508" spans="109:182" customFormat="1" x14ac:dyDescent="0.25">
      <c r="DE508" s="466"/>
      <c r="FZ508" s="466"/>
    </row>
    <row r="509" spans="109:182" customFormat="1" x14ac:dyDescent="0.25">
      <c r="DE509" s="466"/>
      <c r="FZ509" s="466"/>
    </row>
    <row r="510" spans="109:182" customFormat="1" x14ac:dyDescent="0.25">
      <c r="DE510" s="466"/>
      <c r="FZ510" s="466"/>
    </row>
    <row r="511" spans="109:182" customFormat="1" x14ac:dyDescent="0.25">
      <c r="DE511" s="466"/>
      <c r="FZ511" s="466"/>
    </row>
    <row r="512" spans="109:182" customFormat="1" x14ac:dyDescent="0.25">
      <c r="DE512" s="466"/>
      <c r="FZ512" s="466"/>
    </row>
    <row r="513" spans="109:182" customFormat="1" x14ac:dyDescent="0.25">
      <c r="DE513" s="466"/>
      <c r="FZ513" s="466"/>
    </row>
    <row r="514" spans="109:182" customFormat="1" x14ac:dyDescent="0.25">
      <c r="DE514" s="466"/>
      <c r="FZ514" s="466"/>
    </row>
    <row r="515" spans="109:182" customFormat="1" x14ac:dyDescent="0.25">
      <c r="DE515" s="466"/>
      <c r="FZ515" s="466"/>
    </row>
    <row r="516" spans="109:182" customFormat="1" x14ac:dyDescent="0.25">
      <c r="DE516" s="466"/>
      <c r="FZ516" s="466"/>
    </row>
    <row r="517" spans="109:182" customFormat="1" x14ac:dyDescent="0.25">
      <c r="DE517" s="466"/>
      <c r="FZ517" s="466"/>
    </row>
    <row r="518" spans="109:182" customFormat="1" x14ac:dyDescent="0.25">
      <c r="DE518" s="466"/>
      <c r="FZ518" s="466"/>
    </row>
    <row r="519" spans="109:182" customFormat="1" x14ac:dyDescent="0.25">
      <c r="DE519" s="466"/>
      <c r="FZ519" s="466"/>
    </row>
    <row r="520" spans="109:182" customFormat="1" x14ac:dyDescent="0.25">
      <c r="DE520" s="466"/>
      <c r="FZ520" s="466"/>
    </row>
    <row r="521" spans="109:182" customFormat="1" x14ac:dyDescent="0.25">
      <c r="DE521" s="466"/>
      <c r="FZ521" s="466"/>
    </row>
    <row r="522" spans="109:182" customFormat="1" x14ac:dyDescent="0.25">
      <c r="DE522" s="466"/>
      <c r="FZ522" s="466"/>
    </row>
    <row r="523" spans="109:182" customFormat="1" x14ac:dyDescent="0.25">
      <c r="DE523" s="466"/>
      <c r="FZ523" s="466"/>
    </row>
    <row r="524" spans="109:182" customFormat="1" x14ac:dyDescent="0.25">
      <c r="DE524" s="466"/>
      <c r="FZ524" s="466"/>
    </row>
    <row r="525" spans="109:182" customFormat="1" x14ac:dyDescent="0.25">
      <c r="DE525" s="466"/>
      <c r="FZ525" s="466"/>
    </row>
    <row r="526" spans="109:182" customFormat="1" x14ac:dyDescent="0.25">
      <c r="DE526" s="466"/>
      <c r="FZ526" s="466"/>
    </row>
    <row r="527" spans="109:182" customFormat="1" x14ac:dyDescent="0.25">
      <c r="DE527" s="466"/>
      <c r="FZ527" s="466"/>
    </row>
    <row r="528" spans="109:182" customFormat="1" x14ac:dyDescent="0.25">
      <c r="DE528" s="466"/>
      <c r="FZ528" s="466"/>
    </row>
    <row r="529" spans="109:182" customFormat="1" x14ac:dyDescent="0.25">
      <c r="DE529" s="466"/>
      <c r="FZ529" s="466"/>
    </row>
    <row r="530" spans="109:182" customFormat="1" x14ac:dyDescent="0.25">
      <c r="DE530" s="466"/>
      <c r="FZ530" s="466"/>
    </row>
    <row r="531" spans="109:182" customFormat="1" x14ac:dyDescent="0.25">
      <c r="DE531" s="466"/>
      <c r="FZ531" s="466"/>
    </row>
    <row r="532" spans="109:182" customFormat="1" x14ac:dyDescent="0.25">
      <c r="DE532" s="466"/>
      <c r="FZ532" s="466"/>
    </row>
    <row r="533" spans="109:182" customFormat="1" x14ac:dyDescent="0.25">
      <c r="DE533" s="466"/>
      <c r="FZ533" s="466"/>
    </row>
    <row r="534" spans="109:182" customFormat="1" x14ac:dyDescent="0.25">
      <c r="DE534" s="466"/>
      <c r="FZ534" s="466"/>
    </row>
    <row r="535" spans="109:182" customFormat="1" x14ac:dyDescent="0.25">
      <c r="DE535" s="466"/>
      <c r="FZ535" s="466"/>
    </row>
    <row r="536" spans="109:182" customFormat="1" x14ac:dyDescent="0.25">
      <c r="DE536" s="466"/>
      <c r="FZ536" s="466"/>
    </row>
    <row r="537" spans="109:182" customFormat="1" x14ac:dyDescent="0.25">
      <c r="DE537" s="466"/>
      <c r="FZ537" s="466"/>
    </row>
    <row r="538" spans="109:182" customFormat="1" x14ac:dyDescent="0.25">
      <c r="DE538" s="466"/>
      <c r="FZ538" s="466"/>
    </row>
    <row r="539" spans="109:182" customFormat="1" x14ac:dyDescent="0.25">
      <c r="DE539" s="466"/>
      <c r="FZ539" s="466"/>
    </row>
    <row r="540" spans="109:182" customFormat="1" x14ac:dyDescent="0.25">
      <c r="DE540" s="466"/>
      <c r="FZ540" s="466"/>
    </row>
    <row r="541" spans="109:182" customFormat="1" x14ac:dyDescent="0.25">
      <c r="DE541" s="466"/>
      <c r="FZ541" s="466"/>
    </row>
    <row r="542" spans="109:182" customFormat="1" x14ac:dyDescent="0.25">
      <c r="DE542" s="466"/>
      <c r="FZ542" s="466"/>
    </row>
    <row r="543" spans="109:182" customFormat="1" x14ac:dyDescent="0.25">
      <c r="DE543" s="466"/>
      <c r="FZ543" s="466"/>
    </row>
    <row r="544" spans="109:182" customFormat="1" x14ac:dyDescent="0.25">
      <c r="DE544" s="466"/>
      <c r="FZ544" s="466"/>
    </row>
    <row r="545" spans="109:182" customFormat="1" x14ac:dyDescent="0.25">
      <c r="DE545" s="466"/>
      <c r="FZ545" s="466"/>
    </row>
    <row r="546" spans="109:182" customFormat="1" x14ac:dyDescent="0.25">
      <c r="DE546" s="466"/>
      <c r="FZ546" s="466"/>
    </row>
    <row r="547" spans="109:182" customFormat="1" x14ac:dyDescent="0.25">
      <c r="DE547" s="466"/>
      <c r="FZ547" s="466"/>
    </row>
    <row r="548" spans="109:182" customFormat="1" x14ac:dyDescent="0.25">
      <c r="DE548" s="466"/>
      <c r="FZ548" s="466"/>
    </row>
    <row r="549" spans="109:182" customFormat="1" x14ac:dyDescent="0.25">
      <c r="DE549" s="466"/>
      <c r="FZ549" s="466"/>
    </row>
    <row r="550" spans="109:182" customFormat="1" x14ac:dyDescent="0.25">
      <c r="DE550" s="466"/>
      <c r="FZ550" s="466"/>
    </row>
    <row r="551" spans="109:182" customFormat="1" x14ac:dyDescent="0.25">
      <c r="DE551" s="466"/>
      <c r="FZ551" s="466"/>
    </row>
    <row r="552" spans="109:182" customFormat="1" x14ac:dyDescent="0.25">
      <c r="DE552" s="466"/>
      <c r="FZ552" s="466"/>
    </row>
    <row r="553" spans="109:182" customFormat="1" x14ac:dyDescent="0.25">
      <c r="DE553" s="466"/>
      <c r="FZ553" s="466"/>
    </row>
    <row r="554" spans="109:182" customFormat="1" x14ac:dyDescent="0.25">
      <c r="DE554" s="466"/>
      <c r="FZ554" s="466"/>
    </row>
    <row r="555" spans="109:182" customFormat="1" x14ac:dyDescent="0.25">
      <c r="DE555" s="466"/>
      <c r="FZ555" s="466"/>
    </row>
    <row r="556" spans="109:182" customFormat="1" x14ac:dyDescent="0.25">
      <c r="DE556" s="466"/>
      <c r="FZ556" s="466"/>
    </row>
    <row r="557" spans="109:182" customFormat="1" x14ac:dyDescent="0.25">
      <c r="DE557" s="466"/>
      <c r="FZ557" s="466"/>
    </row>
    <row r="558" spans="109:182" customFormat="1" x14ac:dyDescent="0.25">
      <c r="DE558" s="466"/>
      <c r="FZ558" s="466"/>
    </row>
    <row r="559" spans="109:182" customFormat="1" x14ac:dyDescent="0.25">
      <c r="DE559" s="466"/>
      <c r="FZ559" s="466"/>
    </row>
    <row r="560" spans="109:182" customFormat="1" x14ac:dyDescent="0.25">
      <c r="DE560" s="466"/>
      <c r="FZ560" s="466"/>
    </row>
    <row r="561" spans="109:182" customFormat="1" x14ac:dyDescent="0.25">
      <c r="DE561" s="466"/>
      <c r="FZ561" s="466"/>
    </row>
    <row r="562" spans="109:182" customFormat="1" x14ac:dyDescent="0.25">
      <c r="DE562" s="466"/>
      <c r="FZ562" s="466"/>
    </row>
    <row r="563" spans="109:182" customFormat="1" x14ac:dyDescent="0.25">
      <c r="DE563" s="466"/>
      <c r="FZ563" s="466"/>
    </row>
    <row r="564" spans="109:182" customFormat="1" x14ac:dyDescent="0.25">
      <c r="DE564" s="466"/>
      <c r="FZ564" s="466"/>
    </row>
    <row r="565" spans="109:182" customFormat="1" x14ac:dyDescent="0.25">
      <c r="DE565" s="466"/>
      <c r="FZ565" s="466"/>
    </row>
    <row r="566" spans="109:182" customFormat="1" x14ac:dyDescent="0.25">
      <c r="DE566" s="466"/>
      <c r="FZ566" s="466"/>
    </row>
    <row r="567" spans="109:182" customFormat="1" x14ac:dyDescent="0.25">
      <c r="DE567" s="466"/>
      <c r="FZ567" s="466"/>
    </row>
    <row r="568" spans="109:182" customFormat="1" x14ac:dyDescent="0.25">
      <c r="DE568" s="466"/>
      <c r="FZ568" s="466"/>
    </row>
    <row r="569" spans="109:182" customFormat="1" x14ac:dyDescent="0.25">
      <c r="DE569" s="466"/>
      <c r="FZ569" s="466"/>
    </row>
    <row r="570" spans="109:182" customFormat="1" x14ac:dyDescent="0.25">
      <c r="DE570" s="466"/>
      <c r="FZ570" s="466"/>
    </row>
    <row r="571" spans="109:182" customFormat="1" x14ac:dyDescent="0.25">
      <c r="DE571" s="466"/>
      <c r="FZ571" s="466"/>
    </row>
    <row r="572" spans="109:182" customFormat="1" x14ac:dyDescent="0.25">
      <c r="DE572" s="466"/>
      <c r="FZ572" s="466"/>
    </row>
    <row r="573" spans="109:182" customFormat="1" x14ac:dyDescent="0.25">
      <c r="DE573" s="466"/>
      <c r="FZ573" s="466"/>
    </row>
    <row r="574" spans="109:182" customFormat="1" x14ac:dyDescent="0.25">
      <c r="DE574" s="466"/>
      <c r="FZ574" s="466"/>
    </row>
    <row r="575" spans="109:182" customFormat="1" x14ac:dyDescent="0.25">
      <c r="DE575" s="466"/>
      <c r="FZ575" s="466"/>
    </row>
    <row r="576" spans="109:182" customFormat="1" x14ac:dyDescent="0.25">
      <c r="DE576" s="466"/>
      <c r="FZ576" s="466"/>
    </row>
    <row r="577" spans="109:182" customFormat="1" x14ac:dyDescent="0.25">
      <c r="DE577" s="466"/>
      <c r="FZ577" s="466"/>
    </row>
    <row r="578" spans="109:182" customFormat="1" x14ac:dyDescent="0.25">
      <c r="DE578" s="466"/>
      <c r="FZ578" s="466"/>
    </row>
    <row r="579" spans="109:182" customFormat="1" x14ac:dyDescent="0.25">
      <c r="DE579" s="466"/>
      <c r="FZ579" s="466"/>
    </row>
    <row r="580" spans="109:182" customFormat="1" x14ac:dyDescent="0.25">
      <c r="DE580" s="466"/>
      <c r="FZ580" s="466"/>
    </row>
    <row r="581" spans="109:182" customFormat="1" x14ac:dyDescent="0.25">
      <c r="DE581" s="466"/>
      <c r="FZ581" s="466"/>
    </row>
    <row r="582" spans="109:182" customFormat="1" x14ac:dyDescent="0.25">
      <c r="DE582" s="466"/>
      <c r="FZ582" s="466"/>
    </row>
    <row r="583" spans="109:182" customFormat="1" x14ac:dyDescent="0.25">
      <c r="DE583" s="466"/>
      <c r="FZ583" s="466"/>
    </row>
    <row r="584" spans="109:182" customFormat="1" x14ac:dyDescent="0.25">
      <c r="DE584" s="466"/>
      <c r="FZ584" s="466"/>
    </row>
    <row r="585" spans="109:182" customFormat="1" x14ac:dyDescent="0.25">
      <c r="DE585" s="466"/>
      <c r="FZ585" s="466"/>
    </row>
    <row r="586" spans="109:182" customFormat="1" x14ac:dyDescent="0.25">
      <c r="DE586" s="466"/>
      <c r="FZ586" s="466"/>
    </row>
    <row r="587" spans="109:182" customFormat="1" x14ac:dyDescent="0.25">
      <c r="DE587" s="466"/>
      <c r="FZ587" s="466"/>
    </row>
    <row r="588" spans="109:182" customFormat="1" x14ac:dyDescent="0.25">
      <c r="DE588" s="466"/>
      <c r="FZ588" s="466"/>
    </row>
    <row r="589" spans="109:182" customFormat="1" x14ac:dyDescent="0.25">
      <c r="DE589" s="466"/>
      <c r="FZ589" s="466"/>
    </row>
    <row r="590" spans="109:182" customFormat="1" x14ac:dyDescent="0.25">
      <c r="DE590" s="466"/>
      <c r="FZ590" s="466"/>
    </row>
    <row r="591" spans="109:182" customFormat="1" x14ac:dyDescent="0.25">
      <c r="DE591" s="466"/>
      <c r="FZ591" s="466"/>
    </row>
    <row r="592" spans="109:182" customFormat="1" x14ac:dyDescent="0.25">
      <c r="DE592" s="466"/>
      <c r="FZ592" s="466"/>
    </row>
    <row r="593" spans="109:182" customFormat="1" x14ac:dyDescent="0.25">
      <c r="DE593" s="466"/>
      <c r="FZ593" s="466"/>
    </row>
    <row r="594" spans="109:182" customFormat="1" x14ac:dyDescent="0.25">
      <c r="DE594" s="466"/>
      <c r="FZ594" s="466"/>
    </row>
    <row r="595" spans="109:182" customFormat="1" x14ac:dyDescent="0.25">
      <c r="DE595" s="466"/>
      <c r="FZ595" s="466"/>
    </row>
    <row r="596" spans="109:182" customFormat="1" x14ac:dyDescent="0.25">
      <c r="DE596" s="466"/>
      <c r="FZ596" s="466"/>
    </row>
    <row r="597" spans="109:182" customFormat="1" x14ac:dyDescent="0.25">
      <c r="DE597" s="466"/>
      <c r="FZ597" s="466"/>
    </row>
    <row r="598" spans="109:182" customFormat="1" x14ac:dyDescent="0.25">
      <c r="DE598" s="466"/>
      <c r="FZ598" s="466"/>
    </row>
    <row r="599" spans="109:182" customFormat="1" x14ac:dyDescent="0.25">
      <c r="DE599" s="466"/>
      <c r="FZ599" s="466"/>
    </row>
    <row r="600" spans="109:182" customFormat="1" x14ac:dyDescent="0.25">
      <c r="DE600" s="466"/>
      <c r="FZ600" s="466"/>
    </row>
    <row r="601" spans="109:182" customFormat="1" x14ac:dyDescent="0.25">
      <c r="DE601" s="466"/>
      <c r="FZ601" s="466"/>
    </row>
    <row r="602" spans="109:182" customFormat="1" x14ac:dyDescent="0.25">
      <c r="DE602" s="466"/>
      <c r="FZ602" s="466"/>
    </row>
    <row r="603" spans="109:182" customFormat="1" x14ac:dyDescent="0.25">
      <c r="DE603" s="466"/>
      <c r="FZ603" s="466"/>
    </row>
    <row r="604" spans="109:182" customFormat="1" x14ac:dyDescent="0.25">
      <c r="DE604" s="466"/>
      <c r="FZ604" s="466"/>
    </row>
    <row r="605" spans="109:182" customFormat="1" x14ac:dyDescent="0.25">
      <c r="DE605" s="466"/>
      <c r="FZ605" s="466"/>
    </row>
    <row r="606" spans="109:182" customFormat="1" x14ac:dyDescent="0.25">
      <c r="DE606" s="466"/>
      <c r="FZ606" s="466"/>
    </row>
    <row r="607" spans="109:182" customFormat="1" x14ac:dyDescent="0.25">
      <c r="DE607" s="466"/>
      <c r="FZ607" s="466"/>
    </row>
    <row r="608" spans="109:182" customFormat="1" x14ac:dyDescent="0.25">
      <c r="DE608" s="466"/>
      <c r="FZ608" s="466"/>
    </row>
    <row r="609" spans="109:182" customFormat="1" x14ac:dyDescent="0.25">
      <c r="DE609" s="466"/>
      <c r="FZ609" s="466"/>
    </row>
    <row r="610" spans="109:182" customFormat="1" x14ac:dyDescent="0.25">
      <c r="DE610" s="466"/>
      <c r="FZ610" s="466"/>
    </row>
    <row r="611" spans="109:182" customFormat="1" x14ac:dyDescent="0.25">
      <c r="DE611" s="466"/>
      <c r="FZ611" s="466"/>
    </row>
    <row r="612" spans="109:182" customFormat="1" x14ac:dyDescent="0.25">
      <c r="DE612" s="466"/>
      <c r="FZ612" s="466"/>
    </row>
    <row r="613" spans="109:182" customFormat="1" x14ac:dyDescent="0.25">
      <c r="DE613" s="466"/>
      <c r="FZ613" s="466"/>
    </row>
    <row r="614" spans="109:182" customFormat="1" x14ac:dyDescent="0.25">
      <c r="DE614" s="466"/>
      <c r="FZ614" s="466"/>
    </row>
    <row r="615" spans="109:182" customFormat="1" x14ac:dyDescent="0.25">
      <c r="DE615" s="466"/>
      <c r="FZ615" s="466"/>
    </row>
    <row r="616" spans="109:182" customFormat="1" x14ac:dyDescent="0.25">
      <c r="DE616" s="466"/>
      <c r="FZ616" s="466"/>
    </row>
    <row r="617" spans="109:182" customFormat="1" x14ac:dyDescent="0.25">
      <c r="DE617" s="466"/>
      <c r="FZ617" s="466"/>
    </row>
    <row r="618" spans="109:182" customFormat="1" x14ac:dyDescent="0.25">
      <c r="DE618" s="466"/>
      <c r="FZ618" s="466"/>
    </row>
    <row r="619" spans="109:182" customFormat="1" x14ac:dyDescent="0.25">
      <c r="DE619" s="466"/>
      <c r="FZ619" s="466"/>
    </row>
    <row r="620" spans="109:182" customFormat="1" x14ac:dyDescent="0.25">
      <c r="DE620" s="466"/>
      <c r="FZ620" s="466"/>
    </row>
    <row r="621" spans="109:182" customFormat="1" x14ac:dyDescent="0.25">
      <c r="DE621" s="466"/>
      <c r="FZ621" s="466"/>
    </row>
    <row r="622" spans="109:182" customFormat="1" x14ac:dyDescent="0.25">
      <c r="DE622" s="466"/>
      <c r="FZ622" s="466"/>
    </row>
    <row r="623" spans="109:182" customFormat="1" x14ac:dyDescent="0.25">
      <c r="DE623" s="466"/>
      <c r="FZ623" s="466"/>
    </row>
    <row r="624" spans="109:182" customFormat="1" x14ac:dyDescent="0.25">
      <c r="DE624" s="466"/>
      <c r="FZ624" s="466"/>
    </row>
    <row r="625" spans="109:182" customFormat="1" x14ac:dyDescent="0.25">
      <c r="DE625" s="466"/>
      <c r="FZ625" s="466"/>
    </row>
    <row r="626" spans="109:182" customFormat="1" x14ac:dyDescent="0.25">
      <c r="DE626" s="466"/>
      <c r="FZ626" s="466"/>
    </row>
    <row r="627" spans="109:182" customFormat="1" x14ac:dyDescent="0.25">
      <c r="DE627" s="466"/>
      <c r="FZ627" s="466"/>
    </row>
    <row r="628" spans="109:182" customFormat="1" x14ac:dyDescent="0.25">
      <c r="DE628" s="466"/>
      <c r="FZ628" s="466"/>
    </row>
    <row r="629" spans="109:182" customFormat="1" x14ac:dyDescent="0.25">
      <c r="DE629" s="466"/>
      <c r="FZ629" s="466"/>
    </row>
    <row r="630" spans="109:182" customFormat="1" x14ac:dyDescent="0.25">
      <c r="DE630" s="466"/>
      <c r="FZ630" s="466"/>
    </row>
    <row r="631" spans="109:182" customFormat="1" x14ac:dyDescent="0.25">
      <c r="DE631" s="466"/>
      <c r="FZ631" s="466"/>
    </row>
    <row r="632" spans="109:182" customFormat="1" x14ac:dyDescent="0.25">
      <c r="DE632" s="466"/>
      <c r="FZ632" s="466"/>
    </row>
    <row r="633" spans="109:182" customFormat="1" x14ac:dyDescent="0.25">
      <c r="DE633" s="466"/>
      <c r="FZ633" s="466"/>
    </row>
    <row r="634" spans="109:182" customFormat="1" x14ac:dyDescent="0.25">
      <c r="DE634" s="466"/>
      <c r="FZ634" s="466"/>
    </row>
    <row r="635" spans="109:182" customFormat="1" x14ac:dyDescent="0.25">
      <c r="DE635" s="466"/>
      <c r="FZ635" s="466"/>
    </row>
    <row r="636" spans="109:182" customFormat="1" x14ac:dyDescent="0.25">
      <c r="DE636" s="466"/>
      <c r="FZ636" s="466"/>
    </row>
    <row r="637" spans="109:182" customFormat="1" x14ac:dyDescent="0.25">
      <c r="DE637" s="466"/>
      <c r="FZ637" s="466"/>
    </row>
    <row r="638" spans="109:182" customFormat="1" x14ac:dyDescent="0.25">
      <c r="DE638" s="466"/>
      <c r="FZ638" s="466"/>
    </row>
    <row r="639" spans="109:182" customFormat="1" x14ac:dyDescent="0.25">
      <c r="DE639" s="466"/>
      <c r="FZ639" s="466"/>
    </row>
    <row r="640" spans="109:182" customFormat="1" x14ac:dyDescent="0.25">
      <c r="DE640" s="466"/>
      <c r="FZ640" s="466"/>
    </row>
    <row r="641" spans="109:182" customFormat="1" x14ac:dyDescent="0.25">
      <c r="DE641" s="466"/>
      <c r="FZ641" s="466"/>
    </row>
    <row r="642" spans="109:182" customFormat="1" x14ac:dyDescent="0.25">
      <c r="DE642" s="466"/>
      <c r="FZ642" s="466"/>
    </row>
    <row r="643" spans="109:182" customFormat="1" x14ac:dyDescent="0.25">
      <c r="DE643" s="466"/>
      <c r="FZ643" s="466"/>
    </row>
    <row r="644" spans="109:182" customFormat="1" x14ac:dyDescent="0.25">
      <c r="DE644" s="466"/>
      <c r="FZ644" s="466"/>
    </row>
    <row r="645" spans="109:182" customFormat="1" x14ac:dyDescent="0.25">
      <c r="DE645" s="466"/>
      <c r="FZ645" s="466"/>
    </row>
    <row r="646" spans="109:182" customFormat="1" x14ac:dyDescent="0.25">
      <c r="DE646" s="466"/>
      <c r="FZ646" s="466"/>
    </row>
    <row r="647" spans="109:182" customFormat="1" x14ac:dyDescent="0.25">
      <c r="DE647" s="466"/>
      <c r="FZ647" s="466"/>
    </row>
    <row r="648" spans="109:182" customFormat="1" x14ac:dyDescent="0.25">
      <c r="DE648" s="466"/>
      <c r="FZ648" s="466"/>
    </row>
    <row r="649" spans="109:182" customFormat="1" x14ac:dyDescent="0.25">
      <c r="DE649" s="466"/>
      <c r="FZ649" s="466"/>
    </row>
    <row r="650" spans="109:182" customFormat="1" x14ac:dyDescent="0.25">
      <c r="DE650" s="466"/>
      <c r="FZ650" s="466"/>
    </row>
    <row r="651" spans="109:182" customFormat="1" x14ac:dyDescent="0.25">
      <c r="DE651" s="466"/>
      <c r="FZ651" s="466"/>
    </row>
    <row r="652" spans="109:182" customFormat="1" x14ac:dyDescent="0.25">
      <c r="DE652" s="466"/>
      <c r="FZ652" s="466"/>
    </row>
    <row r="653" spans="109:182" customFormat="1" x14ac:dyDescent="0.25">
      <c r="DE653" s="466"/>
      <c r="FZ653" s="466"/>
    </row>
    <row r="654" spans="109:182" customFormat="1" x14ac:dyDescent="0.25">
      <c r="DE654" s="466"/>
      <c r="FZ654" s="466"/>
    </row>
    <row r="655" spans="109:182" customFormat="1" x14ac:dyDescent="0.25">
      <c r="DE655" s="466"/>
      <c r="FZ655" s="466"/>
    </row>
    <row r="656" spans="109:182" customFormat="1" x14ac:dyDescent="0.25">
      <c r="DE656" s="466"/>
      <c r="FZ656" s="466"/>
    </row>
    <row r="657" spans="109:182" customFormat="1" x14ac:dyDescent="0.25">
      <c r="DE657" s="466"/>
      <c r="FZ657" s="466"/>
    </row>
    <row r="658" spans="109:182" customFormat="1" x14ac:dyDescent="0.25">
      <c r="DE658" s="466"/>
      <c r="FZ658" s="466"/>
    </row>
    <row r="659" spans="109:182" customFormat="1" x14ac:dyDescent="0.25">
      <c r="DE659" s="466"/>
      <c r="FZ659" s="466"/>
    </row>
    <row r="660" spans="109:182" customFormat="1" x14ac:dyDescent="0.25">
      <c r="DE660" s="466"/>
      <c r="FZ660" s="466"/>
    </row>
    <row r="661" spans="109:182" customFormat="1" x14ac:dyDescent="0.25">
      <c r="DE661" s="466"/>
      <c r="FZ661" s="466"/>
    </row>
    <row r="662" spans="109:182" customFormat="1" x14ac:dyDescent="0.25">
      <c r="DE662" s="466"/>
      <c r="FZ662" s="466"/>
    </row>
    <row r="663" spans="109:182" customFormat="1" x14ac:dyDescent="0.25">
      <c r="DE663" s="466"/>
      <c r="FZ663" s="466"/>
    </row>
    <row r="664" spans="109:182" customFormat="1" x14ac:dyDescent="0.25">
      <c r="DE664" s="466"/>
      <c r="FZ664" s="466"/>
    </row>
    <row r="665" spans="109:182" customFormat="1" x14ac:dyDescent="0.25">
      <c r="DE665" s="466"/>
      <c r="FZ665" s="466"/>
    </row>
    <row r="666" spans="109:182" customFormat="1" x14ac:dyDescent="0.25">
      <c r="DE666" s="466"/>
      <c r="FZ666" s="466"/>
    </row>
    <row r="667" spans="109:182" customFormat="1" x14ac:dyDescent="0.25">
      <c r="DE667" s="466"/>
      <c r="FZ667" s="466"/>
    </row>
    <row r="668" spans="109:182" customFormat="1" x14ac:dyDescent="0.25">
      <c r="DE668" s="466"/>
      <c r="FZ668" s="466"/>
    </row>
    <row r="669" spans="109:182" customFormat="1" x14ac:dyDescent="0.25">
      <c r="DE669" s="466"/>
      <c r="FZ669" s="466"/>
    </row>
    <row r="670" spans="109:182" customFormat="1" x14ac:dyDescent="0.25">
      <c r="DE670" s="466"/>
      <c r="FZ670" s="466"/>
    </row>
    <row r="671" spans="109:182" customFormat="1" x14ac:dyDescent="0.25">
      <c r="DE671" s="466"/>
      <c r="FZ671" s="466"/>
    </row>
    <row r="672" spans="109:182" customFormat="1" x14ac:dyDescent="0.25">
      <c r="DE672" s="466"/>
      <c r="FZ672" s="466"/>
    </row>
    <row r="673" spans="109:182" customFormat="1" x14ac:dyDescent="0.25">
      <c r="DE673" s="466"/>
      <c r="FZ673" s="466"/>
    </row>
    <row r="674" spans="109:182" customFormat="1" x14ac:dyDescent="0.25">
      <c r="DE674" s="466"/>
      <c r="FZ674" s="466"/>
    </row>
    <row r="675" spans="109:182" customFormat="1" x14ac:dyDescent="0.25">
      <c r="DE675" s="466"/>
      <c r="FZ675" s="466"/>
    </row>
    <row r="676" spans="109:182" customFormat="1" x14ac:dyDescent="0.25">
      <c r="DE676" s="466"/>
      <c r="FZ676" s="466"/>
    </row>
    <row r="677" spans="109:182" customFormat="1" x14ac:dyDescent="0.25">
      <c r="DE677" s="466"/>
      <c r="FZ677" s="466"/>
    </row>
    <row r="678" spans="109:182" customFormat="1" x14ac:dyDescent="0.25">
      <c r="DE678" s="466"/>
      <c r="FZ678" s="466"/>
    </row>
    <row r="679" spans="109:182" customFormat="1" x14ac:dyDescent="0.25">
      <c r="DE679" s="466"/>
      <c r="FZ679" s="466"/>
    </row>
    <row r="680" spans="109:182" customFormat="1" x14ac:dyDescent="0.25">
      <c r="DE680" s="466"/>
      <c r="FZ680" s="466"/>
    </row>
    <row r="681" spans="109:182" customFormat="1" x14ac:dyDescent="0.25">
      <c r="DE681" s="466"/>
      <c r="FZ681" s="466"/>
    </row>
    <row r="682" spans="109:182" customFormat="1" x14ac:dyDescent="0.25">
      <c r="DE682" s="466"/>
      <c r="FZ682" s="466"/>
    </row>
    <row r="683" spans="109:182" customFormat="1" x14ac:dyDescent="0.25">
      <c r="DE683" s="466"/>
      <c r="FZ683" s="466"/>
    </row>
    <row r="684" spans="109:182" customFormat="1" x14ac:dyDescent="0.25">
      <c r="DE684" s="466"/>
      <c r="FZ684" s="466"/>
    </row>
    <row r="685" spans="109:182" customFormat="1" x14ac:dyDescent="0.25">
      <c r="DE685" s="466"/>
      <c r="FZ685" s="466"/>
    </row>
    <row r="686" spans="109:182" customFormat="1" x14ac:dyDescent="0.25">
      <c r="DE686" s="466"/>
      <c r="FZ686" s="466"/>
    </row>
    <row r="687" spans="109:182" customFormat="1" x14ac:dyDescent="0.25">
      <c r="DE687" s="466"/>
      <c r="FZ687" s="466"/>
    </row>
    <row r="688" spans="109:182" customFormat="1" x14ac:dyDescent="0.25">
      <c r="DE688" s="466"/>
      <c r="FZ688" s="466"/>
    </row>
    <row r="689" spans="109:182" customFormat="1" x14ac:dyDescent="0.25">
      <c r="DE689" s="466"/>
      <c r="FZ689" s="466"/>
    </row>
    <row r="690" spans="109:182" customFormat="1" x14ac:dyDescent="0.25">
      <c r="DE690" s="466"/>
      <c r="FZ690" s="466"/>
    </row>
    <row r="691" spans="109:182" customFormat="1" x14ac:dyDescent="0.25">
      <c r="DE691" s="466"/>
      <c r="FZ691" s="466"/>
    </row>
    <row r="692" spans="109:182" customFormat="1" x14ac:dyDescent="0.25">
      <c r="DE692" s="466"/>
      <c r="FZ692" s="466"/>
    </row>
    <row r="693" spans="109:182" customFormat="1" x14ac:dyDescent="0.25">
      <c r="DE693" s="466"/>
      <c r="FZ693" s="466"/>
    </row>
    <row r="694" spans="109:182" customFormat="1" x14ac:dyDescent="0.25">
      <c r="DE694" s="466"/>
      <c r="FZ694" s="466"/>
    </row>
    <row r="695" spans="109:182" customFormat="1" x14ac:dyDescent="0.25">
      <c r="DE695" s="466"/>
      <c r="FZ695" s="466"/>
    </row>
    <row r="696" spans="109:182" customFormat="1" x14ac:dyDescent="0.25">
      <c r="DE696" s="466"/>
      <c r="FZ696" s="466"/>
    </row>
    <row r="697" spans="109:182" customFormat="1" x14ac:dyDescent="0.25">
      <c r="DE697" s="466"/>
      <c r="FZ697" s="466"/>
    </row>
    <row r="698" spans="109:182" customFormat="1" x14ac:dyDescent="0.25">
      <c r="DE698" s="466"/>
      <c r="FZ698" s="466"/>
    </row>
    <row r="699" spans="109:182" customFormat="1" x14ac:dyDescent="0.25">
      <c r="DE699" s="466"/>
      <c r="FZ699" s="466"/>
    </row>
    <row r="700" spans="109:182" customFormat="1" x14ac:dyDescent="0.25">
      <c r="DE700" s="466"/>
      <c r="FZ700" s="466"/>
    </row>
    <row r="701" spans="109:182" customFormat="1" x14ac:dyDescent="0.25">
      <c r="DE701" s="466"/>
      <c r="FZ701" s="466"/>
    </row>
    <row r="702" spans="109:182" customFormat="1" x14ac:dyDescent="0.25">
      <c r="DE702" s="466"/>
      <c r="FZ702" s="466"/>
    </row>
    <row r="703" spans="109:182" customFormat="1" x14ac:dyDescent="0.25">
      <c r="DE703" s="466"/>
      <c r="FZ703" s="466"/>
    </row>
    <row r="704" spans="109:182" customFormat="1" x14ac:dyDescent="0.25">
      <c r="DE704" s="466"/>
      <c r="FZ704" s="466"/>
    </row>
    <row r="705" spans="109:182" customFormat="1" x14ac:dyDescent="0.25">
      <c r="DE705" s="466"/>
      <c r="FZ705" s="466"/>
    </row>
    <row r="706" spans="109:182" customFormat="1" x14ac:dyDescent="0.25">
      <c r="DE706" s="466"/>
      <c r="FZ706" s="466"/>
    </row>
    <row r="707" spans="109:182" customFormat="1" x14ac:dyDescent="0.25">
      <c r="DE707" s="466"/>
      <c r="FZ707" s="466"/>
    </row>
    <row r="708" spans="109:182" customFormat="1" x14ac:dyDescent="0.25">
      <c r="DE708" s="466"/>
      <c r="FZ708" s="466"/>
    </row>
    <row r="709" spans="109:182" customFormat="1" x14ac:dyDescent="0.25">
      <c r="DE709" s="466"/>
      <c r="FZ709" s="466"/>
    </row>
    <row r="710" spans="109:182" customFormat="1" x14ac:dyDescent="0.25">
      <c r="DE710" s="466"/>
      <c r="FZ710" s="466"/>
    </row>
    <row r="711" spans="109:182" customFormat="1" x14ac:dyDescent="0.25">
      <c r="DE711" s="466"/>
      <c r="FZ711" s="466"/>
    </row>
    <row r="712" spans="109:182" customFormat="1" x14ac:dyDescent="0.25">
      <c r="DE712" s="466"/>
      <c r="FZ712" s="466"/>
    </row>
    <row r="713" spans="109:182" customFormat="1" x14ac:dyDescent="0.25">
      <c r="DE713" s="466"/>
      <c r="FZ713" s="466"/>
    </row>
    <row r="714" spans="109:182" customFormat="1" x14ac:dyDescent="0.25">
      <c r="DE714" s="466"/>
      <c r="FZ714" s="466"/>
    </row>
    <row r="715" spans="109:182" customFormat="1" x14ac:dyDescent="0.25">
      <c r="DE715" s="466"/>
      <c r="FZ715" s="466"/>
    </row>
    <row r="716" spans="109:182" customFormat="1" x14ac:dyDescent="0.25">
      <c r="DE716" s="466"/>
      <c r="FZ716" s="466"/>
    </row>
    <row r="717" spans="109:182" customFormat="1" x14ac:dyDescent="0.25">
      <c r="DE717" s="466"/>
      <c r="FZ717" s="466"/>
    </row>
    <row r="718" spans="109:182" customFormat="1" x14ac:dyDescent="0.25">
      <c r="DE718" s="466"/>
      <c r="FZ718" s="466"/>
    </row>
    <row r="719" spans="109:182" customFormat="1" x14ac:dyDescent="0.25">
      <c r="DE719" s="466"/>
      <c r="FZ719" s="466"/>
    </row>
    <row r="720" spans="109:182" customFormat="1" x14ac:dyDescent="0.25">
      <c r="DE720" s="466"/>
      <c r="FZ720" s="466"/>
    </row>
    <row r="721" spans="109:182" customFormat="1" x14ac:dyDescent="0.25">
      <c r="DE721" s="466"/>
      <c r="FZ721" s="466"/>
    </row>
    <row r="722" spans="109:182" customFormat="1" x14ac:dyDescent="0.25">
      <c r="DE722" s="466"/>
      <c r="FZ722" s="466"/>
    </row>
    <row r="723" spans="109:182" customFormat="1" x14ac:dyDescent="0.25">
      <c r="DE723" s="466"/>
      <c r="FZ723" s="466"/>
    </row>
    <row r="724" spans="109:182" customFormat="1" x14ac:dyDescent="0.25">
      <c r="DE724" s="466"/>
      <c r="FZ724" s="466"/>
    </row>
    <row r="725" spans="109:182" customFormat="1" x14ac:dyDescent="0.25">
      <c r="DE725" s="466"/>
      <c r="FZ725" s="466"/>
    </row>
    <row r="726" spans="109:182" customFormat="1" x14ac:dyDescent="0.25">
      <c r="DE726" s="466"/>
      <c r="FZ726" s="466"/>
    </row>
    <row r="727" spans="109:182" customFormat="1" x14ac:dyDescent="0.25">
      <c r="DE727" s="466"/>
      <c r="FZ727" s="466"/>
    </row>
    <row r="728" spans="109:182" customFormat="1" x14ac:dyDescent="0.25">
      <c r="DE728" s="466"/>
      <c r="FZ728" s="466"/>
    </row>
    <row r="729" spans="109:182" customFormat="1" x14ac:dyDescent="0.25">
      <c r="DE729" s="466"/>
      <c r="FZ729" s="466"/>
    </row>
    <row r="730" spans="109:182" customFormat="1" x14ac:dyDescent="0.25">
      <c r="DE730" s="466"/>
      <c r="FZ730" s="466"/>
    </row>
    <row r="731" spans="109:182" customFormat="1" x14ac:dyDescent="0.25">
      <c r="DE731" s="466"/>
      <c r="FZ731" s="466"/>
    </row>
    <row r="732" spans="109:182" customFormat="1" x14ac:dyDescent="0.25">
      <c r="DE732" s="466"/>
      <c r="FZ732" s="466"/>
    </row>
    <row r="733" spans="109:182" customFormat="1" x14ac:dyDescent="0.25">
      <c r="DE733" s="466"/>
      <c r="FZ733" s="466"/>
    </row>
    <row r="734" spans="109:182" customFormat="1" x14ac:dyDescent="0.25">
      <c r="DE734" s="466"/>
      <c r="FZ734" s="466"/>
    </row>
    <row r="735" spans="109:182" customFormat="1" x14ac:dyDescent="0.25">
      <c r="DE735" s="466"/>
      <c r="FZ735" s="466"/>
    </row>
    <row r="736" spans="109:182" customFormat="1" x14ac:dyDescent="0.25">
      <c r="DE736" s="466"/>
      <c r="FZ736" s="466"/>
    </row>
    <row r="737" spans="109:182" customFormat="1" x14ac:dyDescent="0.25">
      <c r="DE737" s="466"/>
      <c r="FZ737" s="466"/>
    </row>
    <row r="738" spans="109:182" customFormat="1" x14ac:dyDescent="0.25">
      <c r="DE738" s="466"/>
      <c r="FZ738" s="466"/>
    </row>
    <row r="739" spans="109:182" customFormat="1" x14ac:dyDescent="0.25">
      <c r="DE739" s="466"/>
      <c r="FZ739" s="466"/>
    </row>
    <row r="740" spans="109:182" customFormat="1" x14ac:dyDescent="0.25">
      <c r="DE740" s="466"/>
      <c r="FZ740" s="466"/>
    </row>
    <row r="741" spans="109:182" customFormat="1" x14ac:dyDescent="0.25">
      <c r="DE741" s="466"/>
      <c r="FZ741" s="466"/>
    </row>
    <row r="742" spans="109:182" customFormat="1" x14ac:dyDescent="0.25">
      <c r="DE742" s="466"/>
      <c r="FZ742" s="466"/>
    </row>
    <row r="743" spans="109:182" customFormat="1" x14ac:dyDescent="0.25">
      <c r="DE743" s="466"/>
      <c r="FZ743" s="466"/>
    </row>
    <row r="744" spans="109:182" customFormat="1" x14ac:dyDescent="0.25">
      <c r="DE744" s="466"/>
      <c r="FZ744" s="466"/>
    </row>
    <row r="745" spans="109:182" customFormat="1" x14ac:dyDescent="0.25">
      <c r="DE745" s="466"/>
      <c r="FZ745" s="466"/>
    </row>
    <row r="746" spans="109:182" customFormat="1" x14ac:dyDescent="0.25">
      <c r="DE746" s="466"/>
      <c r="FZ746" s="466"/>
    </row>
    <row r="747" spans="109:182" customFormat="1" x14ac:dyDescent="0.25">
      <c r="DE747" s="466"/>
      <c r="FZ747" s="466"/>
    </row>
    <row r="748" spans="109:182" customFormat="1" x14ac:dyDescent="0.25">
      <c r="DE748" s="466"/>
      <c r="FZ748" s="466"/>
    </row>
    <row r="749" spans="109:182" customFormat="1" x14ac:dyDescent="0.25">
      <c r="DE749" s="466"/>
      <c r="FZ749" s="466"/>
    </row>
    <row r="750" spans="109:182" customFormat="1" x14ac:dyDescent="0.25">
      <c r="DE750" s="466"/>
      <c r="FZ750" s="466"/>
    </row>
    <row r="751" spans="109:182" customFormat="1" x14ac:dyDescent="0.25">
      <c r="DE751" s="466"/>
      <c r="FZ751" s="466"/>
    </row>
    <row r="752" spans="109:182" customFormat="1" x14ac:dyDescent="0.25">
      <c r="DE752" s="466"/>
      <c r="FZ752" s="466"/>
    </row>
    <row r="753" spans="109:182" customFormat="1" x14ac:dyDescent="0.25">
      <c r="DE753" s="466"/>
      <c r="FZ753" s="466"/>
    </row>
    <row r="754" spans="109:182" customFormat="1" x14ac:dyDescent="0.25">
      <c r="DE754" s="466"/>
      <c r="FZ754" s="466"/>
    </row>
    <row r="755" spans="109:182" customFormat="1" x14ac:dyDescent="0.25">
      <c r="DE755" s="466"/>
      <c r="FZ755" s="466"/>
    </row>
    <row r="756" spans="109:182" customFormat="1" x14ac:dyDescent="0.25">
      <c r="DE756" s="466"/>
      <c r="FZ756" s="466"/>
    </row>
    <row r="757" spans="109:182" customFormat="1" x14ac:dyDescent="0.25">
      <c r="DE757" s="466"/>
      <c r="FZ757" s="466"/>
    </row>
    <row r="758" spans="109:182" customFormat="1" x14ac:dyDescent="0.25">
      <c r="DE758" s="466"/>
      <c r="FZ758" s="466"/>
    </row>
    <row r="759" spans="109:182" customFormat="1" x14ac:dyDescent="0.25">
      <c r="DE759" s="466"/>
      <c r="FZ759" s="466"/>
    </row>
    <row r="760" spans="109:182" customFormat="1" x14ac:dyDescent="0.25">
      <c r="DE760" s="466"/>
      <c r="FZ760" s="466"/>
    </row>
    <row r="761" spans="109:182" customFormat="1" x14ac:dyDescent="0.25">
      <c r="DE761" s="466"/>
      <c r="FZ761" s="466"/>
    </row>
    <row r="762" spans="109:182" customFormat="1" x14ac:dyDescent="0.25">
      <c r="DE762" s="466"/>
      <c r="FZ762" s="466"/>
    </row>
    <row r="763" spans="109:182" customFormat="1" x14ac:dyDescent="0.25">
      <c r="DE763" s="466"/>
      <c r="FZ763" s="466"/>
    </row>
    <row r="764" spans="109:182" customFormat="1" x14ac:dyDescent="0.25">
      <c r="DE764" s="466"/>
      <c r="FZ764" s="466"/>
    </row>
    <row r="765" spans="109:182" customFormat="1" x14ac:dyDescent="0.25">
      <c r="DE765" s="466"/>
      <c r="FZ765" s="466"/>
    </row>
    <row r="766" spans="109:182" customFormat="1" x14ac:dyDescent="0.25">
      <c r="DE766" s="466"/>
      <c r="FZ766" s="466"/>
    </row>
    <row r="767" spans="109:182" customFormat="1" x14ac:dyDescent="0.25">
      <c r="DE767" s="466"/>
      <c r="FZ767" s="466"/>
    </row>
    <row r="768" spans="109:182" customFormat="1" x14ac:dyDescent="0.25">
      <c r="DE768" s="466"/>
      <c r="FZ768" s="466"/>
    </row>
    <row r="769" spans="109:182" customFormat="1" x14ac:dyDescent="0.25">
      <c r="DE769" s="466"/>
      <c r="FZ769" s="466"/>
    </row>
    <row r="770" spans="109:182" customFormat="1" x14ac:dyDescent="0.25">
      <c r="DE770" s="466"/>
      <c r="FZ770" s="466"/>
    </row>
    <row r="771" spans="109:182" customFormat="1" x14ac:dyDescent="0.25">
      <c r="DE771" s="466"/>
      <c r="FZ771" s="466"/>
    </row>
    <row r="772" spans="109:182" customFormat="1" x14ac:dyDescent="0.25">
      <c r="DE772" s="466"/>
      <c r="FZ772" s="466"/>
    </row>
    <row r="773" spans="109:182" customFormat="1" x14ac:dyDescent="0.25">
      <c r="DE773" s="466"/>
      <c r="FZ773" s="466"/>
    </row>
    <row r="774" spans="109:182" customFormat="1" x14ac:dyDescent="0.25">
      <c r="DE774" s="466"/>
      <c r="FZ774" s="466"/>
    </row>
    <row r="775" spans="109:182" customFormat="1" x14ac:dyDescent="0.25">
      <c r="DE775" s="466"/>
      <c r="FZ775" s="466"/>
    </row>
    <row r="776" spans="109:182" customFormat="1" x14ac:dyDescent="0.25">
      <c r="DE776" s="466"/>
      <c r="FZ776" s="466"/>
    </row>
    <row r="777" spans="109:182" customFormat="1" x14ac:dyDescent="0.25">
      <c r="DE777" s="466"/>
      <c r="FZ777" s="466"/>
    </row>
    <row r="778" spans="109:182" customFormat="1" x14ac:dyDescent="0.25">
      <c r="DE778" s="466"/>
      <c r="FZ778" s="466"/>
    </row>
    <row r="779" spans="109:182" customFormat="1" x14ac:dyDescent="0.25">
      <c r="DE779" s="466"/>
      <c r="FZ779" s="466"/>
    </row>
    <row r="780" spans="109:182" customFormat="1" x14ac:dyDescent="0.25">
      <c r="DE780" s="466"/>
      <c r="FZ780" s="466"/>
    </row>
    <row r="781" spans="109:182" customFormat="1" x14ac:dyDescent="0.25">
      <c r="DE781" s="466"/>
      <c r="FZ781" s="466"/>
    </row>
    <row r="782" spans="109:182" customFormat="1" x14ac:dyDescent="0.25">
      <c r="DE782" s="466"/>
      <c r="FZ782" s="466"/>
    </row>
    <row r="783" spans="109:182" customFormat="1" x14ac:dyDescent="0.25">
      <c r="DE783" s="466"/>
      <c r="FZ783" s="466"/>
    </row>
    <row r="784" spans="109:182" customFormat="1" x14ac:dyDescent="0.25">
      <c r="DE784" s="466"/>
      <c r="FZ784" s="466"/>
    </row>
    <row r="785" spans="109:182" customFormat="1" x14ac:dyDescent="0.25">
      <c r="DE785" s="466"/>
      <c r="FZ785" s="466"/>
    </row>
    <row r="786" spans="109:182" customFormat="1" x14ac:dyDescent="0.25">
      <c r="DE786" s="466"/>
      <c r="FZ786" s="466"/>
    </row>
    <row r="787" spans="109:182" customFormat="1" x14ac:dyDescent="0.25">
      <c r="DE787" s="466"/>
      <c r="FZ787" s="466"/>
    </row>
    <row r="788" spans="109:182" customFormat="1" x14ac:dyDescent="0.25">
      <c r="DE788" s="466"/>
      <c r="FZ788" s="466"/>
    </row>
    <row r="789" spans="109:182" customFormat="1" x14ac:dyDescent="0.25">
      <c r="DE789" s="466"/>
      <c r="FZ789" s="466"/>
    </row>
    <row r="790" spans="109:182" customFormat="1" x14ac:dyDescent="0.25">
      <c r="DE790" s="466"/>
      <c r="FZ790" s="466"/>
    </row>
    <row r="791" spans="109:182" customFormat="1" x14ac:dyDescent="0.25">
      <c r="DE791" s="466"/>
      <c r="FZ791" s="466"/>
    </row>
    <row r="792" spans="109:182" customFormat="1" x14ac:dyDescent="0.25">
      <c r="DE792" s="466"/>
      <c r="FZ792" s="466"/>
    </row>
    <row r="793" spans="109:182" customFormat="1" x14ac:dyDescent="0.25">
      <c r="DE793" s="466"/>
      <c r="FZ793" s="466"/>
    </row>
    <row r="794" spans="109:182" customFormat="1" x14ac:dyDescent="0.25">
      <c r="DE794" s="466"/>
      <c r="FZ794" s="466"/>
    </row>
    <row r="795" spans="109:182" customFormat="1" x14ac:dyDescent="0.25">
      <c r="DE795" s="466"/>
      <c r="FZ795" s="466"/>
    </row>
    <row r="796" spans="109:182" customFormat="1" x14ac:dyDescent="0.25">
      <c r="DE796" s="466"/>
      <c r="FZ796" s="466"/>
    </row>
    <row r="797" spans="109:182" customFormat="1" x14ac:dyDescent="0.25">
      <c r="DE797" s="466"/>
      <c r="FZ797" s="466"/>
    </row>
    <row r="798" spans="109:182" customFormat="1" x14ac:dyDescent="0.25">
      <c r="DE798" s="466"/>
      <c r="FZ798" s="466"/>
    </row>
    <row r="799" spans="109:182" customFormat="1" x14ac:dyDescent="0.25">
      <c r="DE799" s="466"/>
      <c r="FZ799" s="466"/>
    </row>
    <row r="800" spans="109:182" customFormat="1" x14ac:dyDescent="0.25">
      <c r="DE800" s="466"/>
      <c r="FZ800" s="466"/>
    </row>
    <row r="801" spans="109:182" customFormat="1" x14ac:dyDescent="0.25">
      <c r="DE801" s="466"/>
      <c r="FZ801" s="466"/>
    </row>
    <row r="802" spans="109:182" customFormat="1" x14ac:dyDescent="0.25">
      <c r="DE802" s="466"/>
      <c r="FZ802" s="466"/>
    </row>
    <row r="803" spans="109:182" customFormat="1" x14ac:dyDescent="0.25">
      <c r="DE803" s="466"/>
      <c r="FZ803" s="466"/>
    </row>
    <row r="804" spans="109:182" customFormat="1" x14ac:dyDescent="0.25">
      <c r="DE804" s="466"/>
      <c r="FZ804" s="466"/>
    </row>
    <row r="805" spans="109:182" customFormat="1" x14ac:dyDescent="0.25">
      <c r="DE805" s="466"/>
      <c r="FZ805" s="466"/>
    </row>
    <row r="806" spans="109:182" customFormat="1" x14ac:dyDescent="0.25">
      <c r="DE806" s="466"/>
      <c r="FZ806" s="466"/>
    </row>
    <row r="807" spans="109:182" customFormat="1" x14ac:dyDescent="0.25">
      <c r="DE807" s="466"/>
      <c r="FZ807" s="466"/>
    </row>
    <row r="808" spans="109:182" customFormat="1" x14ac:dyDescent="0.25">
      <c r="DE808" s="466"/>
      <c r="FZ808" s="466"/>
    </row>
    <row r="809" spans="109:182" customFormat="1" x14ac:dyDescent="0.25">
      <c r="DE809" s="466"/>
      <c r="FZ809" s="466"/>
    </row>
    <row r="810" spans="109:182" customFormat="1" x14ac:dyDescent="0.25">
      <c r="DE810" s="466"/>
      <c r="FZ810" s="466"/>
    </row>
    <row r="811" spans="109:182" customFormat="1" x14ac:dyDescent="0.25">
      <c r="DE811" s="466"/>
      <c r="FZ811" s="466"/>
    </row>
    <row r="812" spans="109:182" customFormat="1" x14ac:dyDescent="0.25">
      <c r="DE812" s="466"/>
      <c r="FZ812" s="466"/>
    </row>
    <row r="813" spans="109:182" customFormat="1" x14ac:dyDescent="0.25">
      <c r="DE813" s="466"/>
      <c r="FZ813" s="466"/>
    </row>
    <row r="814" spans="109:182" customFormat="1" x14ac:dyDescent="0.25">
      <c r="DE814" s="466"/>
      <c r="FZ814" s="466"/>
    </row>
    <row r="815" spans="109:182" customFormat="1" x14ac:dyDescent="0.25">
      <c r="DE815" s="466"/>
      <c r="FZ815" s="466"/>
    </row>
    <row r="816" spans="109:182" customFormat="1" x14ac:dyDescent="0.25">
      <c r="DE816" s="466"/>
      <c r="FZ816" s="466"/>
    </row>
    <row r="817" spans="109:182" customFormat="1" x14ac:dyDescent="0.25">
      <c r="DE817" s="466"/>
      <c r="FZ817" s="466"/>
    </row>
    <row r="818" spans="109:182" customFormat="1" x14ac:dyDescent="0.25">
      <c r="DE818" s="466"/>
      <c r="FZ818" s="466"/>
    </row>
    <row r="819" spans="109:182" customFormat="1" x14ac:dyDescent="0.25">
      <c r="DE819" s="466"/>
      <c r="FZ819" s="466"/>
    </row>
    <row r="820" spans="109:182" customFormat="1" x14ac:dyDescent="0.25">
      <c r="DE820" s="466"/>
      <c r="FZ820" s="466"/>
    </row>
    <row r="821" spans="109:182" customFormat="1" x14ac:dyDescent="0.25">
      <c r="DE821" s="466"/>
      <c r="FZ821" s="466"/>
    </row>
    <row r="822" spans="109:182" customFormat="1" x14ac:dyDescent="0.25">
      <c r="DE822" s="466"/>
      <c r="FZ822" s="466"/>
    </row>
    <row r="823" spans="109:182" customFormat="1" x14ac:dyDescent="0.25">
      <c r="DE823" s="466"/>
      <c r="FZ823" s="466"/>
    </row>
    <row r="824" spans="109:182" customFormat="1" x14ac:dyDescent="0.25">
      <c r="DE824" s="466"/>
      <c r="FZ824" s="466"/>
    </row>
    <row r="825" spans="109:182" customFormat="1" x14ac:dyDescent="0.25">
      <c r="DE825" s="466"/>
      <c r="FZ825" s="466"/>
    </row>
    <row r="826" spans="109:182" customFormat="1" x14ac:dyDescent="0.25">
      <c r="DE826" s="466"/>
      <c r="FZ826" s="466"/>
    </row>
    <row r="827" spans="109:182" customFormat="1" x14ac:dyDescent="0.25">
      <c r="DE827" s="466"/>
      <c r="FZ827" s="466"/>
    </row>
    <row r="828" spans="109:182" customFormat="1" x14ac:dyDescent="0.25">
      <c r="DE828" s="466"/>
      <c r="FZ828" s="466"/>
    </row>
    <row r="829" spans="109:182" customFormat="1" x14ac:dyDescent="0.25">
      <c r="DE829" s="466"/>
      <c r="FZ829" s="466"/>
    </row>
    <row r="830" spans="109:182" customFormat="1" x14ac:dyDescent="0.25">
      <c r="DE830" s="466"/>
      <c r="FZ830" s="466"/>
    </row>
    <row r="831" spans="109:182" customFormat="1" x14ac:dyDescent="0.25">
      <c r="DE831" s="466"/>
      <c r="FZ831" s="466"/>
    </row>
    <row r="832" spans="109:182" customFormat="1" x14ac:dyDescent="0.25">
      <c r="DE832" s="466"/>
      <c r="FZ832" s="466"/>
    </row>
    <row r="833" spans="109:182" customFormat="1" x14ac:dyDescent="0.25">
      <c r="DE833" s="466"/>
      <c r="FZ833" s="466"/>
    </row>
    <row r="834" spans="109:182" customFormat="1" x14ac:dyDescent="0.25">
      <c r="DE834" s="466"/>
      <c r="FZ834" s="466"/>
    </row>
    <row r="835" spans="109:182" customFormat="1" x14ac:dyDescent="0.25">
      <c r="DE835" s="466"/>
      <c r="FZ835" s="466"/>
    </row>
    <row r="836" spans="109:182" customFormat="1" x14ac:dyDescent="0.25">
      <c r="DE836" s="466"/>
      <c r="FZ836" s="466"/>
    </row>
    <row r="837" spans="109:182" customFormat="1" x14ac:dyDescent="0.25">
      <c r="DE837" s="466"/>
      <c r="FZ837" s="466"/>
    </row>
    <row r="838" spans="109:182" customFormat="1" x14ac:dyDescent="0.25">
      <c r="DE838" s="466"/>
      <c r="FZ838" s="466"/>
    </row>
    <row r="839" spans="109:182" customFormat="1" x14ac:dyDescent="0.25">
      <c r="DE839" s="466"/>
      <c r="FZ839" s="466"/>
    </row>
    <row r="840" spans="109:182" customFormat="1" x14ac:dyDescent="0.25">
      <c r="DE840" s="466"/>
      <c r="FZ840" s="466"/>
    </row>
    <row r="841" spans="109:182" customFormat="1" x14ac:dyDescent="0.25">
      <c r="DE841" s="466"/>
      <c r="FZ841" s="466"/>
    </row>
    <row r="842" spans="109:182" customFormat="1" x14ac:dyDescent="0.25">
      <c r="DE842" s="466"/>
      <c r="FZ842" s="466"/>
    </row>
    <row r="843" spans="109:182" customFormat="1" x14ac:dyDescent="0.25">
      <c r="DE843" s="466"/>
      <c r="FZ843" s="466"/>
    </row>
    <row r="844" spans="109:182" customFormat="1" x14ac:dyDescent="0.25">
      <c r="DE844" s="466"/>
      <c r="FZ844" s="466"/>
    </row>
    <row r="845" spans="109:182" customFormat="1" x14ac:dyDescent="0.25">
      <c r="DE845" s="466"/>
      <c r="FZ845" s="466"/>
    </row>
    <row r="846" spans="109:182" customFormat="1" x14ac:dyDescent="0.25">
      <c r="DE846" s="466"/>
      <c r="FZ846" s="466"/>
    </row>
    <row r="847" spans="109:182" customFormat="1" x14ac:dyDescent="0.25">
      <c r="DE847" s="466"/>
      <c r="FZ847" s="466"/>
    </row>
    <row r="848" spans="109:182" customFormat="1" x14ac:dyDescent="0.25">
      <c r="DE848" s="466"/>
      <c r="FZ848" s="466"/>
    </row>
    <row r="849" spans="109:182" customFormat="1" x14ac:dyDescent="0.25">
      <c r="DE849" s="466"/>
      <c r="FZ849" s="466"/>
    </row>
    <row r="850" spans="109:182" customFormat="1" x14ac:dyDescent="0.25">
      <c r="DE850" s="466"/>
      <c r="FZ850" s="466"/>
    </row>
    <row r="851" spans="109:182" customFormat="1" x14ac:dyDescent="0.25">
      <c r="DE851" s="466"/>
      <c r="FZ851" s="466"/>
    </row>
    <row r="852" spans="109:182" customFormat="1" x14ac:dyDescent="0.25">
      <c r="DE852" s="466"/>
      <c r="FZ852" s="466"/>
    </row>
    <row r="853" spans="109:182" customFormat="1" x14ac:dyDescent="0.25">
      <c r="DE853" s="466"/>
      <c r="FZ853" s="466"/>
    </row>
    <row r="854" spans="109:182" customFormat="1" x14ac:dyDescent="0.25">
      <c r="DE854" s="466"/>
      <c r="FZ854" s="466"/>
    </row>
    <row r="855" spans="109:182" customFormat="1" x14ac:dyDescent="0.25">
      <c r="DE855" s="466"/>
      <c r="FZ855" s="466"/>
    </row>
    <row r="856" spans="109:182" customFormat="1" x14ac:dyDescent="0.25">
      <c r="DE856" s="466"/>
      <c r="FZ856" s="466"/>
    </row>
    <row r="857" spans="109:182" customFormat="1" x14ac:dyDescent="0.25">
      <c r="DE857" s="466"/>
      <c r="FZ857" s="466"/>
    </row>
    <row r="858" spans="109:182" customFormat="1" x14ac:dyDescent="0.25">
      <c r="DE858" s="466"/>
      <c r="FZ858" s="466"/>
    </row>
    <row r="859" spans="109:182" customFormat="1" x14ac:dyDescent="0.25">
      <c r="DE859" s="466"/>
      <c r="FZ859" s="466"/>
    </row>
    <row r="860" spans="109:182" customFormat="1" x14ac:dyDescent="0.25">
      <c r="DE860" s="466"/>
      <c r="FZ860" s="466"/>
    </row>
    <row r="861" spans="109:182" customFormat="1" x14ac:dyDescent="0.25">
      <c r="DE861" s="466"/>
      <c r="FZ861" s="466"/>
    </row>
    <row r="862" spans="109:182" customFormat="1" x14ac:dyDescent="0.25">
      <c r="DE862" s="466"/>
      <c r="FZ862" s="466"/>
    </row>
    <row r="863" spans="109:182" customFormat="1" x14ac:dyDescent="0.25">
      <c r="DE863" s="466"/>
      <c r="FZ863" s="466"/>
    </row>
    <row r="864" spans="109:182" customFormat="1" x14ac:dyDescent="0.25">
      <c r="DE864" s="466"/>
      <c r="FZ864" s="466"/>
    </row>
    <row r="865" spans="109:182" customFormat="1" x14ac:dyDescent="0.25">
      <c r="DE865" s="466"/>
      <c r="FZ865" s="466"/>
    </row>
    <row r="866" spans="109:182" customFormat="1" x14ac:dyDescent="0.25">
      <c r="DE866" s="466"/>
      <c r="FZ866" s="466"/>
    </row>
    <row r="867" spans="109:182" customFormat="1" x14ac:dyDescent="0.25">
      <c r="DE867" s="466"/>
      <c r="FZ867" s="466"/>
    </row>
    <row r="868" spans="109:182" customFormat="1" x14ac:dyDescent="0.25">
      <c r="DE868" s="466"/>
      <c r="FZ868" s="466"/>
    </row>
    <row r="869" spans="109:182" customFormat="1" x14ac:dyDescent="0.25">
      <c r="DE869" s="466"/>
      <c r="FZ869" s="466"/>
    </row>
    <row r="870" spans="109:182" customFormat="1" x14ac:dyDescent="0.25">
      <c r="DE870" s="466"/>
      <c r="FZ870" s="466"/>
    </row>
    <row r="871" spans="109:182" customFormat="1" x14ac:dyDescent="0.25">
      <c r="DE871" s="466"/>
      <c r="FZ871" s="466"/>
    </row>
    <row r="872" spans="109:182" customFormat="1" x14ac:dyDescent="0.25">
      <c r="DE872" s="466"/>
      <c r="FZ872" s="466"/>
    </row>
    <row r="873" spans="109:182" customFormat="1" x14ac:dyDescent="0.25">
      <c r="DE873" s="466"/>
      <c r="FZ873" s="466"/>
    </row>
    <row r="874" spans="109:182" customFormat="1" x14ac:dyDescent="0.25">
      <c r="DE874" s="466"/>
      <c r="FZ874" s="466"/>
    </row>
    <row r="875" spans="109:182" customFormat="1" x14ac:dyDescent="0.25">
      <c r="DE875" s="466"/>
      <c r="FZ875" s="466"/>
    </row>
    <row r="876" spans="109:182" customFormat="1" x14ac:dyDescent="0.25">
      <c r="DE876" s="466"/>
      <c r="FZ876" s="466"/>
    </row>
    <row r="877" spans="109:182" customFormat="1" x14ac:dyDescent="0.25">
      <c r="DE877" s="466"/>
      <c r="FZ877" s="466"/>
    </row>
    <row r="878" spans="109:182" customFormat="1" x14ac:dyDescent="0.25">
      <c r="DE878" s="466"/>
      <c r="FZ878" s="466"/>
    </row>
    <row r="879" spans="109:182" customFormat="1" x14ac:dyDescent="0.25">
      <c r="DE879" s="466"/>
      <c r="FZ879" s="466"/>
    </row>
    <row r="880" spans="109:182" customFormat="1" x14ac:dyDescent="0.25">
      <c r="DE880" s="466"/>
      <c r="FZ880" s="466"/>
    </row>
    <row r="881" spans="109:182" customFormat="1" x14ac:dyDescent="0.25">
      <c r="DE881" s="466"/>
      <c r="FZ881" s="466"/>
    </row>
    <row r="882" spans="109:182" customFormat="1" x14ac:dyDescent="0.25">
      <c r="DE882" s="466"/>
      <c r="FZ882" s="466"/>
    </row>
    <row r="883" spans="109:182" customFormat="1" x14ac:dyDescent="0.25">
      <c r="DE883" s="466"/>
      <c r="FZ883" s="466"/>
    </row>
    <row r="884" spans="109:182" customFormat="1" x14ac:dyDescent="0.25">
      <c r="DE884" s="466"/>
      <c r="FZ884" s="466"/>
    </row>
    <row r="885" spans="109:182" customFormat="1" x14ac:dyDescent="0.25">
      <c r="DE885" s="466"/>
      <c r="FZ885" s="466"/>
    </row>
    <row r="886" spans="109:182" customFormat="1" x14ac:dyDescent="0.25">
      <c r="DE886" s="466"/>
      <c r="FZ886" s="466"/>
    </row>
    <row r="887" spans="109:182" customFormat="1" x14ac:dyDescent="0.25">
      <c r="DE887" s="466"/>
      <c r="FZ887" s="466"/>
    </row>
    <row r="888" spans="109:182" customFormat="1" x14ac:dyDescent="0.25">
      <c r="DE888" s="466"/>
      <c r="FZ888" s="466"/>
    </row>
    <row r="889" spans="109:182" customFormat="1" x14ac:dyDescent="0.25">
      <c r="DE889" s="466"/>
      <c r="FZ889" s="466"/>
    </row>
    <row r="890" spans="109:182" customFormat="1" x14ac:dyDescent="0.25">
      <c r="DE890" s="466"/>
      <c r="FZ890" s="466"/>
    </row>
    <row r="891" spans="109:182" customFormat="1" x14ac:dyDescent="0.25">
      <c r="DE891" s="466"/>
      <c r="FZ891" s="466"/>
    </row>
    <row r="892" spans="109:182" customFormat="1" x14ac:dyDescent="0.25">
      <c r="DE892" s="466"/>
      <c r="FZ892" s="466"/>
    </row>
    <row r="893" spans="109:182" customFormat="1" x14ac:dyDescent="0.25">
      <c r="DE893" s="466"/>
      <c r="FZ893" s="466"/>
    </row>
    <row r="894" spans="109:182" customFormat="1" x14ac:dyDescent="0.25">
      <c r="DE894" s="466"/>
      <c r="FZ894" s="466"/>
    </row>
    <row r="895" spans="109:182" customFormat="1" x14ac:dyDescent="0.25">
      <c r="DE895" s="466"/>
      <c r="FZ895" s="466"/>
    </row>
    <row r="896" spans="109:182" customFormat="1" x14ac:dyDescent="0.25">
      <c r="DE896" s="466"/>
      <c r="FZ896" s="466"/>
    </row>
    <row r="897" spans="109:182" customFormat="1" x14ac:dyDescent="0.25">
      <c r="DE897" s="466"/>
      <c r="FZ897" s="466"/>
    </row>
    <row r="898" spans="109:182" customFormat="1" x14ac:dyDescent="0.25">
      <c r="DE898" s="466"/>
      <c r="FZ898" s="466"/>
    </row>
    <row r="899" spans="109:182" customFormat="1" x14ac:dyDescent="0.25">
      <c r="DE899" s="466"/>
      <c r="FZ899" s="466"/>
    </row>
    <row r="900" spans="109:182" customFormat="1" x14ac:dyDescent="0.25">
      <c r="DE900" s="466"/>
      <c r="FZ900" s="466"/>
    </row>
    <row r="901" spans="109:182" customFormat="1" x14ac:dyDescent="0.25">
      <c r="DE901" s="466"/>
      <c r="FZ901" s="466"/>
    </row>
    <row r="902" spans="109:182" customFormat="1" x14ac:dyDescent="0.25">
      <c r="DE902" s="466"/>
      <c r="FZ902" s="466"/>
    </row>
    <row r="903" spans="109:182" customFormat="1" x14ac:dyDescent="0.25">
      <c r="DE903" s="466"/>
      <c r="FZ903" s="466"/>
    </row>
    <row r="904" spans="109:182" customFormat="1" x14ac:dyDescent="0.25">
      <c r="DE904" s="466"/>
      <c r="FZ904" s="466"/>
    </row>
    <row r="905" spans="109:182" customFormat="1" x14ac:dyDescent="0.25">
      <c r="DE905" s="466"/>
      <c r="FZ905" s="466"/>
    </row>
    <row r="906" spans="109:182" customFormat="1" x14ac:dyDescent="0.25">
      <c r="DE906" s="466"/>
      <c r="FZ906" s="466"/>
    </row>
    <row r="907" spans="109:182" customFormat="1" x14ac:dyDescent="0.25">
      <c r="DE907" s="466"/>
      <c r="FZ907" s="466"/>
    </row>
    <row r="908" spans="109:182" customFormat="1" x14ac:dyDescent="0.25">
      <c r="DE908" s="466"/>
      <c r="FZ908" s="466"/>
    </row>
    <row r="909" spans="109:182" customFormat="1" x14ac:dyDescent="0.25">
      <c r="DE909" s="466"/>
      <c r="FZ909" s="466"/>
    </row>
    <row r="910" spans="109:182" customFormat="1" x14ac:dyDescent="0.25">
      <c r="DE910" s="466"/>
      <c r="FZ910" s="466"/>
    </row>
    <row r="911" spans="109:182" customFormat="1" x14ac:dyDescent="0.25">
      <c r="DE911" s="466"/>
      <c r="FZ911" s="466"/>
    </row>
    <row r="912" spans="109:182" customFormat="1" x14ac:dyDescent="0.25">
      <c r="DE912" s="466"/>
      <c r="FZ912" s="466"/>
    </row>
    <row r="913" spans="109:182" customFormat="1" x14ac:dyDescent="0.25">
      <c r="DE913" s="466"/>
      <c r="FZ913" s="466"/>
    </row>
    <row r="914" spans="109:182" customFormat="1" x14ac:dyDescent="0.25">
      <c r="DE914" s="466"/>
      <c r="FZ914" s="466"/>
    </row>
    <row r="915" spans="109:182" customFormat="1" x14ac:dyDescent="0.25">
      <c r="DE915" s="466"/>
      <c r="FZ915" s="466"/>
    </row>
    <row r="916" spans="109:182" customFormat="1" x14ac:dyDescent="0.25">
      <c r="DE916" s="466"/>
      <c r="FZ916" s="466"/>
    </row>
    <row r="917" spans="109:182" customFormat="1" x14ac:dyDescent="0.25">
      <c r="DE917" s="466"/>
      <c r="FZ917" s="466"/>
    </row>
    <row r="918" spans="109:182" customFormat="1" x14ac:dyDescent="0.25">
      <c r="DE918" s="466"/>
      <c r="FZ918" s="466"/>
    </row>
    <row r="919" spans="109:182" customFormat="1" x14ac:dyDescent="0.25">
      <c r="DE919" s="466"/>
      <c r="FZ919" s="466"/>
    </row>
    <row r="920" spans="109:182" customFormat="1" x14ac:dyDescent="0.25">
      <c r="DE920" s="466"/>
      <c r="FZ920" s="466"/>
    </row>
    <row r="921" spans="109:182" customFormat="1" x14ac:dyDescent="0.25">
      <c r="DE921" s="466"/>
      <c r="FZ921" s="466"/>
    </row>
    <row r="922" spans="109:182" customFormat="1" x14ac:dyDescent="0.25">
      <c r="DE922" s="466"/>
      <c r="FZ922" s="466"/>
    </row>
    <row r="923" spans="109:182" customFormat="1" x14ac:dyDescent="0.25">
      <c r="DE923" s="466"/>
      <c r="FZ923" s="466"/>
    </row>
    <row r="924" spans="109:182" customFormat="1" x14ac:dyDescent="0.25">
      <c r="DE924" s="466"/>
      <c r="FZ924" s="466"/>
    </row>
    <row r="925" spans="109:182" customFormat="1" x14ac:dyDescent="0.25">
      <c r="DE925" s="466"/>
      <c r="FZ925" s="466"/>
    </row>
    <row r="926" spans="109:182" customFormat="1" x14ac:dyDescent="0.25">
      <c r="DE926" s="466"/>
      <c r="FZ926" s="466"/>
    </row>
    <row r="927" spans="109:182" customFormat="1" x14ac:dyDescent="0.25">
      <c r="DE927" s="466"/>
      <c r="FZ927" s="466"/>
    </row>
    <row r="928" spans="109:182" customFormat="1" x14ac:dyDescent="0.25">
      <c r="DE928" s="466"/>
      <c r="FZ928" s="466"/>
    </row>
    <row r="929" spans="109:182" customFormat="1" x14ac:dyDescent="0.25">
      <c r="DE929" s="466"/>
      <c r="FZ929" s="466"/>
    </row>
    <row r="930" spans="109:182" customFormat="1" x14ac:dyDescent="0.25">
      <c r="DE930" s="466"/>
      <c r="FZ930" s="466"/>
    </row>
    <row r="931" spans="109:182" customFormat="1" x14ac:dyDescent="0.25">
      <c r="DE931" s="466"/>
      <c r="FZ931" s="466"/>
    </row>
    <row r="932" spans="109:182" customFormat="1" x14ac:dyDescent="0.25">
      <c r="DE932" s="466"/>
      <c r="FZ932" s="466"/>
    </row>
    <row r="933" spans="109:182" customFormat="1" x14ac:dyDescent="0.25">
      <c r="DE933" s="466"/>
      <c r="FZ933" s="466"/>
    </row>
    <row r="934" spans="109:182" customFormat="1" x14ac:dyDescent="0.25">
      <c r="DE934" s="466"/>
      <c r="FZ934" s="466"/>
    </row>
    <row r="935" spans="109:182" customFormat="1" x14ac:dyDescent="0.25">
      <c r="DE935" s="466"/>
      <c r="FZ935" s="466"/>
    </row>
    <row r="936" spans="109:182" customFormat="1" x14ac:dyDescent="0.25">
      <c r="DE936" s="466"/>
      <c r="FZ936" s="466"/>
    </row>
    <row r="937" spans="109:182" customFormat="1" x14ac:dyDescent="0.25">
      <c r="DE937" s="466"/>
      <c r="FZ937" s="466"/>
    </row>
    <row r="938" spans="109:182" customFormat="1" x14ac:dyDescent="0.25">
      <c r="DE938" s="466"/>
      <c r="FZ938" s="466"/>
    </row>
    <row r="939" spans="109:182" customFormat="1" x14ac:dyDescent="0.25">
      <c r="DE939" s="466"/>
      <c r="FZ939" s="466"/>
    </row>
    <row r="940" spans="109:182" customFormat="1" x14ac:dyDescent="0.25">
      <c r="DE940" s="466"/>
      <c r="FZ940" s="466"/>
    </row>
    <row r="941" spans="109:182" customFormat="1" x14ac:dyDescent="0.25">
      <c r="DE941" s="466"/>
      <c r="FZ941" s="466"/>
    </row>
    <row r="942" spans="109:182" customFormat="1" x14ac:dyDescent="0.25">
      <c r="DE942" s="466"/>
      <c r="FZ942" s="466"/>
    </row>
    <row r="943" spans="109:182" customFormat="1" x14ac:dyDescent="0.25">
      <c r="DE943" s="466"/>
      <c r="FZ943" s="466"/>
    </row>
    <row r="944" spans="109:182" customFormat="1" x14ac:dyDescent="0.25">
      <c r="DE944" s="466"/>
      <c r="FZ944" s="466"/>
    </row>
    <row r="945" spans="109:182" customFormat="1" x14ac:dyDescent="0.25">
      <c r="DE945" s="466"/>
      <c r="FZ945" s="466"/>
    </row>
    <row r="946" spans="109:182" customFormat="1" x14ac:dyDescent="0.25">
      <c r="DE946" s="466"/>
      <c r="FZ946" s="466"/>
    </row>
    <row r="947" spans="109:182" customFormat="1" x14ac:dyDescent="0.25">
      <c r="DE947" s="466"/>
      <c r="FZ947" s="466"/>
    </row>
    <row r="948" spans="109:182" customFormat="1" x14ac:dyDescent="0.25">
      <c r="DE948" s="466"/>
      <c r="FZ948" s="466"/>
    </row>
    <row r="949" spans="109:182" customFormat="1" x14ac:dyDescent="0.25">
      <c r="DE949" s="466"/>
      <c r="FZ949" s="466"/>
    </row>
    <row r="950" spans="109:182" customFormat="1" x14ac:dyDescent="0.25">
      <c r="DE950" s="466"/>
      <c r="FZ950" s="466"/>
    </row>
    <row r="951" spans="109:182" customFormat="1" x14ac:dyDescent="0.25">
      <c r="DE951" s="466"/>
      <c r="FZ951" s="466"/>
    </row>
    <row r="952" spans="109:182" customFormat="1" x14ac:dyDescent="0.25">
      <c r="DE952" s="466"/>
      <c r="FZ952" s="466"/>
    </row>
    <row r="953" spans="109:182" customFormat="1" x14ac:dyDescent="0.25">
      <c r="DE953" s="466"/>
      <c r="FZ953" s="466"/>
    </row>
    <row r="954" spans="109:182" customFormat="1" x14ac:dyDescent="0.25">
      <c r="DE954" s="466"/>
      <c r="FZ954" s="466"/>
    </row>
    <row r="955" spans="109:182" customFormat="1" x14ac:dyDescent="0.25">
      <c r="DE955" s="466"/>
      <c r="FZ955" s="466"/>
    </row>
    <row r="956" spans="109:182" customFormat="1" x14ac:dyDescent="0.25">
      <c r="DE956" s="466"/>
      <c r="FZ956" s="466"/>
    </row>
    <row r="957" spans="109:182" customFormat="1" x14ac:dyDescent="0.25">
      <c r="DE957" s="466"/>
      <c r="FZ957" s="466"/>
    </row>
    <row r="958" spans="109:182" customFormat="1" x14ac:dyDescent="0.25">
      <c r="DE958" s="466"/>
      <c r="FZ958" s="466"/>
    </row>
    <row r="959" spans="109:182" customFormat="1" x14ac:dyDescent="0.25">
      <c r="DE959" s="466"/>
      <c r="FZ959" s="466"/>
    </row>
    <row r="960" spans="109:182" customFormat="1" x14ac:dyDescent="0.25">
      <c r="DE960" s="466"/>
      <c r="FZ960" s="466"/>
    </row>
    <row r="961" spans="109:182" customFormat="1" x14ac:dyDescent="0.25">
      <c r="DE961" s="466"/>
      <c r="FZ961" s="466"/>
    </row>
    <row r="962" spans="109:182" customFormat="1" x14ac:dyDescent="0.25">
      <c r="DE962" s="466"/>
      <c r="FZ962" s="466"/>
    </row>
    <row r="963" spans="109:182" customFormat="1" x14ac:dyDescent="0.25">
      <c r="DE963" s="466"/>
      <c r="FZ963" s="466"/>
    </row>
    <row r="964" spans="109:182" customFormat="1" x14ac:dyDescent="0.25">
      <c r="DE964" s="466"/>
      <c r="FZ964" s="466"/>
    </row>
    <row r="965" spans="109:182" customFormat="1" x14ac:dyDescent="0.25">
      <c r="DE965" s="466"/>
      <c r="FZ965" s="466"/>
    </row>
    <row r="966" spans="109:182" customFormat="1" x14ac:dyDescent="0.25">
      <c r="DE966" s="466"/>
      <c r="FZ966" s="466"/>
    </row>
    <row r="967" spans="109:182" customFormat="1" x14ac:dyDescent="0.25">
      <c r="DE967" s="466"/>
      <c r="FZ967" s="466"/>
    </row>
    <row r="968" spans="109:182" customFormat="1" x14ac:dyDescent="0.25">
      <c r="DE968" s="466"/>
      <c r="FZ968" s="466"/>
    </row>
    <row r="969" spans="109:182" customFormat="1" x14ac:dyDescent="0.25">
      <c r="DE969" s="466"/>
      <c r="FZ969" s="466"/>
    </row>
    <row r="970" spans="109:182" customFormat="1" x14ac:dyDescent="0.25">
      <c r="DE970" s="466"/>
      <c r="FZ970" s="466"/>
    </row>
    <row r="971" spans="109:182" customFormat="1" x14ac:dyDescent="0.25">
      <c r="DE971" s="466"/>
      <c r="FZ971" s="466"/>
    </row>
    <row r="972" spans="109:182" customFormat="1" x14ac:dyDescent="0.25">
      <c r="DE972" s="466"/>
      <c r="FZ972" s="466"/>
    </row>
    <row r="973" spans="109:182" customFormat="1" x14ac:dyDescent="0.25">
      <c r="DE973" s="466"/>
      <c r="FZ973" s="466"/>
    </row>
    <row r="974" spans="109:182" customFormat="1" x14ac:dyDescent="0.25">
      <c r="DE974" s="466"/>
      <c r="FZ974" s="466"/>
    </row>
    <row r="975" spans="109:182" customFormat="1" x14ac:dyDescent="0.25">
      <c r="DE975" s="466"/>
      <c r="FZ975" s="466"/>
    </row>
    <row r="976" spans="109:182" customFormat="1" x14ac:dyDescent="0.25">
      <c r="DE976" s="466"/>
      <c r="FZ976" s="466"/>
    </row>
    <row r="977" spans="109:182" customFormat="1" x14ac:dyDescent="0.25">
      <c r="DE977" s="466"/>
      <c r="FZ977" s="466"/>
    </row>
    <row r="978" spans="109:182" customFormat="1" x14ac:dyDescent="0.25">
      <c r="DE978" s="466"/>
      <c r="FZ978" s="466"/>
    </row>
    <row r="979" spans="109:182" customFormat="1" x14ac:dyDescent="0.25">
      <c r="DE979" s="466"/>
      <c r="FZ979" s="466"/>
    </row>
    <row r="980" spans="109:182" customFormat="1" x14ac:dyDescent="0.25">
      <c r="DE980" s="466"/>
      <c r="FZ980" s="466"/>
    </row>
    <row r="981" spans="109:182" customFormat="1" x14ac:dyDescent="0.25">
      <c r="DE981" s="466"/>
      <c r="FZ981" s="466"/>
    </row>
    <row r="982" spans="109:182" customFormat="1" x14ac:dyDescent="0.25">
      <c r="DE982" s="466"/>
      <c r="FZ982" s="466"/>
    </row>
    <row r="983" spans="109:182" customFormat="1" x14ac:dyDescent="0.25">
      <c r="DE983" s="466"/>
      <c r="FZ983" s="466"/>
    </row>
    <row r="984" spans="109:182" customFormat="1" x14ac:dyDescent="0.25">
      <c r="DE984" s="466"/>
      <c r="FZ984" s="466"/>
    </row>
    <row r="985" spans="109:182" customFormat="1" x14ac:dyDescent="0.25">
      <c r="DE985" s="466"/>
      <c r="FZ985" s="466"/>
    </row>
    <row r="986" spans="109:182" customFormat="1" x14ac:dyDescent="0.25">
      <c r="DE986" s="466"/>
      <c r="FZ986" s="466"/>
    </row>
    <row r="987" spans="109:182" customFormat="1" x14ac:dyDescent="0.25">
      <c r="DE987" s="466"/>
      <c r="FZ987" s="466"/>
    </row>
    <row r="988" spans="109:182" customFormat="1" x14ac:dyDescent="0.25">
      <c r="DE988" s="466"/>
      <c r="FZ988" s="466"/>
    </row>
    <row r="989" spans="109:182" customFormat="1" x14ac:dyDescent="0.25">
      <c r="DE989" s="466"/>
      <c r="FZ989" s="466"/>
    </row>
    <row r="990" spans="109:182" customFormat="1" x14ac:dyDescent="0.25">
      <c r="DE990" s="466"/>
      <c r="FZ990" s="466"/>
    </row>
    <row r="991" spans="109:182" customFormat="1" x14ac:dyDescent="0.25">
      <c r="DE991" s="466"/>
      <c r="FZ991" s="466"/>
    </row>
    <row r="992" spans="109:182" customFormat="1" x14ac:dyDescent="0.25">
      <c r="DE992" s="466"/>
      <c r="FZ992" s="466"/>
    </row>
    <row r="993" spans="109:182" customFormat="1" x14ac:dyDescent="0.25">
      <c r="DE993" s="466"/>
      <c r="FZ993" s="466"/>
    </row>
    <row r="994" spans="109:182" customFormat="1" x14ac:dyDescent="0.25">
      <c r="DE994" s="466"/>
      <c r="FZ994" s="466"/>
    </row>
    <row r="995" spans="109:182" customFormat="1" x14ac:dyDescent="0.25">
      <c r="DE995" s="466"/>
      <c r="FZ995" s="466"/>
    </row>
    <row r="996" spans="109:182" customFormat="1" x14ac:dyDescent="0.25">
      <c r="DE996" s="466"/>
      <c r="FZ996" s="466"/>
    </row>
    <row r="997" spans="109:182" customFormat="1" x14ac:dyDescent="0.25">
      <c r="DE997" s="466"/>
      <c r="FZ997" s="466"/>
    </row>
    <row r="998" spans="109:182" customFormat="1" x14ac:dyDescent="0.25">
      <c r="DE998" s="466"/>
      <c r="FZ998" s="466"/>
    </row>
    <row r="999" spans="109:182" customFormat="1" x14ac:dyDescent="0.25">
      <c r="DE999" s="466"/>
      <c r="FZ999" s="466"/>
    </row>
    <row r="1000" spans="109:182" customFormat="1" x14ac:dyDescent="0.25">
      <c r="DE1000" s="466"/>
      <c r="FZ1000" s="466"/>
    </row>
    <row r="1001" spans="109:182" customFormat="1" x14ac:dyDescent="0.25">
      <c r="DE1001" s="466"/>
      <c r="FZ1001" s="466"/>
    </row>
    <row r="1002" spans="109:182" customFormat="1" x14ac:dyDescent="0.25">
      <c r="DE1002" s="466"/>
      <c r="FZ1002" s="466"/>
    </row>
    <row r="1003" spans="109:182" customFormat="1" x14ac:dyDescent="0.25">
      <c r="DE1003" s="466"/>
      <c r="FZ1003" s="466"/>
    </row>
    <row r="1004" spans="109:182" customFormat="1" x14ac:dyDescent="0.25">
      <c r="DE1004" s="466"/>
      <c r="FZ1004" s="466"/>
    </row>
    <row r="1005" spans="109:182" customFormat="1" x14ac:dyDescent="0.25">
      <c r="DE1005" s="466"/>
      <c r="FZ1005" s="466"/>
    </row>
    <row r="1006" spans="109:182" customFormat="1" x14ac:dyDescent="0.25">
      <c r="DE1006" s="466"/>
      <c r="FZ1006" s="466"/>
    </row>
    <row r="1007" spans="109:182" customFormat="1" x14ac:dyDescent="0.25">
      <c r="DE1007" s="466"/>
      <c r="FZ1007" s="466"/>
    </row>
    <row r="1008" spans="109:182" customFormat="1" x14ac:dyDescent="0.25">
      <c r="DE1008" s="466"/>
      <c r="FZ1008" s="466"/>
    </row>
    <row r="1009" spans="109:182" customFormat="1" x14ac:dyDescent="0.25">
      <c r="DE1009" s="466"/>
      <c r="FZ1009" s="466"/>
    </row>
    <row r="1010" spans="109:182" customFormat="1" x14ac:dyDescent="0.25">
      <c r="DE1010" s="466"/>
      <c r="FZ1010" s="466"/>
    </row>
    <row r="1011" spans="109:182" customFormat="1" x14ac:dyDescent="0.25">
      <c r="DE1011" s="466"/>
      <c r="FZ1011" s="466"/>
    </row>
    <row r="1012" spans="109:182" customFormat="1" x14ac:dyDescent="0.25">
      <c r="DE1012" s="466"/>
      <c r="FZ1012" s="466"/>
    </row>
    <row r="1013" spans="109:182" customFormat="1" x14ac:dyDescent="0.25">
      <c r="DE1013" s="466"/>
      <c r="FZ1013" s="466"/>
    </row>
    <row r="1014" spans="109:182" customFormat="1" x14ac:dyDescent="0.25">
      <c r="DE1014" s="466"/>
      <c r="FZ1014" s="466"/>
    </row>
    <row r="1015" spans="109:182" customFormat="1" x14ac:dyDescent="0.25">
      <c r="DE1015" s="466"/>
      <c r="FZ1015" s="466"/>
    </row>
    <row r="1016" spans="109:182" customFormat="1" x14ac:dyDescent="0.25">
      <c r="DE1016" s="466"/>
      <c r="FZ1016" s="466"/>
    </row>
    <row r="1017" spans="109:182" customFormat="1" x14ac:dyDescent="0.25">
      <c r="DE1017" s="466"/>
      <c r="FZ1017" s="466"/>
    </row>
    <row r="1018" spans="109:182" customFormat="1" x14ac:dyDescent="0.25">
      <c r="DE1018" s="466"/>
      <c r="FZ1018" s="466"/>
    </row>
    <row r="1019" spans="109:182" customFormat="1" x14ac:dyDescent="0.25">
      <c r="DE1019" s="466"/>
      <c r="FZ1019" s="466"/>
    </row>
    <row r="1020" spans="109:182" customFormat="1" x14ac:dyDescent="0.25">
      <c r="DE1020" s="466"/>
      <c r="FZ1020" s="466"/>
    </row>
    <row r="1021" spans="109:182" customFormat="1" x14ac:dyDescent="0.25">
      <c r="DE1021" s="466"/>
      <c r="FZ1021" s="466"/>
    </row>
    <row r="1022" spans="109:182" customFormat="1" x14ac:dyDescent="0.25">
      <c r="DE1022" s="466"/>
      <c r="FZ1022" s="466"/>
    </row>
    <row r="1023" spans="109:182" customFormat="1" x14ac:dyDescent="0.25">
      <c r="DE1023" s="466"/>
      <c r="FZ1023" s="466"/>
    </row>
    <row r="1024" spans="109:182" customFormat="1" x14ac:dyDescent="0.25">
      <c r="DE1024" s="466"/>
      <c r="FZ1024" s="466"/>
    </row>
    <row r="1025" spans="109:182" customFormat="1" x14ac:dyDescent="0.25">
      <c r="DE1025" s="466"/>
      <c r="FZ1025" s="466"/>
    </row>
    <row r="1026" spans="109:182" customFormat="1" x14ac:dyDescent="0.25">
      <c r="DE1026" s="466"/>
      <c r="FZ1026" s="466"/>
    </row>
    <row r="1027" spans="109:182" customFormat="1" x14ac:dyDescent="0.25">
      <c r="DE1027" s="466"/>
      <c r="FZ1027" s="466"/>
    </row>
    <row r="1028" spans="109:182" customFormat="1" x14ac:dyDescent="0.25">
      <c r="DE1028" s="466"/>
      <c r="FZ1028" s="466"/>
    </row>
    <row r="1029" spans="109:182" customFormat="1" x14ac:dyDescent="0.25">
      <c r="DE1029" s="466"/>
      <c r="FZ1029" s="466"/>
    </row>
    <row r="1030" spans="109:182" customFormat="1" x14ac:dyDescent="0.25">
      <c r="DE1030" s="466"/>
      <c r="FZ1030" s="466"/>
    </row>
    <row r="1031" spans="109:182" customFormat="1" x14ac:dyDescent="0.25">
      <c r="DE1031" s="466"/>
      <c r="FZ1031" s="466"/>
    </row>
    <row r="1032" spans="109:182" customFormat="1" x14ac:dyDescent="0.25">
      <c r="DE1032" s="466"/>
      <c r="FZ1032" s="466"/>
    </row>
    <row r="1033" spans="109:182" customFormat="1" x14ac:dyDescent="0.25">
      <c r="DE1033" s="466"/>
      <c r="FZ1033" s="466"/>
    </row>
    <row r="1034" spans="109:182" customFormat="1" x14ac:dyDescent="0.25">
      <c r="DE1034" s="466"/>
      <c r="FZ1034" s="466"/>
    </row>
    <row r="1035" spans="109:182" customFormat="1" x14ac:dyDescent="0.25">
      <c r="DE1035" s="466"/>
      <c r="FZ1035" s="466"/>
    </row>
    <row r="1036" spans="109:182" customFormat="1" x14ac:dyDescent="0.25">
      <c r="DE1036" s="466"/>
      <c r="FZ1036" s="466"/>
    </row>
    <row r="1037" spans="109:182" customFormat="1" x14ac:dyDescent="0.25">
      <c r="DE1037" s="466"/>
      <c r="FZ1037" s="466"/>
    </row>
    <row r="1038" spans="109:182" customFormat="1" x14ac:dyDescent="0.25">
      <c r="DE1038" s="466"/>
      <c r="FZ1038" s="466"/>
    </row>
    <row r="1039" spans="109:182" customFormat="1" x14ac:dyDescent="0.25">
      <c r="DE1039" s="466"/>
      <c r="FZ1039" s="466"/>
    </row>
    <row r="1040" spans="109:182" customFormat="1" x14ac:dyDescent="0.25">
      <c r="DE1040" s="466"/>
      <c r="FZ1040" s="466"/>
    </row>
    <row r="1041" spans="109:182" customFormat="1" x14ac:dyDescent="0.25">
      <c r="DE1041" s="466"/>
      <c r="FZ1041" s="466"/>
    </row>
    <row r="1042" spans="109:182" customFormat="1" x14ac:dyDescent="0.25">
      <c r="DE1042" s="466"/>
      <c r="FZ1042" s="466"/>
    </row>
    <row r="1043" spans="109:182" customFormat="1" x14ac:dyDescent="0.25">
      <c r="DE1043" s="466"/>
      <c r="FZ1043" s="466"/>
    </row>
    <row r="1044" spans="109:182" customFormat="1" x14ac:dyDescent="0.25">
      <c r="DE1044" s="466"/>
      <c r="FZ1044" s="466"/>
    </row>
    <row r="1045" spans="109:182" customFormat="1" x14ac:dyDescent="0.25">
      <c r="DE1045" s="466"/>
      <c r="FZ1045" s="466"/>
    </row>
    <row r="1046" spans="109:182" customFormat="1" x14ac:dyDescent="0.25">
      <c r="DE1046" s="466"/>
      <c r="FZ1046" s="466"/>
    </row>
    <row r="1047" spans="109:182" customFormat="1" x14ac:dyDescent="0.25">
      <c r="DE1047" s="466"/>
      <c r="FZ1047" s="466"/>
    </row>
    <row r="1048" spans="109:182" customFormat="1" x14ac:dyDescent="0.25">
      <c r="DE1048" s="466"/>
      <c r="FZ1048" s="466"/>
    </row>
    <row r="1049" spans="109:182" customFormat="1" x14ac:dyDescent="0.25">
      <c r="DE1049" s="466"/>
      <c r="FZ1049" s="466"/>
    </row>
    <row r="1050" spans="109:182" customFormat="1" x14ac:dyDescent="0.25">
      <c r="DE1050" s="466"/>
      <c r="FZ1050" s="466"/>
    </row>
    <row r="1051" spans="109:182" customFormat="1" x14ac:dyDescent="0.25">
      <c r="DE1051" s="466"/>
      <c r="FZ1051" s="466"/>
    </row>
    <row r="1052" spans="109:182" customFormat="1" x14ac:dyDescent="0.25">
      <c r="DE1052" s="466"/>
      <c r="FZ1052" s="466"/>
    </row>
    <row r="1053" spans="109:182" customFormat="1" x14ac:dyDescent="0.25">
      <c r="DE1053" s="466"/>
      <c r="FZ1053" s="466"/>
    </row>
    <row r="1054" spans="109:182" customFormat="1" x14ac:dyDescent="0.25">
      <c r="DE1054" s="466"/>
      <c r="FZ1054" s="466"/>
    </row>
    <row r="1055" spans="109:182" customFormat="1" x14ac:dyDescent="0.25">
      <c r="DE1055" s="466"/>
      <c r="FZ1055" s="466"/>
    </row>
    <row r="1056" spans="109:182" customFormat="1" x14ac:dyDescent="0.25">
      <c r="DE1056" s="466"/>
      <c r="FZ1056" s="466"/>
    </row>
    <row r="1057" spans="109:182" customFormat="1" x14ac:dyDescent="0.25">
      <c r="DE1057" s="466"/>
      <c r="FZ1057" s="466"/>
    </row>
    <row r="1058" spans="109:182" customFormat="1" x14ac:dyDescent="0.25">
      <c r="DE1058" s="466"/>
      <c r="FZ1058" s="466"/>
    </row>
    <row r="1059" spans="109:182" customFormat="1" x14ac:dyDescent="0.25">
      <c r="DE1059" s="466"/>
      <c r="FZ1059" s="466"/>
    </row>
    <row r="1060" spans="109:182" customFormat="1" x14ac:dyDescent="0.25">
      <c r="DE1060" s="466"/>
      <c r="FZ1060" s="466"/>
    </row>
    <row r="1061" spans="109:182" customFormat="1" x14ac:dyDescent="0.25">
      <c r="DE1061" s="466"/>
      <c r="FZ1061" s="466"/>
    </row>
    <row r="1062" spans="109:182" customFormat="1" x14ac:dyDescent="0.25">
      <c r="DE1062" s="466"/>
      <c r="FZ1062" s="466"/>
    </row>
    <row r="1063" spans="109:182" customFormat="1" x14ac:dyDescent="0.25">
      <c r="DE1063" s="466"/>
      <c r="FZ1063" s="466"/>
    </row>
    <row r="1064" spans="109:182" customFormat="1" x14ac:dyDescent="0.25">
      <c r="DE1064" s="466"/>
      <c r="FZ1064" s="466"/>
    </row>
    <row r="1065" spans="109:182" customFormat="1" x14ac:dyDescent="0.25">
      <c r="DE1065" s="466"/>
      <c r="FZ1065" s="466"/>
    </row>
    <row r="1066" spans="109:182" customFormat="1" x14ac:dyDescent="0.25">
      <c r="DE1066" s="466"/>
      <c r="FZ1066" s="466"/>
    </row>
    <row r="1067" spans="109:182" customFormat="1" x14ac:dyDescent="0.25">
      <c r="DE1067" s="466"/>
      <c r="FZ1067" s="466"/>
    </row>
    <row r="1068" spans="109:182" customFormat="1" x14ac:dyDescent="0.25">
      <c r="DE1068" s="466"/>
      <c r="FZ1068" s="466"/>
    </row>
    <row r="1069" spans="109:182" customFormat="1" x14ac:dyDescent="0.25">
      <c r="DE1069" s="466"/>
      <c r="FZ1069" s="466"/>
    </row>
    <row r="1070" spans="109:182" customFormat="1" x14ac:dyDescent="0.25">
      <c r="DE1070" s="466"/>
      <c r="FZ1070" s="466"/>
    </row>
    <row r="1071" spans="109:182" customFormat="1" x14ac:dyDescent="0.25">
      <c r="DE1071" s="466"/>
      <c r="FZ1071" s="466"/>
    </row>
    <row r="1072" spans="109:182" customFormat="1" x14ac:dyDescent="0.25">
      <c r="DE1072" s="466"/>
      <c r="FZ1072" s="466"/>
    </row>
    <row r="1073" spans="109:182" customFormat="1" x14ac:dyDescent="0.25">
      <c r="DE1073" s="466"/>
      <c r="FZ1073" s="466"/>
    </row>
    <row r="1074" spans="109:182" customFormat="1" x14ac:dyDescent="0.25">
      <c r="DE1074" s="466"/>
      <c r="FZ1074" s="466"/>
    </row>
    <row r="1075" spans="109:182" customFormat="1" x14ac:dyDescent="0.25">
      <c r="DE1075" s="466"/>
      <c r="FZ1075" s="466"/>
    </row>
    <row r="1076" spans="109:182" customFormat="1" x14ac:dyDescent="0.25">
      <c r="DE1076" s="466"/>
      <c r="FZ1076" s="466"/>
    </row>
    <row r="1077" spans="109:182" customFormat="1" x14ac:dyDescent="0.25">
      <c r="DE1077" s="466"/>
      <c r="FZ1077" s="466"/>
    </row>
    <row r="1078" spans="109:182" customFormat="1" x14ac:dyDescent="0.25">
      <c r="DE1078" s="466"/>
      <c r="FZ1078" s="466"/>
    </row>
    <row r="1079" spans="109:182" customFormat="1" x14ac:dyDescent="0.25">
      <c r="DE1079" s="466"/>
      <c r="FZ1079" s="466"/>
    </row>
    <row r="1080" spans="109:182" customFormat="1" x14ac:dyDescent="0.25">
      <c r="DE1080" s="466"/>
      <c r="FZ1080" s="466"/>
    </row>
    <row r="1081" spans="109:182" customFormat="1" x14ac:dyDescent="0.25">
      <c r="DE1081" s="466"/>
      <c r="FZ1081" s="466"/>
    </row>
    <row r="1082" spans="109:182" customFormat="1" x14ac:dyDescent="0.25">
      <c r="DE1082" s="466"/>
      <c r="FZ1082" s="466"/>
    </row>
    <row r="1083" spans="109:182" customFormat="1" x14ac:dyDescent="0.25">
      <c r="DE1083" s="466"/>
      <c r="FZ1083" s="466"/>
    </row>
    <row r="1084" spans="109:182" customFormat="1" x14ac:dyDescent="0.25">
      <c r="DE1084" s="466"/>
      <c r="FZ1084" s="466"/>
    </row>
    <row r="1085" spans="109:182" customFormat="1" x14ac:dyDescent="0.25">
      <c r="DE1085" s="466"/>
      <c r="FZ1085" s="466"/>
    </row>
    <row r="1086" spans="109:182" customFormat="1" x14ac:dyDescent="0.25">
      <c r="DE1086" s="466"/>
      <c r="FZ1086" s="466"/>
    </row>
    <row r="1087" spans="109:182" customFormat="1" x14ac:dyDescent="0.25">
      <c r="DE1087" s="466"/>
      <c r="FZ1087" s="466"/>
    </row>
    <row r="1088" spans="109:182" customFormat="1" x14ac:dyDescent="0.25">
      <c r="DE1088" s="466"/>
      <c r="FZ1088" s="466"/>
    </row>
    <row r="1089" spans="109:182" customFormat="1" x14ac:dyDescent="0.25">
      <c r="DE1089" s="466"/>
      <c r="FZ1089" s="466"/>
    </row>
    <row r="1090" spans="109:182" customFormat="1" x14ac:dyDescent="0.25">
      <c r="DE1090" s="466"/>
      <c r="FZ1090" s="466"/>
    </row>
    <row r="1091" spans="109:182" customFormat="1" x14ac:dyDescent="0.25">
      <c r="DE1091" s="466"/>
      <c r="FZ1091" s="466"/>
    </row>
    <row r="1092" spans="109:182" customFormat="1" x14ac:dyDescent="0.25">
      <c r="DE1092" s="466"/>
      <c r="FZ1092" s="466"/>
    </row>
    <row r="1093" spans="109:182" customFormat="1" x14ac:dyDescent="0.25">
      <c r="DE1093" s="466"/>
      <c r="FZ1093" s="466"/>
    </row>
    <row r="1094" spans="109:182" customFormat="1" x14ac:dyDescent="0.25">
      <c r="DE1094" s="466"/>
      <c r="FZ1094" s="466"/>
    </row>
    <row r="1095" spans="109:182" customFormat="1" x14ac:dyDescent="0.25">
      <c r="DE1095" s="466"/>
      <c r="FZ1095" s="466"/>
    </row>
    <row r="1096" spans="109:182" customFormat="1" x14ac:dyDescent="0.25">
      <c r="DE1096" s="466"/>
      <c r="FZ1096" s="466"/>
    </row>
    <row r="1097" spans="109:182" customFormat="1" x14ac:dyDescent="0.25">
      <c r="DE1097" s="466"/>
      <c r="FZ1097" s="466"/>
    </row>
    <row r="1098" spans="109:182" customFormat="1" x14ac:dyDescent="0.25">
      <c r="DE1098" s="466"/>
      <c r="FZ1098" s="466"/>
    </row>
    <row r="1099" spans="109:182" customFormat="1" x14ac:dyDescent="0.25">
      <c r="DE1099" s="466"/>
      <c r="FZ1099" s="466"/>
    </row>
    <row r="1100" spans="109:182" customFormat="1" x14ac:dyDescent="0.25">
      <c r="DE1100" s="466"/>
      <c r="FZ1100" s="466"/>
    </row>
    <row r="1101" spans="109:182" customFormat="1" x14ac:dyDescent="0.25">
      <c r="DE1101" s="466"/>
      <c r="FZ1101" s="466"/>
    </row>
    <row r="1102" spans="109:182" customFormat="1" x14ac:dyDescent="0.25">
      <c r="DE1102" s="466"/>
      <c r="FZ1102" s="466"/>
    </row>
    <row r="1103" spans="109:182" customFormat="1" x14ac:dyDescent="0.25">
      <c r="DE1103" s="466"/>
      <c r="FZ1103" s="466"/>
    </row>
    <row r="1104" spans="109:182" customFormat="1" x14ac:dyDescent="0.25">
      <c r="DE1104" s="466"/>
      <c r="FZ1104" s="466"/>
    </row>
    <row r="1105" spans="109:182" customFormat="1" x14ac:dyDescent="0.25">
      <c r="DE1105" s="466"/>
      <c r="FZ1105" s="466"/>
    </row>
    <row r="1106" spans="109:182" customFormat="1" x14ac:dyDescent="0.25">
      <c r="DE1106" s="466"/>
      <c r="FZ1106" s="466"/>
    </row>
    <row r="1107" spans="109:182" customFormat="1" x14ac:dyDescent="0.25">
      <c r="DE1107" s="466"/>
      <c r="FZ1107" s="466"/>
    </row>
    <row r="1108" spans="109:182" customFormat="1" x14ac:dyDescent="0.25">
      <c r="DE1108" s="466"/>
      <c r="FZ1108" s="466"/>
    </row>
    <row r="1109" spans="109:182" customFormat="1" x14ac:dyDescent="0.25">
      <c r="DE1109" s="466"/>
      <c r="FZ1109" s="466"/>
    </row>
    <row r="1110" spans="109:182" customFormat="1" x14ac:dyDescent="0.25">
      <c r="DE1110" s="466"/>
      <c r="FZ1110" s="466"/>
    </row>
    <row r="1111" spans="109:182" customFormat="1" x14ac:dyDescent="0.25">
      <c r="DE1111" s="466"/>
      <c r="FZ1111" s="466"/>
    </row>
    <row r="1112" spans="109:182" customFormat="1" x14ac:dyDescent="0.25">
      <c r="DE1112" s="466"/>
      <c r="FZ1112" s="466"/>
    </row>
    <row r="1113" spans="109:182" customFormat="1" x14ac:dyDescent="0.25">
      <c r="DE1113" s="466"/>
      <c r="FZ1113" s="466"/>
    </row>
    <row r="1114" spans="109:182" customFormat="1" x14ac:dyDescent="0.25">
      <c r="DE1114" s="466"/>
      <c r="FZ1114" s="466"/>
    </row>
    <row r="1115" spans="109:182" customFormat="1" x14ac:dyDescent="0.25">
      <c r="DE1115" s="466"/>
      <c r="FZ1115" s="466"/>
    </row>
    <row r="1116" spans="109:182" customFormat="1" x14ac:dyDescent="0.25">
      <c r="DE1116" s="466"/>
      <c r="FZ1116" s="466"/>
    </row>
    <row r="1117" spans="109:182" customFormat="1" x14ac:dyDescent="0.25">
      <c r="DE1117" s="466"/>
      <c r="FZ1117" s="466"/>
    </row>
    <row r="1118" spans="109:182" customFormat="1" x14ac:dyDescent="0.25">
      <c r="DE1118" s="466"/>
      <c r="FZ1118" s="466"/>
    </row>
    <row r="1119" spans="109:182" customFormat="1" x14ac:dyDescent="0.25">
      <c r="DE1119" s="466"/>
      <c r="FZ1119" s="466"/>
    </row>
    <row r="1120" spans="109:182" customFormat="1" x14ac:dyDescent="0.25">
      <c r="DE1120" s="466"/>
      <c r="FZ1120" s="466"/>
    </row>
    <row r="1121" spans="109:182" customFormat="1" x14ac:dyDescent="0.25">
      <c r="DE1121" s="466"/>
      <c r="FZ1121" s="466"/>
    </row>
    <row r="1122" spans="109:182" customFormat="1" x14ac:dyDescent="0.25">
      <c r="DE1122" s="466"/>
      <c r="FZ1122" s="466"/>
    </row>
    <row r="1123" spans="109:182" customFormat="1" x14ac:dyDescent="0.25">
      <c r="DE1123" s="466"/>
      <c r="FZ1123" s="466"/>
    </row>
    <row r="1124" spans="109:182" customFormat="1" x14ac:dyDescent="0.25">
      <c r="DE1124" s="466"/>
      <c r="FZ1124" s="466"/>
    </row>
    <row r="1125" spans="109:182" customFormat="1" x14ac:dyDescent="0.25">
      <c r="DE1125" s="466"/>
      <c r="FZ1125" s="466"/>
    </row>
    <row r="1126" spans="109:182" customFormat="1" x14ac:dyDescent="0.25">
      <c r="DE1126" s="466"/>
      <c r="FZ1126" s="466"/>
    </row>
    <row r="1127" spans="109:182" customFormat="1" x14ac:dyDescent="0.25">
      <c r="DE1127" s="466"/>
      <c r="FZ1127" s="466"/>
    </row>
    <row r="1128" spans="109:182" customFormat="1" x14ac:dyDescent="0.25">
      <c r="DE1128" s="466"/>
      <c r="FZ1128" s="466"/>
    </row>
    <row r="1129" spans="109:182" customFormat="1" x14ac:dyDescent="0.25">
      <c r="DE1129" s="466"/>
      <c r="FZ1129" s="466"/>
    </row>
    <row r="1130" spans="109:182" customFormat="1" x14ac:dyDescent="0.25">
      <c r="DE1130" s="466"/>
      <c r="FZ1130" s="466"/>
    </row>
    <row r="1131" spans="109:182" customFormat="1" x14ac:dyDescent="0.25">
      <c r="DE1131" s="466"/>
      <c r="FZ1131" s="466"/>
    </row>
    <row r="1132" spans="109:182" customFormat="1" x14ac:dyDescent="0.25">
      <c r="DE1132" s="466"/>
      <c r="FZ1132" s="466"/>
    </row>
    <row r="1133" spans="109:182" customFormat="1" x14ac:dyDescent="0.25">
      <c r="DE1133" s="466"/>
      <c r="FZ1133" s="466"/>
    </row>
    <row r="1134" spans="109:182" customFormat="1" x14ac:dyDescent="0.25">
      <c r="DE1134" s="466"/>
      <c r="FZ1134" s="466"/>
    </row>
    <row r="1135" spans="109:182" customFormat="1" x14ac:dyDescent="0.25">
      <c r="DE1135" s="466"/>
      <c r="FZ1135" s="466"/>
    </row>
    <row r="1136" spans="109:182" customFormat="1" x14ac:dyDescent="0.25">
      <c r="DE1136" s="466"/>
      <c r="FZ1136" s="466"/>
    </row>
    <row r="1137" spans="109:182" customFormat="1" x14ac:dyDescent="0.25">
      <c r="DE1137" s="466"/>
      <c r="FZ1137" s="466"/>
    </row>
    <row r="1138" spans="109:182" customFormat="1" x14ac:dyDescent="0.25">
      <c r="DE1138" s="466"/>
      <c r="FZ1138" s="466"/>
    </row>
    <row r="1139" spans="109:182" customFormat="1" x14ac:dyDescent="0.25">
      <c r="DE1139" s="466"/>
      <c r="FZ1139" s="466"/>
    </row>
    <row r="1140" spans="109:182" customFormat="1" x14ac:dyDescent="0.25">
      <c r="DE1140" s="466"/>
      <c r="FZ1140" s="466"/>
    </row>
    <row r="1141" spans="109:182" customFormat="1" x14ac:dyDescent="0.25">
      <c r="DE1141" s="466"/>
      <c r="FZ1141" s="466"/>
    </row>
    <row r="1142" spans="109:182" customFormat="1" x14ac:dyDescent="0.25">
      <c r="DE1142" s="466"/>
      <c r="FZ1142" s="466"/>
    </row>
    <row r="1143" spans="109:182" customFormat="1" x14ac:dyDescent="0.25">
      <c r="DE1143" s="466"/>
      <c r="FZ1143" s="466"/>
    </row>
    <row r="1144" spans="109:182" customFormat="1" x14ac:dyDescent="0.25">
      <c r="DE1144" s="466"/>
      <c r="FZ1144" s="466"/>
    </row>
    <row r="1145" spans="109:182" customFormat="1" x14ac:dyDescent="0.25">
      <c r="DE1145" s="466"/>
      <c r="FZ1145" s="466"/>
    </row>
    <row r="1146" spans="109:182" customFormat="1" x14ac:dyDescent="0.25">
      <c r="DE1146" s="466"/>
      <c r="FZ1146" s="466"/>
    </row>
    <row r="1147" spans="109:182" customFormat="1" x14ac:dyDescent="0.25">
      <c r="DE1147" s="466"/>
      <c r="FZ1147" s="466"/>
    </row>
    <row r="1148" spans="109:182" customFormat="1" x14ac:dyDescent="0.25">
      <c r="DE1148" s="466"/>
      <c r="FZ1148" s="466"/>
    </row>
    <row r="1149" spans="109:182" customFormat="1" x14ac:dyDescent="0.25">
      <c r="DE1149" s="466"/>
      <c r="FZ1149" s="466"/>
    </row>
    <row r="1150" spans="109:182" customFormat="1" x14ac:dyDescent="0.25">
      <c r="DE1150" s="466"/>
      <c r="FZ1150" s="466"/>
    </row>
    <row r="1151" spans="109:182" customFormat="1" x14ac:dyDescent="0.25">
      <c r="DE1151" s="466"/>
      <c r="FZ1151" s="466"/>
    </row>
    <row r="1152" spans="109:182" customFormat="1" x14ac:dyDescent="0.25">
      <c r="DE1152" s="466"/>
      <c r="FZ1152" s="466"/>
    </row>
    <row r="1153" spans="109:182" customFormat="1" x14ac:dyDescent="0.25">
      <c r="DE1153" s="466"/>
      <c r="FZ1153" s="466"/>
    </row>
    <row r="1154" spans="109:182" customFormat="1" x14ac:dyDescent="0.25">
      <c r="DE1154" s="466"/>
      <c r="FZ1154" s="466"/>
    </row>
    <row r="1155" spans="109:182" customFormat="1" x14ac:dyDescent="0.25">
      <c r="DE1155" s="466"/>
      <c r="FZ1155" s="466"/>
    </row>
    <row r="1156" spans="109:182" customFormat="1" x14ac:dyDescent="0.25">
      <c r="DE1156" s="466"/>
      <c r="FZ1156" s="466"/>
    </row>
    <row r="1157" spans="109:182" customFormat="1" x14ac:dyDescent="0.25">
      <c r="DE1157" s="466"/>
      <c r="FZ1157" s="466"/>
    </row>
    <row r="1158" spans="109:182" customFormat="1" x14ac:dyDescent="0.25">
      <c r="DE1158" s="466"/>
      <c r="FZ1158" s="466"/>
    </row>
    <row r="1159" spans="109:182" customFormat="1" x14ac:dyDescent="0.25">
      <c r="DE1159" s="466"/>
      <c r="FZ1159" s="466"/>
    </row>
    <row r="1160" spans="109:182" customFormat="1" x14ac:dyDescent="0.25">
      <c r="DE1160" s="466"/>
      <c r="FZ1160" s="466"/>
    </row>
    <row r="1161" spans="109:182" customFormat="1" x14ac:dyDescent="0.25">
      <c r="DE1161" s="466"/>
      <c r="FZ1161" s="466"/>
    </row>
    <row r="1162" spans="109:182" customFormat="1" x14ac:dyDescent="0.25">
      <c r="DE1162" s="466"/>
      <c r="FZ1162" s="466"/>
    </row>
    <row r="1163" spans="109:182" customFormat="1" x14ac:dyDescent="0.25">
      <c r="DE1163" s="466"/>
      <c r="FZ1163" s="466"/>
    </row>
    <row r="1164" spans="109:182" customFormat="1" x14ac:dyDescent="0.25">
      <c r="DE1164" s="466"/>
      <c r="FZ1164" s="466"/>
    </row>
    <row r="1165" spans="109:182" customFormat="1" x14ac:dyDescent="0.25">
      <c r="DE1165" s="466"/>
      <c r="FZ1165" s="466"/>
    </row>
    <row r="1166" spans="109:182" customFormat="1" x14ac:dyDescent="0.25">
      <c r="DE1166" s="466"/>
      <c r="FZ1166" s="466"/>
    </row>
    <row r="1167" spans="109:182" customFormat="1" x14ac:dyDescent="0.25">
      <c r="DE1167" s="466"/>
      <c r="FZ1167" s="466"/>
    </row>
    <row r="1168" spans="109:182" customFormat="1" x14ac:dyDescent="0.25">
      <c r="DE1168" s="466"/>
      <c r="FZ1168" s="466"/>
    </row>
    <row r="1169" spans="109:182" customFormat="1" x14ac:dyDescent="0.25">
      <c r="DE1169" s="466"/>
      <c r="FZ1169" s="466"/>
    </row>
    <row r="1170" spans="109:182" customFormat="1" x14ac:dyDescent="0.25">
      <c r="DE1170" s="466"/>
      <c r="FZ1170" s="466"/>
    </row>
    <row r="1171" spans="109:182" customFormat="1" x14ac:dyDescent="0.25">
      <c r="DE1171" s="466"/>
      <c r="FZ1171" s="466"/>
    </row>
    <row r="1172" spans="109:182" customFormat="1" x14ac:dyDescent="0.25">
      <c r="DE1172" s="466"/>
      <c r="FZ1172" s="466"/>
    </row>
    <row r="1173" spans="109:182" customFormat="1" x14ac:dyDescent="0.25">
      <c r="DE1173" s="466"/>
      <c r="FZ1173" s="466"/>
    </row>
    <row r="1174" spans="109:182" customFormat="1" x14ac:dyDescent="0.25">
      <c r="DE1174" s="466"/>
      <c r="FZ1174" s="466"/>
    </row>
    <row r="1175" spans="109:182" customFormat="1" x14ac:dyDescent="0.25">
      <c r="DE1175" s="466"/>
      <c r="FZ1175" s="466"/>
    </row>
    <row r="1176" spans="109:182" customFormat="1" x14ac:dyDescent="0.25">
      <c r="DE1176" s="466"/>
      <c r="FZ1176" s="466"/>
    </row>
    <row r="1177" spans="109:182" customFormat="1" x14ac:dyDescent="0.25">
      <c r="DE1177" s="466"/>
      <c r="FZ1177" s="466"/>
    </row>
    <row r="1178" spans="109:182" customFormat="1" x14ac:dyDescent="0.25">
      <c r="DE1178" s="466"/>
      <c r="FZ1178" s="466"/>
    </row>
    <row r="1179" spans="109:182" customFormat="1" x14ac:dyDescent="0.25">
      <c r="DE1179" s="466"/>
      <c r="FZ1179" s="466"/>
    </row>
    <row r="1180" spans="109:182" customFormat="1" x14ac:dyDescent="0.25">
      <c r="DE1180" s="466"/>
      <c r="FZ1180" s="466"/>
    </row>
    <row r="1181" spans="109:182" customFormat="1" x14ac:dyDescent="0.25">
      <c r="DE1181" s="466"/>
      <c r="FZ1181" s="466"/>
    </row>
    <row r="1182" spans="109:182" customFormat="1" x14ac:dyDescent="0.25">
      <c r="DE1182" s="466"/>
      <c r="FZ1182" s="466"/>
    </row>
    <row r="1183" spans="109:182" customFormat="1" x14ac:dyDescent="0.25">
      <c r="DE1183" s="466"/>
      <c r="FZ1183" s="466"/>
    </row>
    <row r="1184" spans="109:182" customFormat="1" x14ac:dyDescent="0.25">
      <c r="DE1184" s="466"/>
      <c r="FZ1184" s="466"/>
    </row>
    <row r="1185" spans="109:182" customFormat="1" x14ac:dyDescent="0.25">
      <c r="DE1185" s="466"/>
      <c r="FZ1185" s="466"/>
    </row>
    <row r="1186" spans="109:182" customFormat="1" x14ac:dyDescent="0.25">
      <c r="DE1186" s="466"/>
      <c r="FZ1186" s="466"/>
    </row>
    <row r="1187" spans="109:182" customFormat="1" x14ac:dyDescent="0.25">
      <c r="DE1187" s="466"/>
      <c r="FZ1187" s="466"/>
    </row>
    <row r="1188" spans="109:182" customFormat="1" x14ac:dyDescent="0.25">
      <c r="DE1188" s="466"/>
      <c r="FZ1188" s="466"/>
    </row>
    <row r="1189" spans="109:182" customFormat="1" x14ac:dyDescent="0.25">
      <c r="DE1189" s="466"/>
      <c r="FZ1189" s="466"/>
    </row>
    <row r="1190" spans="109:182" customFormat="1" x14ac:dyDescent="0.25">
      <c r="DE1190" s="466"/>
      <c r="FZ1190" s="466"/>
    </row>
    <row r="1191" spans="109:182" customFormat="1" x14ac:dyDescent="0.25">
      <c r="DE1191" s="466"/>
      <c r="FZ1191" s="466"/>
    </row>
    <row r="1192" spans="109:182" customFormat="1" x14ac:dyDescent="0.25">
      <c r="DE1192" s="466"/>
      <c r="FZ1192" s="466"/>
    </row>
    <row r="1193" spans="109:182" customFormat="1" x14ac:dyDescent="0.25">
      <c r="DE1193" s="466"/>
      <c r="FZ1193" s="466"/>
    </row>
    <row r="1194" spans="109:182" customFormat="1" x14ac:dyDescent="0.25">
      <c r="DE1194" s="466"/>
      <c r="FZ1194" s="466"/>
    </row>
    <row r="1195" spans="109:182" customFormat="1" x14ac:dyDescent="0.25">
      <c r="DE1195" s="466"/>
      <c r="FZ1195" s="466"/>
    </row>
    <row r="1196" spans="109:182" customFormat="1" x14ac:dyDescent="0.25">
      <c r="DE1196" s="466"/>
      <c r="FZ1196" s="466"/>
    </row>
    <row r="1197" spans="109:182" customFormat="1" x14ac:dyDescent="0.25">
      <c r="DE1197" s="466"/>
      <c r="FZ1197" s="466"/>
    </row>
    <row r="1198" spans="109:182" customFormat="1" x14ac:dyDescent="0.25">
      <c r="DE1198" s="466"/>
      <c r="FZ1198" s="466"/>
    </row>
    <row r="1199" spans="109:182" customFormat="1" x14ac:dyDescent="0.25">
      <c r="DE1199" s="466"/>
      <c r="FZ1199" s="466"/>
    </row>
    <row r="1200" spans="109:182" customFormat="1" x14ac:dyDescent="0.25">
      <c r="DE1200" s="466"/>
      <c r="FZ1200" s="466"/>
    </row>
    <row r="1201" spans="109:182" customFormat="1" x14ac:dyDescent="0.25">
      <c r="DE1201" s="466"/>
      <c r="FZ1201" s="466"/>
    </row>
    <row r="1202" spans="109:182" customFormat="1" x14ac:dyDescent="0.25">
      <c r="DE1202" s="466"/>
      <c r="FZ1202" s="466"/>
    </row>
    <row r="1203" spans="109:182" customFormat="1" x14ac:dyDescent="0.25">
      <c r="DE1203" s="466"/>
      <c r="FZ1203" s="466"/>
    </row>
    <row r="1204" spans="109:182" customFormat="1" x14ac:dyDescent="0.25">
      <c r="DE1204" s="466"/>
      <c r="FZ1204" s="466"/>
    </row>
    <row r="1205" spans="109:182" customFormat="1" x14ac:dyDescent="0.25">
      <c r="DE1205" s="466"/>
      <c r="FZ1205" s="466"/>
    </row>
    <row r="1206" spans="109:182" customFormat="1" x14ac:dyDescent="0.25">
      <c r="DE1206" s="466"/>
      <c r="FZ1206" s="466"/>
    </row>
    <row r="1207" spans="109:182" customFormat="1" x14ac:dyDescent="0.25">
      <c r="DE1207" s="466"/>
      <c r="FZ1207" s="466"/>
    </row>
    <row r="1208" spans="109:182" customFormat="1" x14ac:dyDescent="0.25">
      <c r="DE1208" s="466"/>
      <c r="FZ1208" s="466"/>
    </row>
    <row r="1209" spans="109:182" customFormat="1" x14ac:dyDescent="0.25">
      <c r="DE1209" s="466"/>
      <c r="FZ1209" s="466"/>
    </row>
    <row r="1210" spans="109:182" customFormat="1" x14ac:dyDescent="0.25">
      <c r="DE1210" s="466"/>
      <c r="FZ1210" s="466"/>
    </row>
    <row r="1211" spans="109:182" customFormat="1" x14ac:dyDescent="0.25">
      <c r="DE1211" s="466"/>
      <c r="FZ1211" s="466"/>
    </row>
    <row r="1212" spans="109:182" customFormat="1" x14ac:dyDescent="0.25">
      <c r="DE1212" s="466"/>
      <c r="FZ1212" s="466"/>
    </row>
    <row r="1213" spans="109:182" customFormat="1" x14ac:dyDescent="0.25">
      <c r="DE1213" s="466"/>
      <c r="FZ1213" s="466"/>
    </row>
    <row r="1214" spans="109:182" customFormat="1" x14ac:dyDescent="0.25">
      <c r="DE1214" s="466"/>
      <c r="FZ1214" s="466"/>
    </row>
    <row r="1215" spans="109:182" customFormat="1" x14ac:dyDescent="0.25">
      <c r="DE1215" s="466"/>
      <c r="FZ1215" s="466"/>
    </row>
    <row r="1216" spans="109:182" customFormat="1" x14ac:dyDescent="0.25">
      <c r="DE1216" s="466"/>
      <c r="FZ1216" s="466"/>
    </row>
    <row r="1217" spans="109:182" customFormat="1" x14ac:dyDescent="0.25">
      <c r="DE1217" s="466"/>
      <c r="FZ1217" s="466"/>
    </row>
    <row r="1218" spans="109:182" customFormat="1" x14ac:dyDescent="0.25">
      <c r="DE1218" s="466"/>
      <c r="FZ1218" s="466"/>
    </row>
    <row r="1219" spans="109:182" customFormat="1" x14ac:dyDescent="0.25">
      <c r="DE1219" s="466"/>
      <c r="FZ1219" s="466"/>
    </row>
    <row r="1220" spans="109:182" customFormat="1" x14ac:dyDescent="0.25">
      <c r="DE1220" s="466"/>
      <c r="FZ1220" s="466"/>
    </row>
    <row r="1221" spans="109:182" customFormat="1" x14ac:dyDescent="0.25">
      <c r="DE1221" s="466"/>
      <c r="FZ1221" s="466"/>
    </row>
    <row r="1222" spans="109:182" customFormat="1" x14ac:dyDescent="0.25">
      <c r="DE1222" s="466"/>
      <c r="FZ1222" s="466"/>
    </row>
    <row r="1223" spans="109:182" customFormat="1" x14ac:dyDescent="0.25">
      <c r="DE1223" s="466"/>
      <c r="FZ1223" s="466"/>
    </row>
    <row r="1224" spans="109:182" customFormat="1" x14ac:dyDescent="0.25">
      <c r="DE1224" s="466"/>
      <c r="FZ1224" s="466"/>
    </row>
    <row r="1225" spans="109:182" customFormat="1" x14ac:dyDescent="0.25">
      <c r="DE1225" s="466"/>
      <c r="FZ1225" s="466"/>
    </row>
    <row r="1226" spans="109:182" customFormat="1" x14ac:dyDescent="0.25">
      <c r="DE1226" s="466"/>
      <c r="FZ1226" s="466"/>
    </row>
    <row r="1227" spans="109:182" customFormat="1" x14ac:dyDescent="0.25">
      <c r="DE1227" s="466"/>
      <c r="FZ1227" s="466"/>
    </row>
    <row r="1228" spans="109:182" customFormat="1" x14ac:dyDescent="0.25">
      <c r="DE1228" s="466"/>
      <c r="FZ1228" s="466"/>
    </row>
    <row r="1229" spans="109:182" customFormat="1" x14ac:dyDescent="0.25">
      <c r="DE1229" s="466"/>
      <c r="FZ1229" s="466"/>
    </row>
    <row r="1230" spans="109:182" customFormat="1" x14ac:dyDescent="0.25">
      <c r="DE1230" s="466"/>
      <c r="FZ1230" s="466"/>
    </row>
    <row r="1231" spans="109:182" customFormat="1" x14ac:dyDescent="0.25">
      <c r="DE1231" s="466"/>
      <c r="FZ1231" s="466"/>
    </row>
    <row r="1232" spans="109:182" customFormat="1" x14ac:dyDescent="0.25">
      <c r="DE1232" s="466"/>
      <c r="FZ1232" s="466"/>
    </row>
    <row r="1233" spans="109:182" customFormat="1" x14ac:dyDescent="0.25">
      <c r="DE1233" s="466"/>
      <c r="FZ1233" s="466"/>
    </row>
    <row r="1234" spans="109:182" customFormat="1" x14ac:dyDescent="0.25">
      <c r="DE1234" s="466"/>
      <c r="FZ1234" s="466"/>
    </row>
    <row r="1235" spans="109:182" customFormat="1" x14ac:dyDescent="0.25">
      <c r="DE1235" s="466"/>
      <c r="FZ1235" s="466"/>
    </row>
    <row r="1236" spans="109:182" customFormat="1" x14ac:dyDescent="0.25">
      <c r="DE1236" s="466"/>
      <c r="FZ1236" s="466"/>
    </row>
    <row r="1237" spans="109:182" customFormat="1" x14ac:dyDescent="0.25">
      <c r="DE1237" s="466"/>
      <c r="FZ1237" s="466"/>
    </row>
    <row r="1238" spans="109:182" customFormat="1" x14ac:dyDescent="0.25">
      <c r="DE1238" s="466"/>
      <c r="FZ1238" s="466"/>
    </row>
    <row r="1239" spans="109:182" customFormat="1" x14ac:dyDescent="0.25">
      <c r="DE1239" s="466"/>
      <c r="FZ1239" s="466"/>
    </row>
    <row r="1240" spans="109:182" customFormat="1" x14ac:dyDescent="0.25">
      <c r="DE1240" s="466"/>
      <c r="FZ1240" s="466"/>
    </row>
    <row r="1241" spans="109:182" customFormat="1" x14ac:dyDescent="0.25">
      <c r="DE1241" s="466"/>
      <c r="FZ1241" s="466"/>
    </row>
    <row r="1242" spans="109:182" customFormat="1" x14ac:dyDescent="0.25">
      <c r="DE1242" s="466"/>
      <c r="FZ1242" s="466"/>
    </row>
    <row r="1243" spans="109:182" customFormat="1" x14ac:dyDescent="0.25">
      <c r="DE1243" s="466"/>
      <c r="FZ1243" s="466"/>
    </row>
    <row r="1244" spans="109:182" customFormat="1" x14ac:dyDescent="0.25">
      <c r="DE1244" s="466"/>
      <c r="FZ1244" s="466"/>
    </row>
    <row r="1245" spans="109:182" customFormat="1" x14ac:dyDescent="0.25">
      <c r="DE1245" s="466"/>
      <c r="FZ1245" s="466"/>
    </row>
    <row r="1246" spans="109:182" customFormat="1" x14ac:dyDescent="0.25">
      <c r="DE1246" s="466"/>
      <c r="FZ1246" s="466"/>
    </row>
    <row r="1247" spans="109:182" customFormat="1" x14ac:dyDescent="0.25">
      <c r="DE1247" s="466"/>
      <c r="FZ1247" s="466"/>
    </row>
    <row r="1248" spans="109:182" customFormat="1" x14ac:dyDescent="0.25">
      <c r="DE1248" s="466"/>
      <c r="FZ1248" s="466"/>
    </row>
    <row r="1249" spans="109:182" customFormat="1" x14ac:dyDescent="0.25">
      <c r="DE1249" s="466"/>
      <c r="FZ1249" s="466"/>
    </row>
    <row r="1250" spans="109:182" customFormat="1" x14ac:dyDescent="0.25">
      <c r="DE1250" s="466"/>
      <c r="FZ1250" s="466"/>
    </row>
    <row r="1251" spans="109:182" customFormat="1" x14ac:dyDescent="0.25">
      <c r="DE1251" s="466"/>
      <c r="FZ1251" s="466"/>
    </row>
    <row r="1252" spans="109:182" customFormat="1" x14ac:dyDescent="0.25">
      <c r="DE1252" s="466"/>
      <c r="FZ1252" s="466"/>
    </row>
    <row r="1253" spans="109:182" customFormat="1" x14ac:dyDescent="0.25">
      <c r="DE1253" s="466"/>
      <c r="FZ1253" s="466"/>
    </row>
    <row r="1254" spans="109:182" customFormat="1" x14ac:dyDescent="0.25">
      <c r="DE1254" s="466"/>
      <c r="FZ1254" s="466"/>
    </row>
    <row r="1255" spans="109:182" customFormat="1" x14ac:dyDescent="0.25">
      <c r="DE1255" s="466"/>
      <c r="FZ1255" s="466"/>
    </row>
    <row r="1256" spans="109:182" customFormat="1" x14ac:dyDescent="0.25">
      <c r="DE1256" s="466"/>
      <c r="FZ1256" s="466"/>
    </row>
    <row r="1257" spans="109:182" customFormat="1" x14ac:dyDescent="0.25">
      <c r="DE1257" s="466"/>
      <c r="FZ1257" s="466"/>
    </row>
    <row r="1258" spans="109:182" customFormat="1" x14ac:dyDescent="0.25">
      <c r="DE1258" s="466"/>
      <c r="FZ1258" s="466"/>
    </row>
    <row r="1259" spans="109:182" customFormat="1" x14ac:dyDescent="0.25">
      <c r="DE1259" s="466"/>
      <c r="FZ1259" s="466"/>
    </row>
    <row r="1260" spans="109:182" customFormat="1" x14ac:dyDescent="0.25">
      <c r="DE1260" s="466"/>
      <c r="FZ1260" s="466"/>
    </row>
    <row r="1261" spans="109:182" customFormat="1" x14ac:dyDescent="0.25">
      <c r="DE1261" s="466"/>
      <c r="FZ1261" s="466"/>
    </row>
    <row r="1262" spans="109:182" customFormat="1" x14ac:dyDescent="0.25">
      <c r="DE1262" s="466"/>
      <c r="FZ1262" s="466"/>
    </row>
    <row r="1263" spans="109:182" customFormat="1" x14ac:dyDescent="0.25">
      <c r="DE1263" s="466"/>
      <c r="FZ1263" s="466"/>
    </row>
    <row r="1264" spans="109:182" customFormat="1" x14ac:dyDescent="0.25">
      <c r="DE1264" s="466"/>
      <c r="FZ1264" s="466"/>
    </row>
    <row r="1265" spans="109:182" customFormat="1" x14ac:dyDescent="0.25">
      <c r="DE1265" s="466"/>
      <c r="FZ1265" s="466"/>
    </row>
    <row r="1266" spans="109:182" customFormat="1" x14ac:dyDescent="0.25">
      <c r="DE1266" s="466"/>
      <c r="FZ1266" s="466"/>
    </row>
    <row r="1267" spans="109:182" customFormat="1" x14ac:dyDescent="0.25">
      <c r="DE1267" s="466"/>
      <c r="FZ1267" s="466"/>
    </row>
    <row r="1268" spans="109:182" customFormat="1" x14ac:dyDescent="0.25">
      <c r="DE1268" s="466"/>
      <c r="FZ1268" s="466"/>
    </row>
    <row r="1269" spans="109:182" customFormat="1" x14ac:dyDescent="0.25">
      <c r="DE1269" s="466"/>
      <c r="FZ1269" s="466"/>
    </row>
    <row r="1270" spans="109:182" customFormat="1" x14ac:dyDescent="0.25">
      <c r="DE1270" s="466"/>
      <c r="FZ1270" s="466"/>
    </row>
    <row r="1271" spans="109:182" customFormat="1" x14ac:dyDescent="0.25">
      <c r="DE1271" s="466"/>
      <c r="FZ1271" s="466"/>
    </row>
    <row r="1272" spans="109:182" customFormat="1" x14ac:dyDescent="0.25">
      <c r="DE1272" s="466"/>
      <c r="FZ1272" s="466"/>
    </row>
    <row r="1273" spans="109:182" customFormat="1" x14ac:dyDescent="0.25">
      <c r="DE1273" s="466"/>
      <c r="FZ1273" s="466"/>
    </row>
    <row r="1274" spans="109:182" customFormat="1" x14ac:dyDescent="0.25">
      <c r="DE1274" s="466"/>
      <c r="FZ1274" s="466"/>
    </row>
    <row r="1275" spans="109:182" customFormat="1" x14ac:dyDescent="0.25">
      <c r="DE1275" s="466"/>
      <c r="FZ1275" s="466"/>
    </row>
    <row r="1276" spans="109:182" customFormat="1" x14ac:dyDescent="0.25">
      <c r="DE1276" s="466"/>
      <c r="FZ1276" s="466"/>
    </row>
    <row r="1277" spans="109:182" customFormat="1" x14ac:dyDescent="0.25">
      <c r="DE1277" s="466"/>
      <c r="FZ1277" s="466"/>
    </row>
    <row r="1278" spans="109:182" customFormat="1" x14ac:dyDescent="0.25">
      <c r="DE1278" s="466"/>
      <c r="FZ1278" s="466"/>
    </row>
    <row r="1279" spans="109:182" customFormat="1" x14ac:dyDescent="0.25">
      <c r="DE1279" s="466"/>
      <c r="FZ1279" s="466"/>
    </row>
    <row r="1280" spans="109:182" customFormat="1" x14ac:dyDescent="0.25">
      <c r="DE1280" s="466"/>
      <c r="FZ1280" s="466"/>
    </row>
    <row r="1281" spans="109:182" customFormat="1" x14ac:dyDescent="0.25">
      <c r="DE1281" s="466"/>
      <c r="FZ1281" s="466"/>
    </row>
    <row r="1282" spans="109:182" customFormat="1" x14ac:dyDescent="0.25">
      <c r="DE1282" s="466"/>
      <c r="FZ1282" s="466"/>
    </row>
    <row r="1283" spans="109:182" customFormat="1" x14ac:dyDescent="0.25">
      <c r="DE1283" s="466"/>
      <c r="FZ1283" s="466"/>
    </row>
    <row r="1284" spans="109:182" customFormat="1" x14ac:dyDescent="0.25">
      <c r="DE1284" s="466"/>
      <c r="FZ1284" s="466"/>
    </row>
    <row r="1285" spans="109:182" customFormat="1" x14ac:dyDescent="0.25">
      <c r="DE1285" s="466"/>
      <c r="FZ1285" s="466"/>
    </row>
    <row r="1286" spans="109:182" customFormat="1" x14ac:dyDescent="0.25">
      <c r="DE1286" s="466"/>
      <c r="FZ1286" s="466"/>
    </row>
    <row r="1287" spans="109:182" customFormat="1" x14ac:dyDescent="0.25">
      <c r="DE1287" s="466"/>
      <c r="FZ1287" s="466"/>
    </row>
    <row r="1288" spans="109:182" customFormat="1" x14ac:dyDescent="0.25">
      <c r="DE1288" s="466"/>
      <c r="FZ1288" s="466"/>
    </row>
    <row r="1289" spans="109:182" customFormat="1" x14ac:dyDescent="0.25">
      <c r="DE1289" s="466"/>
      <c r="FZ1289" s="466"/>
    </row>
    <row r="1290" spans="109:182" customFormat="1" x14ac:dyDescent="0.25">
      <c r="DE1290" s="466"/>
      <c r="FZ1290" s="466"/>
    </row>
    <row r="1291" spans="109:182" customFormat="1" x14ac:dyDescent="0.25">
      <c r="DE1291" s="466"/>
      <c r="FZ1291" s="466"/>
    </row>
    <row r="1292" spans="109:182" customFormat="1" x14ac:dyDescent="0.25">
      <c r="DE1292" s="466"/>
      <c r="FZ1292" s="466"/>
    </row>
    <row r="1293" spans="109:182" customFormat="1" x14ac:dyDescent="0.25">
      <c r="DE1293" s="466"/>
      <c r="FZ1293" s="466"/>
    </row>
    <row r="1294" spans="109:182" customFormat="1" x14ac:dyDescent="0.25">
      <c r="DE1294" s="466"/>
      <c r="FZ1294" s="466"/>
    </row>
    <row r="1295" spans="109:182" customFormat="1" x14ac:dyDescent="0.25">
      <c r="DE1295" s="466"/>
      <c r="FZ1295" s="466"/>
    </row>
    <row r="1296" spans="109:182" customFormat="1" x14ac:dyDescent="0.25">
      <c r="DE1296" s="466"/>
      <c r="FZ1296" s="466"/>
    </row>
    <row r="1297" spans="109:182" customFormat="1" x14ac:dyDescent="0.25">
      <c r="DE1297" s="466"/>
      <c r="FZ1297" s="466"/>
    </row>
    <row r="1298" spans="109:182" customFormat="1" x14ac:dyDescent="0.25">
      <c r="DE1298" s="466"/>
      <c r="FZ1298" s="466"/>
    </row>
    <row r="1299" spans="109:182" customFormat="1" x14ac:dyDescent="0.25">
      <c r="DE1299" s="466"/>
      <c r="FZ1299" s="466"/>
    </row>
    <row r="1300" spans="109:182" customFormat="1" x14ac:dyDescent="0.25">
      <c r="DE1300" s="466"/>
      <c r="FZ1300" s="466"/>
    </row>
    <row r="1301" spans="109:182" customFormat="1" x14ac:dyDescent="0.25">
      <c r="DE1301" s="466"/>
      <c r="FZ1301" s="466"/>
    </row>
    <row r="1302" spans="109:182" customFormat="1" x14ac:dyDescent="0.25">
      <c r="DE1302" s="466"/>
      <c r="FZ1302" s="466"/>
    </row>
    <row r="1303" spans="109:182" customFormat="1" x14ac:dyDescent="0.25">
      <c r="DE1303" s="466"/>
      <c r="FZ1303" s="466"/>
    </row>
    <row r="1304" spans="109:182" customFormat="1" x14ac:dyDescent="0.25">
      <c r="DE1304" s="466"/>
      <c r="FZ1304" s="466"/>
    </row>
    <row r="1305" spans="109:182" customFormat="1" x14ac:dyDescent="0.25">
      <c r="DE1305" s="466"/>
      <c r="FZ1305" s="466"/>
    </row>
    <row r="1306" spans="109:182" customFormat="1" x14ac:dyDescent="0.25">
      <c r="DE1306" s="466"/>
      <c r="FZ1306" s="466"/>
    </row>
    <row r="1307" spans="109:182" customFormat="1" x14ac:dyDescent="0.25">
      <c r="DE1307" s="466"/>
      <c r="FZ1307" s="466"/>
    </row>
    <row r="1308" spans="109:182" customFormat="1" x14ac:dyDescent="0.25">
      <c r="DE1308" s="466"/>
      <c r="FZ1308" s="466"/>
    </row>
    <row r="1309" spans="109:182" customFormat="1" x14ac:dyDescent="0.25">
      <c r="DE1309" s="466"/>
      <c r="FZ1309" s="466"/>
    </row>
    <row r="1310" spans="109:182" customFormat="1" x14ac:dyDescent="0.25">
      <c r="DE1310" s="466"/>
      <c r="FZ1310" s="466"/>
    </row>
    <row r="1311" spans="109:182" customFormat="1" x14ac:dyDescent="0.25">
      <c r="DE1311" s="466"/>
      <c r="FZ1311" s="466"/>
    </row>
    <row r="1312" spans="109:182" customFormat="1" x14ac:dyDescent="0.25">
      <c r="DE1312" s="466"/>
      <c r="FZ1312" s="466"/>
    </row>
    <row r="1313" spans="109:182" customFormat="1" x14ac:dyDescent="0.25">
      <c r="DE1313" s="466"/>
      <c r="FZ1313" s="466"/>
    </row>
    <row r="1314" spans="109:182" customFormat="1" x14ac:dyDescent="0.25">
      <c r="DE1314" s="466"/>
      <c r="FZ1314" s="466"/>
    </row>
    <row r="1315" spans="109:182" customFormat="1" x14ac:dyDescent="0.25">
      <c r="DE1315" s="466"/>
      <c r="FZ1315" s="466"/>
    </row>
    <row r="1316" spans="109:182" customFormat="1" x14ac:dyDescent="0.25">
      <c r="DE1316" s="466"/>
      <c r="FZ1316" s="466"/>
    </row>
    <row r="1317" spans="109:182" customFormat="1" x14ac:dyDescent="0.25">
      <c r="DE1317" s="466"/>
      <c r="FZ1317" s="466"/>
    </row>
    <row r="1318" spans="109:182" customFormat="1" x14ac:dyDescent="0.25">
      <c r="DE1318" s="466"/>
      <c r="FZ1318" s="466"/>
    </row>
    <row r="1319" spans="109:182" customFormat="1" x14ac:dyDescent="0.25">
      <c r="DE1319" s="466"/>
      <c r="FZ1319" s="466"/>
    </row>
    <row r="1320" spans="109:182" customFormat="1" x14ac:dyDescent="0.25">
      <c r="DE1320" s="466"/>
      <c r="FZ1320" s="466"/>
    </row>
    <row r="1321" spans="109:182" customFormat="1" x14ac:dyDescent="0.25">
      <c r="DE1321" s="466"/>
      <c r="FZ1321" s="466"/>
    </row>
    <row r="1322" spans="109:182" customFormat="1" x14ac:dyDescent="0.25">
      <c r="DE1322" s="466"/>
      <c r="FZ1322" s="466"/>
    </row>
    <row r="1323" spans="109:182" customFormat="1" x14ac:dyDescent="0.25">
      <c r="DE1323" s="466"/>
      <c r="FZ1323" s="466"/>
    </row>
    <row r="1324" spans="109:182" customFormat="1" x14ac:dyDescent="0.25">
      <c r="DE1324" s="466"/>
      <c r="FZ1324" s="466"/>
    </row>
    <row r="1325" spans="109:182" customFormat="1" x14ac:dyDescent="0.25">
      <c r="DE1325" s="466"/>
      <c r="FZ1325" s="466"/>
    </row>
    <row r="1326" spans="109:182" customFormat="1" x14ac:dyDescent="0.25">
      <c r="DE1326" s="466"/>
      <c r="FZ1326" s="466"/>
    </row>
    <row r="1327" spans="109:182" customFormat="1" x14ac:dyDescent="0.25">
      <c r="DE1327" s="466"/>
      <c r="FZ1327" s="466"/>
    </row>
    <row r="1328" spans="109:182" customFormat="1" x14ac:dyDescent="0.25">
      <c r="DE1328" s="466"/>
      <c r="FZ1328" s="466"/>
    </row>
    <row r="1329" spans="109:182" customFormat="1" x14ac:dyDescent="0.25">
      <c r="DE1329" s="466"/>
      <c r="FZ1329" s="466"/>
    </row>
    <row r="1330" spans="109:182" customFormat="1" x14ac:dyDescent="0.25">
      <c r="DE1330" s="466"/>
      <c r="FZ1330" s="466"/>
    </row>
    <row r="1331" spans="109:182" customFormat="1" x14ac:dyDescent="0.25">
      <c r="DE1331" s="466"/>
      <c r="FZ1331" s="466"/>
    </row>
    <row r="1332" spans="109:182" customFormat="1" x14ac:dyDescent="0.25">
      <c r="DE1332" s="466"/>
      <c r="FZ1332" s="466"/>
    </row>
    <row r="1333" spans="109:182" customFormat="1" x14ac:dyDescent="0.25">
      <c r="DE1333" s="466"/>
      <c r="FZ1333" s="466"/>
    </row>
    <row r="1334" spans="109:182" customFormat="1" x14ac:dyDescent="0.25">
      <c r="DE1334" s="466"/>
      <c r="FZ1334" s="466"/>
    </row>
    <row r="1335" spans="109:182" customFormat="1" x14ac:dyDescent="0.25">
      <c r="DE1335" s="466"/>
      <c r="FZ1335" s="466"/>
    </row>
    <row r="1336" spans="109:182" customFormat="1" x14ac:dyDescent="0.25">
      <c r="DE1336" s="466"/>
      <c r="FZ1336" s="466"/>
    </row>
    <row r="1337" spans="109:182" customFormat="1" x14ac:dyDescent="0.25">
      <c r="DE1337" s="466"/>
      <c r="FZ1337" s="466"/>
    </row>
    <row r="1338" spans="109:182" customFormat="1" x14ac:dyDescent="0.25">
      <c r="DE1338" s="466"/>
      <c r="FZ1338" s="466"/>
    </row>
    <row r="1339" spans="109:182" customFormat="1" x14ac:dyDescent="0.25">
      <c r="DE1339" s="466"/>
      <c r="FZ1339" s="466"/>
    </row>
    <row r="1340" spans="109:182" customFormat="1" x14ac:dyDescent="0.25">
      <c r="DE1340" s="466"/>
      <c r="FZ1340" s="466"/>
    </row>
    <row r="1341" spans="109:182" customFormat="1" x14ac:dyDescent="0.25">
      <c r="DE1341" s="466"/>
      <c r="FZ1341" s="466"/>
    </row>
    <row r="1342" spans="109:182" customFormat="1" x14ac:dyDescent="0.25">
      <c r="DE1342" s="466"/>
      <c r="FZ1342" s="466"/>
    </row>
    <row r="1343" spans="109:182" customFormat="1" x14ac:dyDescent="0.25">
      <c r="DE1343" s="466"/>
      <c r="FZ1343" s="466"/>
    </row>
    <row r="1344" spans="109:182" customFormat="1" x14ac:dyDescent="0.25">
      <c r="DE1344" s="466"/>
      <c r="FZ1344" s="466"/>
    </row>
    <row r="1345" spans="109:182" customFormat="1" x14ac:dyDescent="0.25">
      <c r="DE1345" s="466"/>
      <c r="FZ1345" s="466"/>
    </row>
    <row r="1346" spans="109:182" customFormat="1" x14ac:dyDescent="0.25">
      <c r="DE1346" s="466"/>
      <c r="FZ1346" s="466"/>
    </row>
    <row r="1347" spans="109:182" customFormat="1" x14ac:dyDescent="0.25">
      <c r="DE1347" s="466"/>
      <c r="FZ1347" s="466"/>
    </row>
    <row r="1348" spans="109:182" customFormat="1" x14ac:dyDescent="0.25">
      <c r="DE1348" s="466"/>
      <c r="FZ1348" s="466"/>
    </row>
    <row r="1349" spans="109:182" customFormat="1" x14ac:dyDescent="0.25">
      <c r="DE1349" s="466"/>
      <c r="FZ1349" s="466"/>
    </row>
    <row r="1350" spans="109:182" customFormat="1" x14ac:dyDescent="0.25">
      <c r="DE1350" s="466"/>
      <c r="FZ1350" s="466"/>
    </row>
    <row r="1351" spans="109:182" customFormat="1" x14ac:dyDescent="0.25">
      <c r="DE1351" s="466"/>
      <c r="FZ1351" s="466"/>
    </row>
    <row r="1352" spans="109:182" customFormat="1" x14ac:dyDescent="0.25">
      <c r="DE1352" s="466"/>
      <c r="FZ1352" s="466"/>
    </row>
    <row r="1353" spans="109:182" customFormat="1" x14ac:dyDescent="0.25">
      <c r="DE1353" s="466"/>
      <c r="FZ1353" s="466"/>
    </row>
    <row r="1354" spans="109:182" customFormat="1" x14ac:dyDescent="0.25">
      <c r="DE1354" s="466"/>
      <c r="FZ1354" s="466"/>
    </row>
    <row r="1355" spans="109:182" customFormat="1" x14ac:dyDescent="0.25">
      <c r="DE1355" s="466"/>
      <c r="FZ1355" s="466"/>
    </row>
    <row r="1356" spans="109:182" customFormat="1" x14ac:dyDescent="0.25">
      <c r="DE1356" s="466"/>
      <c r="FZ1356" s="466"/>
    </row>
    <row r="1357" spans="109:182" customFormat="1" x14ac:dyDescent="0.25">
      <c r="DE1357" s="466"/>
      <c r="FZ1357" s="466"/>
    </row>
    <row r="1358" spans="109:182" customFormat="1" x14ac:dyDescent="0.25">
      <c r="DE1358" s="466"/>
      <c r="FZ1358" s="466"/>
    </row>
    <row r="1359" spans="109:182" customFormat="1" x14ac:dyDescent="0.25">
      <c r="DE1359" s="466"/>
      <c r="FZ1359" s="466"/>
    </row>
    <row r="1360" spans="109:182" customFormat="1" x14ac:dyDescent="0.25">
      <c r="DE1360" s="466"/>
      <c r="FZ1360" s="466"/>
    </row>
    <row r="1361" spans="109:182" customFormat="1" x14ac:dyDescent="0.25">
      <c r="DE1361" s="466"/>
      <c r="FZ1361" s="466"/>
    </row>
    <row r="1362" spans="109:182" customFormat="1" x14ac:dyDescent="0.25">
      <c r="DE1362" s="466"/>
      <c r="FZ1362" s="466"/>
    </row>
    <row r="1363" spans="109:182" customFormat="1" x14ac:dyDescent="0.25">
      <c r="DE1363" s="466"/>
      <c r="FZ1363" s="466"/>
    </row>
    <row r="1364" spans="109:182" customFormat="1" x14ac:dyDescent="0.25">
      <c r="DE1364" s="466"/>
      <c r="FZ1364" s="466"/>
    </row>
    <row r="1365" spans="109:182" customFormat="1" x14ac:dyDescent="0.25">
      <c r="DE1365" s="466"/>
      <c r="FZ1365" s="466"/>
    </row>
    <row r="1366" spans="109:182" customFormat="1" x14ac:dyDescent="0.25">
      <c r="DE1366" s="466"/>
      <c r="FZ1366" s="466"/>
    </row>
    <row r="1367" spans="109:182" customFormat="1" x14ac:dyDescent="0.25">
      <c r="DE1367" s="466"/>
      <c r="FZ1367" s="466"/>
    </row>
    <row r="1368" spans="109:182" customFormat="1" x14ac:dyDescent="0.25">
      <c r="DE1368" s="466"/>
      <c r="FZ1368" s="466"/>
    </row>
    <row r="1369" spans="109:182" customFormat="1" x14ac:dyDescent="0.25">
      <c r="DE1369" s="466"/>
      <c r="FZ1369" s="466"/>
    </row>
    <row r="1370" spans="109:182" customFormat="1" x14ac:dyDescent="0.25">
      <c r="DE1370" s="466"/>
      <c r="FZ1370" s="466"/>
    </row>
    <row r="1371" spans="109:182" customFormat="1" x14ac:dyDescent="0.25">
      <c r="DE1371" s="466"/>
      <c r="FZ1371" s="466"/>
    </row>
    <row r="1372" spans="109:182" customFormat="1" x14ac:dyDescent="0.25">
      <c r="DE1372" s="466"/>
      <c r="FZ1372" s="466"/>
    </row>
    <row r="1373" spans="109:182" customFormat="1" x14ac:dyDescent="0.25">
      <c r="DE1373" s="466"/>
      <c r="FZ1373" s="466"/>
    </row>
    <row r="1374" spans="109:182" customFormat="1" x14ac:dyDescent="0.25">
      <c r="DE1374" s="466"/>
      <c r="FZ1374" s="466"/>
    </row>
    <row r="1375" spans="109:182" customFormat="1" x14ac:dyDescent="0.25">
      <c r="DE1375" s="466"/>
      <c r="FZ1375" s="466"/>
    </row>
    <row r="1376" spans="109:182" customFormat="1" x14ac:dyDescent="0.25">
      <c r="DE1376" s="466"/>
      <c r="FZ1376" s="466"/>
    </row>
    <row r="1377" spans="109:182" customFormat="1" x14ac:dyDescent="0.25">
      <c r="DE1377" s="466"/>
      <c r="FZ1377" s="466"/>
    </row>
    <row r="1378" spans="109:182" customFormat="1" x14ac:dyDescent="0.25">
      <c r="DE1378" s="466"/>
      <c r="FZ1378" s="466"/>
    </row>
    <row r="1379" spans="109:182" customFormat="1" x14ac:dyDescent="0.25">
      <c r="DE1379" s="466"/>
      <c r="FZ1379" s="466"/>
    </row>
    <row r="1380" spans="109:182" customFormat="1" x14ac:dyDescent="0.25">
      <c r="DE1380" s="466"/>
      <c r="FZ1380" s="466"/>
    </row>
    <row r="1381" spans="109:182" customFormat="1" x14ac:dyDescent="0.25">
      <c r="DE1381" s="466"/>
      <c r="FZ1381" s="466"/>
    </row>
    <row r="1382" spans="109:182" customFormat="1" x14ac:dyDescent="0.25">
      <c r="DE1382" s="466"/>
      <c r="FZ1382" s="466"/>
    </row>
    <row r="1383" spans="109:182" customFormat="1" x14ac:dyDescent="0.25">
      <c r="DE1383" s="466"/>
      <c r="FZ1383" s="466"/>
    </row>
    <row r="1384" spans="109:182" customFormat="1" x14ac:dyDescent="0.25">
      <c r="DE1384" s="466"/>
      <c r="FZ1384" s="466"/>
    </row>
    <row r="1385" spans="109:182" customFormat="1" x14ac:dyDescent="0.25">
      <c r="DE1385" s="466"/>
      <c r="FZ1385" s="466"/>
    </row>
    <row r="1386" spans="109:182" customFormat="1" x14ac:dyDescent="0.25">
      <c r="DE1386" s="466"/>
      <c r="FZ1386" s="466"/>
    </row>
    <row r="1387" spans="109:182" customFormat="1" x14ac:dyDescent="0.25">
      <c r="DE1387" s="466"/>
      <c r="FZ1387" s="466"/>
    </row>
    <row r="1388" spans="109:182" customFormat="1" x14ac:dyDescent="0.25">
      <c r="DE1388" s="466"/>
      <c r="FZ1388" s="466"/>
    </row>
    <row r="1389" spans="109:182" customFormat="1" x14ac:dyDescent="0.25">
      <c r="DE1389" s="466"/>
      <c r="FZ1389" s="466"/>
    </row>
    <row r="1390" spans="109:182" customFormat="1" x14ac:dyDescent="0.25">
      <c r="DE1390" s="466"/>
      <c r="FZ1390" s="466"/>
    </row>
    <row r="1391" spans="109:182" customFormat="1" x14ac:dyDescent="0.25">
      <c r="DE1391" s="466"/>
      <c r="FZ1391" s="466"/>
    </row>
    <row r="1392" spans="109:182" customFormat="1" x14ac:dyDescent="0.25">
      <c r="DE1392" s="466"/>
      <c r="FZ1392" s="466"/>
    </row>
    <row r="1393" spans="109:182" customFormat="1" x14ac:dyDescent="0.25">
      <c r="DE1393" s="466"/>
      <c r="FZ1393" s="466"/>
    </row>
    <row r="1394" spans="109:182" customFormat="1" x14ac:dyDescent="0.25">
      <c r="DE1394" s="466"/>
      <c r="FZ1394" s="466"/>
    </row>
    <row r="1395" spans="109:182" customFormat="1" x14ac:dyDescent="0.25">
      <c r="DE1395" s="466"/>
      <c r="FZ1395" s="466"/>
    </row>
    <row r="1396" spans="109:182" customFormat="1" x14ac:dyDescent="0.25">
      <c r="DE1396" s="466"/>
      <c r="FZ1396" s="466"/>
    </row>
    <row r="1397" spans="109:182" customFormat="1" x14ac:dyDescent="0.25">
      <c r="DE1397" s="466"/>
      <c r="FZ1397" s="466"/>
    </row>
    <row r="1398" spans="109:182" customFormat="1" x14ac:dyDescent="0.25">
      <c r="DE1398" s="466"/>
      <c r="FZ1398" s="466"/>
    </row>
    <row r="1399" spans="109:182" customFormat="1" x14ac:dyDescent="0.25">
      <c r="DE1399" s="466"/>
      <c r="FZ1399" s="466"/>
    </row>
    <row r="1400" spans="109:182" customFormat="1" x14ac:dyDescent="0.25">
      <c r="DE1400" s="466"/>
      <c r="FZ1400" s="466"/>
    </row>
    <row r="1401" spans="109:182" customFormat="1" x14ac:dyDescent="0.25">
      <c r="DE1401" s="466"/>
      <c r="FZ1401" s="466"/>
    </row>
    <row r="1402" spans="109:182" customFormat="1" x14ac:dyDescent="0.25">
      <c r="DE1402" s="466"/>
      <c r="FZ1402" s="466"/>
    </row>
    <row r="1403" spans="109:182" customFormat="1" x14ac:dyDescent="0.25">
      <c r="DE1403" s="466"/>
      <c r="FZ1403" s="466"/>
    </row>
    <row r="1404" spans="109:182" customFormat="1" x14ac:dyDescent="0.25">
      <c r="DE1404" s="466"/>
      <c r="FZ1404" s="466"/>
    </row>
    <row r="1405" spans="109:182" customFormat="1" x14ac:dyDescent="0.25">
      <c r="DE1405" s="466"/>
      <c r="FZ1405" s="466"/>
    </row>
    <row r="1406" spans="109:182" customFormat="1" x14ac:dyDescent="0.25">
      <c r="DE1406" s="466"/>
      <c r="FZ1406" s="466"/>
    </row>
    <row r="1407" spans="109:182" customFormat="1" x14ac:dyDescent="0.25">
      <c r="DE1407" s="466"/>
      <c r="FZ1407" s="466"/>
    </row>
    <row r="1408" spans="109:182" customFormat="1" x14ac:dyDescent="0.25">
      <c r="DE1408" s="466"/>
      <c r="FZ1408" s="466"/>
    </row>
    <row r="1409" spans="109:182" customFormat="1" x14ac:dyDescent="0.25">
      <c r="DE1409" s="466"/>
      <c r="FZ1409" s="466"/>
    </row>
    <row r="1410" spans="109:182" customFormat="1" x14ac:dyDescent="0.25">
      <c r="DE1410" s="466"/>
      <c r="FZ1410" s="466"/>
    </row>
    <row r="1411" spans="109:182" customFormat="1" x14ac:dyDescent="0.25">
      <c r="DE1411" s="466"/>
      <c r="FZ1411" s="466"/>
    </row>
    <row r="1412" spans="109:182" customFormat="1" x14ac:dyDescent="0.25">
      <c r="DE1412" s="466"/>
      <c r="FZ1412" s="466"/>
    </row>
    <row r="1413" spans="109:182" customFormat="1" x14ac:dyDescent="0.25">
      <c r="DE1413" s="466"/>
      <c r="FZ1413" s="466"/>
    </row>
    <row r="1414" spans="109:182" customFormat="1" x14ac:dyDescent="0.25">
      <c r="DE1414" s="466"/>
      <c r="FZ1414" s="466"/>
    </row>
    <row r="1415" spans="109:182" customFormat="1" x14ac:dyDescent="0.25">
      <c r="DE1415" s="466"/>
      <c r="FZ1415" s="466"/>
    </row>
    <row r="1416" spans="109:182" customFormat="1" x14ac:dyDescent="0.25">
      <c r="DE1416" s="466"/>
      <c r="FZ1416" s="466"/>
    </row>
    <row r="1417" spans="109:182" customFormat="1" x14ac:dyDescent="0.25">
      <c r="DE1417" s="466"/>
      <c r="FZ1417" s="466"/>
    </row>
    <row r="1418" spans="109:182" customFormat="1" x14ac:dyDescent="0.25">
      <c r="DE1418" s="466"/>
      <c r="FZ1418" s="466"/>
    </row>
    <row r="1419" spans="109:182" customFormat="1" x14ac:dyDescent="0.25">
      <c r="DE1419" s="466"/>
      <c r="FZ1419" s="466"/>
    </row>
    <row r="1420" spans="109:182" customFormat="1" x14ac:dyDescent="0.25">
      <c r="DE1420" s="466"/>
      <c r="FZ1420" s="466"/>
    </row>
    <row r="1421" spans="109:182" customFormat="1" x14ac:dyDescent="0.25">
      <c r="DE1421" s="466"/>
      <c r="FZ1421" s="466"/>
    </row>
    <row r="1422" spans="109:182" customFormat="1" x14ac:dyDescent="0.25">
      <c r="DE1422" s="466"/>
      <c r="FZ1422" s="466"/>
    </row>
    <row r="1423" spans="109:182" customFormat="1" x14ac:dyDescent="0.25">
      <c r="DE1423" s="466"/>
      <c r="FZ1423" s="466"/>
    </row>
    <row r="1424" spans="109:182" customFormat="1" x14ac:dyDescent="0.25">
      <c r="DE1424" s="466"/>
      <c r="FZ1424" s="466"/>
    </row>
    <row r="1425" spans="109:182" customFormat="1" x14ac:dyDescent="0.25">
      <c r="DE1425" s="466"/>
      <c r="FZ1425" s="466"/>
    </row>
    <row r="1426" spans="109:182" customFormat="1" x14ac:dyDescent="0.25">
      <c r="DE1426" s="466"/>
      <c r="FZ1426" s="466"/>
    </row>
    <row r="1427" spans="109:182" customFormat="1" x14ac:dyDescent="0.25">
      <c r="DE1427" s="466"/>
      <c r="FZ1427" s="466"/>
    </row>
    <row r="1428" spans="109:182" customFormat="1" x14ac:dyDescent="0.25">
      <c r="DE1428" s="466"/>
      <c r="FZ1428" s="466"/>
    </row>
    <row r="1429" spans="109:182" customFormat="1" x14ac:dyDescent="0.25">
      <c r="DE1429" s="466"/>
      <c r="FZ1429" s="466"/>
    </row>
    <row r="1430" spans="109:182" customFormat="1" x14ac:dyDescent="0.25">
      <c r="DE1430" s="466"/>
      <c r="FZ1430" s="466"/>
    </row>
    <row r="1431" spans="109:182" customFormat="1" x14ac:dyDescent="0.25">
      <c r="DE1431" s="466"/>
      <c r="FZ1431" s="466"/>
    </row>
    <row r="1432" spans="109:182" customFormat="1" x14ac:dyDescent="0.25">
      <c r="DE1432" s="466"/>
      <c r="FZ1432" s="466"/>
    </row>
    <row r="1433" spans="109:182" customFormat="1" x14ac:dyDescent="0.25">
      <c r="DE1433" s="466"/>
      <c r="FZ1433" s="466"/>
    </row>
    <row r="1434" spans="109:182" customFormat="1" x14ac:dyDescent="0.25">
      <c r="DE1434" s="466"/>
      <c r="FZ1434" s="466"/>
    </row>
    <row r="1435" spans="109:182" customFormat="1" x14ac:dyDescent="0.25">
      <c r="DE1435" s="466"/>
      <c r="FZ1435" s="466"/>
    </row>
    <row r="1436" spans="109:182" customFormat="1" x14ac:dyDescent="0.25">
      <c r="DE1436" s="466"/>
      <c r="FZ1436" s="466"/>
    </row>
    <row r="1437" spans="109:182" customFormat="1" x14ac:dyDescent="0.25">
      <c r="DE1437" s="466"/>
      <c r="FZ1437" s="466"/>
    </row>
    <row r="1438" spans="109:182" customFormat="1" x14ac:dyDescent="0.25">
      <c r="DE1438" s="466"/>
      <c r="FZ1438" s="466"/>
    </row>
    <row r="1439" spans="109:182" customFormat="1" x14ac:dyDescent="0.25">
      <c r="DE1439" s="466"/>
      <c r="FZ1439" s="466"/>
    </row>
    <row r="1440" spans="109:182" customFormat="1" x14ac:dyDescent="0.25">
      <c r="DE1440" s="466"/>
      <c r="FZ1440" s="466"/>
    </row>
    <row r="1441" spans="109:182" customFormat="1" x14ac:dyDescent="0.25">
      <c r="DE1441" s="466"/>
      <c r="FZ1441" s="466"/>
    </row>
    <row r="1442" spans="109:182" customFormat="1" x14ac:dyDescent="0.25">
      <c r="DE1442" s="466"/>
      <c r="FZ1442" s="466"/>
    </row>
    <row r="1443" spans="109:182" customFormat="1" x14ac:dyDescent="0.25">
      <c r="DE1443" s="466"/>
      <c r="FZ1443" s="466"/>
    </row>
    <row r="1444" spans="109:182" customFormat="1" x14ac:dyDescent="0.25">
      <c r="DE1444" s="466"/>
      <c r="FZ1444" s="466"/>
    </row>
    <row r="1445" spans="109:182" customFormat="1" x14ac:dyDescent="0.25">
      <c r="DE1445" s="466"/>
      <c r="FZ1445" s="466"/>
    </row>
    <row r="1446" spans="109:182" customFormat="1" x14ac:dyDescent="0.25">
      <c r="DE1446" s="466"/>
      <c r="FZ1446" s="466"/>
    </row>
    <row r="1447" spans="109:182" customFormat="1" x14ac:dyDescent="0.25">
      <c r="DE1447" s="466"/>
      <c r="FZ1447" s="466"/>
    </row>
    <row r="1448" spans="109:182" customFormat="1" x14ac:dyDescent="0.25">
      <c r="DE1448" s="466"/>
      <c r="FZ1448" s="466"/>
    </row>
    <row r="1449" spans="109:182" customFormat="1" x14ac:dyDescent="0.25">
      <c r="DE1449" s="466"/>
      <c r="FZ1449" s="466"/>
    </row>
    <row r="1450" spans="109:182" customFormat="1" x14ac:dyDescent="0.25">
      <c r="DE1450" s="466"/>
      <c r="FZ1450" s="466"/>
    </row>
    <row r="1451" spans="109:182" customFormat="1" x14ac:dyDescent="0.25">
      <c r="DE1451" s="466"/>
      <c r="FZ1451" s="466"/>
    </row>
    <row r="1452" spans="109:182" customFormat="1" x14ac:dyDescent="0.25">
      <c r="DE1452" s="466"/>
      <c r="FZ1452" s="466"/>
    </row>
    <row r="1453" spans="109:182" customFormat="1" x14ac:dyDescent="0.25">
      <c r="DE1453" s="466"/>
      <c r="FZ1453" s="466"/>
    </row>
    <row r="1454" spans="109:182" customFormat="1" x14ac:dyDescent="0.25">
      <c r="DE1454" s="466"/>
      <c r="FZ1454" s="466"/>
    </row>
    <row r="1455" spans="109:182" customFormat="1" x14ac:dyDescent="0.25">
      <c r="DE1455" s="466"/>
      <c r="FZ1455" s="466"/>
    </row>
    <row r="1456" spans="109:182" customFormat="1" x14ac:dyDescent="0.25">
      <c r="DE1456" s="466"/>
      <c r="FZ1456" s="466"/>
    </row>
    <row r="1457" spans="109:182" customFormat="1" x14ac:dyDescent="0.25">
      <c r="DE1457" s="466"/>
      <c r="FZ1457" s="466"/>
    </row>
    <row r="1458" spans="109:182" customFormat="1" x14ac:dyDescent="0.25">
      <c r="DE1458" s="466"/>
      <c r="FZ1458" s="466"/>
    </row>
    <row r="1459" spans="109:182" customFormat="1" x14ac:dyDescent="0.25">
      <c r="DE1459" s="466"/>
      <c r="FZ1459" s="466"/>
    </row>
    <row r="1460" spans="109:182" customFormat="1" x14ac:dyDescent="0.25">
      <c r="DE1460" s="466"/>
      <c r="FZ1460" s="466"/>
    </row>
    <row r="1461" spans="109:182" customFormat="1" x14ac:dyDescent="0.25">
      <c r="DE1461" s="466"/>
      <c r="FZ1461" s="466"/>
    </row>
    <row r="1462" spans="109:182" customFormat="1" x14ac:dyDescent="0.25">
      <c r="DE1462" s="466"/>
      <c r="FZ1462" s="466"/>
    </row>
    <row r="1463" spans="109:182" customFormat="1" x14ac:dyDescent="0.25">
      <c r="DE1463" s="466"/>
      <c r="FZ1463" s="466"/>
    </row>
    <row r="1464" spans="109:182" customFormat="1" x14ac:dyDescent="0.25">
      <c r="DE1464" s="466"/>
      <c r="FZ1464" s="466"/>
    </row>
    <row r="1465" spans="109:182" customFormat="1" x14ac:dyDescent="0.25">
      <c r="DE1465" s="466"/>
      <c r="FZ1465" s="466"/>
    </row>
    <row r="1466" spans="109:182" customFormat="1" x14ac:dyDescent="0.25">
      <c r="DE1466" s="466"/>
      <c r="FZ1466" s="466"/>
    </row>
    <row r="1467" spans="109:182" customFormat="1" x14ac:dyDescent="0.25">
      <c r="DE1467" s="466"/>
      <c r="FZ1467" s="466"/>
    </row>
    <row r="1468" spans="109:182" customFormat="1" x14ac:dyDescent="0.25">
      <c r="DE1468" s="466"/>
      <c r="FZ1468" s="466"/>
    </row>
    <row r="1469" spans="109:182" customFormat="1" x14ac:dyDescent="0.25">
      <c r="DE1469" s="466"/>
      <c r="FZ1469" s="466"/>
    </row>
    <row r="1470" spans="109:182" customFormat="1" x14ac:dyDescent="0.25">
      <c r="DE1470" s="466"/>
      <c r="FZ1470" s="466"/>
    </row>
    <row r="1471" spans="109:182" customFormat="1" x14ac:dyDescent="0.25">
      <c r="DE1471" s="466"/>
      <c r="FZ1471" s="466"/>
    </row>
    <row r="1472" spans="109:182" customFormat="1" x14ac:dyDescent="0.25">
      <c r="DE1472" s="466"/>
      <c r="FZ1472" s="466"/>
    </row>
    <row r="1473" spans="109:182" customFormat="1" x14ac:dyDescent="0.25">
      <c r="DE1473" s="466"/>
      <c r="FZ1473" s="466"/>
    </row>
    <row r="1474" spans="109:182" customFormat="1" x14ac:dyDescent="0.25">
      <c r="DE1474" s="466"/>
      <c r="FZ1474" s="466"/>
    </row>
    <row r="1475" spans="109:182" customFormat="1" x14ac:dyDescent="0.25">
      <c r="DE1475" s="466"/>
      <c r="FZ1475" s="466"/>
    </row>
    <row r="1476" spans="109:182" customFormat="1" x14ac:dyDescent="0.25">
      <c r="DE1476" s="466"/>
      <c r="FZ1476" s="466"/>
    </row>
    <row r="1477" spans="109:182" customFormat="1" x14ac:dyDescent="0.25">
      <c r="DE1477" s="466"/>
      <c r="FZ1477" s="466"/>
    </row>
    <row r="1478" spans="109:182" customFormat="1" x14ac:dyDescent="0.25">
      <c r="DE1478" s="466"/>
      <c r="FZ1478" s="466"/>
    </row>
    <row r="1479" spans="109:182" customFormat="1" x14ac:dyDescent="0.25">
      <c r="DE1479" s="466"/>
      <c r="FZ1479" s="466"/>
    </row>
    <row r="1480" spans="109:182" customFormat="1" x14ac:dyDescent="0.25">
      <c r="DE1480" s="466"/>
      <c r="FZ1480" s="466"/>
    </row>
    <row r="1481" spans="109:182" customFormat="1" x14ac:dyDescent="0.25">
      <c r="DE1481" s="466"/>
      <c r="FZ1481" s="466"/>
    </row>
    <row r="1482" spans="109:182" customFormat="1" x14ac:dyDescent="0.25">
      <c r="DE1482" s="466"/>
      <c r="FZ1482" s="466"/>
    </row>
    <row r="1483" spans="109:182" customFormat="1" x14ac:dyDescent="0.25">
      <c r="DE1483" s="466"/>
      <c r="FZ1483" s="466"/>
    </row>
    <row r="1484" spans="109:182" customFormat="1" x14ac:dyDescent="0.25">
      <c r="DE1484" s="466"/>
      <c r="FZ1484" s="466"/>
    </row>
    <row r="1485" spans="109:182" customFormat="1" x14ac:dyDescent="0.25">
      <c r="DE1485" s="466"/>
      <c r="FZ1485" s="466"/>
    </row>
    <row r="1486" spans="109:182" customFormat="1" x14ac:dyDescent="0.25">
      <c r="DE1486" s="466"/>
      <c r="FZ1486" s="466"/>
    </row>
    <row r="1487" spans="109:182" customFormat="1" x14ac:dyDescent="0.25">
      <c r="DE1487" s="466"/>
      <c r="FZ1487" s="466"/>
    </row>
    <row r="1488" spans="109:182" customFormat="1" x14ac:dyDescent="0.25">
      <c r="DE1488" s="466"/>
      <c r="FZ1488" s="466"/>
    </row>
    <row r="1489" spans="109:182" customFormat="1" x14ac:dyDescent="0.25">
      <c r="DE1489" s="466"/>
      <c r="FZ1489" s="466"/>
    </row>
    <row r="1490" spans="109:182" customFormat="1" x14ac:dyDescent="0.25">
      <c r="DE1490" s="466"/>
      <c r="FZ1490" s="466"/>
    </row>
    <row r="1491" spans="109:182" customFormat="1" x14ac:dyDescent="0.25">
      <c r="DE1491" s="466"/>
      <c r="FZ1491" s="466"/>
    </row>
    <row r="1492" spans="109:182" customFormat="1" x14ac:dyDescent="0.25">
      <c r="DE1492" s="466"/>
      <c r="FZ1492" s="466"/>
    </row>
    <row r="1493" spans="109:182" customFormat="1" x14ac:dyDescent="0.25">
      <c r="DE1493" s="466"/>
      <c r="FZ1493" s="466"/>
    </row>
    <row r="1494" spans="109:182" customFormat="1" x14ac:dyDescent="0.25">
      <c r="DE1494" s="466"/>
      <c r="FZ1494" s="466"/>
    </row>
    <row r="1495" spans="109:182" customFormat="1" x14ac:dyDescent="0.25">
      <c r="DE1495" s="466"/>
      <c r="FZ1495" s="466"/>
    </row>
    <row r="1496" spans="109:182" customFormat="1" x14ac:dyDescent="0.25">
      <c r="DE1496" s="466"/>
      <c r="FZ1496" s="466"/>
    </row>
    <row r="1497" spans="109:182" customFormat="1" x14ac:dyDescent="0.25">
      <c r="DE1497" s="466"/>
      <c r="FZ1497" s="466"/>
    </row>
    <row r="1498" spans="109:182" customFormat="1" x14ac:dyDescent="0.25">
      <c r="DE1498" s="466"/>
      <c r="FZ1498" s="466"/>
    </row>
    <row r="1499" spans="109:182" customFormat="1" x14ac:dyDescent="0.25">
      <c r="DE1499" s="466"/>
      <c r="FZ1499" s="466"/>
    </row>
    <row r="1500" spans="109:182" customFormat="1" x14ac:dyDescent="0.25">
      <c r="DE1500" s="466"/>
      <c r="FZ1500" s="466"/>
    </row>
    <row r="1501" spans="109:182" customFormat="1" x14ac:dyDescent="0.25">
      <c r="DE1501" s="466"/>
      <c r="FZ1501" s="466"/>
    </row>
    <row r="1502" spans="109:182" customFormat="1" x14ac:dyDescent="0.25">
      <c r="DE1502" s="466"/>
      <c r="FZ1502" s="466"/>
    </row>
    <row r="1503" spans="109:182" customFormat="1" x14ac:dyDescent="0.25">
      <c r="DE1503" s="466"/>
      <c r="FZ1503" s="466"/>
    </row>
    <row r="1504" spans="109:182" customFormat="1" x14ac:dyDescent="0.25">
      <c r="DE1504" s="466"/>
      <c r="FZ1504" s="466"/>
    </row>
    <row r="1505" spans="109:182" customFormat="1" x14ac:dyDescent="0.25">
      <c r="DE1505" s="466"/>
      <c r="FZ1505" s="466"/>
    </row>
    <row r="1506" spans="109:182" customFormat="1" x14ac:dyDescent="0.25">
      <c r="DE1506" s="466"/>
      <c r="FZ1506" s="466"/>
    </row>
    <row r="1507" spans="109:182" customFormat="1" x14ac:dyDescent="0.25">
      <c r="DE1507" s="466"/>
      <c r="FZ1507" s="466"/>
    </row>
    <row r="1508" spans="109:182" customFormat="1" x14ac:dyDescent="0.25">
      <c r="DE1508" s="466"/>
      <c r="FZ1508" s="466"/>
    </row>
    <row r="1509" spans="109:182" customFormat="1" x14ac:dyDescent="0.25">
      <c r="DE1509" s="466"/>
      <c r="FZ1509" s="466"/>
    </row>
    <row r="1510" spans="109:182" customFormat="1" x14ac:dyDescent="0.25">
      <c r="DE1510" s="466"/>
      <c r="FZ1510" s="466"/>
    </row>
    <row r="1511" spans="109:182" customFormat="1" x14ac:dyDescent="0.25">
      <c r="DE1511" s="466"/>
      <c r="FZ1511" s="466"/>
    </row>
    <row r="1512" spans="109:182" customFormat="1" x14ac:dyDescent="0.25">
      <c r="DE1512" s="466"/>
      <c r="FZ1512" s="466"/>
    </row>
    <row r="1513" spans="109:182" customFormat="1" x14ac:dyDescent="0.25">
      <c r="DE1513" s="466"/>
      <c r="FZ1513" s="466"/>
    </row>
    <row r="1514" spans="109:182" customFormat="1" x14ac:dyDescent="0.25">
      <c r="DE1514" s="466"/>
      <c r="FZ1514" s="466"/>
    </row>
    <row r="1515" spans="109:182" customFormat="1" x14ac:dyDescent="0.25">
      <c r="DE1515" s="466"/>
      <c r="FZ1515" s="466"/>
    </row>
    <row r="1516" spans="109:182" customFormat="1" x14ac:dyDescent="0.25">
      <c r="DE1516" s="466"/>
      <c r="FZ1516" s="466"/>
    </row>
    <row r="1517" spans="109:182" customFormat="1" x14ac:dyDescent="0.25">
      <c r="DE1517" s="466"/>
      <c r="FZ1517" s="466"/>
    </row>
    <row r="1518" spans="109:182" customFormat="1" x14ac:dyDescent="0.25">
      <c r="DE1518" s="466"/>
      <c r="FZ1518" s="466"/>
    </row>
    <row r="1519" spans="109:182" customFormat="1" x14ac:dyDescent="0.25">
      <c r="DE1519" s="466"/>
      <c r="FZ1519" s="466"/>
    </row>
    <row r="1520" spans="109:182" customFormat="1" x14ac:dyDescent="0.25">
      <c r="DE1520" s="466"/>
      <c r="FZ1520" s="466"/>
    </row>
    <row r="1521" spans="109:182" customFormat="1" x14ac:dyDescent="0.25">
      <c r="DE1521" s="466"/>
      <c r="FZ1521" s="466"/>
    </row>
    <row r="1522" spans="109:182" customFormat="1" x14ac:dyDescent="0.25">
      <c r="DE1522" s="466"/>
      <c r="FZ1522" s="466"/>
    </row>
    <row r="1523" spans="109:182" customFormat="1" x14ac:dyDescent="0.25">
      <c r="DE1523" s="466"/>
      <c r="FZ1523" s="466"/>
    </row>
    <row r="1524" spans="109:182" customFormat="1" x14ac:dyDescent="0.25">
      <c r="DE1524" s="466"/>
      <c r="FZ1524" s="466"/>
    </row>
    <row r="1525" spans="109:182" customFormat="1" x14ac:dyDescent="0.25">
      <c r="DE1525" s="466"/>
      <c r="FZ1525" s="466"/>
    </row>
    <row r="1526" spans="109:182" customFormat="1" x14ac:dyDescent="0.25">
      <c r="DE1526" s="466"/>
      <c r="FZ1526" s="466"/>
    </row>
    <row r="1527" spans="109:182" customFormat="1" x14ac:dyDescent="0.25">
      <c r="DE1527" s="466"/>
      <c r="FZ1527" s="466"/>
    </row>
    <row r="1528" spans="109:182" customFormat="1" x14ac:dyDescent="0.25">
      <c r="DE1528" s="466"/>
      <c r="FZ1528" s="466"/>
    </row>
    <row r="1529" spans="109:182" customFormat="1" x14ac:dyDescent="0.25">
      <c r="DE1529" s="466"/>
      <c r="FZ1529" s="466"/>
    </row>
    <row r="1530" spans="109:182" customFormat="1" x14ac:dyDescent="0.25">
      <c r="DE1530" s="466"/>
      <c r="FZ1530" s="466"/>
    </row>
    <row r="1531" spans="109:182" customFormat="1" x14ac:dyDescent="0.25">
      <c r="DE1531" s="466"/>
      <c r="FZ1531" s="466"/>
    </row>
    <row r="1532" spans="109:182" customFormat="1" x14ac:dyDescent="0.25">
      <c r="DE1532" s="466"/>
      <c r="FZ1532" s="466"/>
    </row>
    <row r="1533" spans="109:182" customFormat="1" x14ac:dyDescent="0.25">
      <c r="DE1533" s="466"/>
      <c r="FZ1533" s="466"/>
    </row>
    <row r="1534" spans="109:182" customFormat="1" x14ac:dyDescent="0.25">
      <c r="DE1534" s="466"/>
      <c r="FZ1534" s="466"/>
    </row>
    <row r="1535" spans="109:182" customFormat="1" x14ac:dyDescent="0.25">
      <c r="DE1535" s="466"/>
      <c r="FZ1535" s="466"/>
    </row>
    <row r="1536" spans="109:182" customFormat="1" x14ac:dyDescent="0.25">
      <c r="DE1536" s="466"/>
      <c r="FZ1536" s="466"/>
    </row>
    <row r="1537" spans="109:182" customFormat="1" x14ac:dyDescent="0.25">
      <c r="DE1537" s="466"/>
      <c r="FZ1537" s="466"/>
    </row>
    <row r="1538" spans="109:182" customFormat="1" x14ac:dyDescent="0.25">
      <c r="DE1538" s="466"/>
      <c r="FZ1538" s="466"/>
    </row>
    <row r="1539" spans="109:182" customFormat="1" x14ac:dyDescent="0.25">
      <c r="DE1539" s="466"/>
      <c r="FZ1539" s="466"/>
    </row>
    <row r="1540" spans="109:182" customFormat="1" x14ac:dyDescent="0.25">
      <c r="DE1540" s="466"/>
      <c r="FZ1540" s="466"/>
    </row>
    <row r="1541" spans="109:182" customFormat="1" x14ac:dyDescent="0.25">
      <c r="DE1541" s="466"/>
      <c r="FZ1541" s="466"/>
    </row>
    <row r="1542" spans="109:182" customFormat="1" x14ac:dyDescent="0.25">
      <c r="DE1542" s="466"/>
      <c r="FZ1542" s="466"/>
    </row>
    <row r="1543" spans="109:182" customFormat="1" x14ac:dyDescent="0.25">
      <c r="DE1543" s="466"/>
      <c r="FZ1543" s="466"/>
    </row>
    <row r="1544" spans="109:182" customFormat="1" x14ac:dyDescent="0.25">
      <c r="DE1544" s="466"/>
      <c r="FZ1544" s="466"/>
    </row>
    <row r="1545" spans="109:182" customFormat="1" x14ac:dyDescent="0.25">
      <c r="DE1545" s="466"/>
      <c r="FZ1545" s="466"/>
    </row>
    <row r="1546" spans="109:182" customFormat="1" x14ac:dyDescent="0.25">
      <c r="DE1546" s="466"/>
      <c r="FZ1546" s="466"/>
    </row>
    <row r="1547" spans="109:182" customFormat="1" x14ac:dyDescent="0.25">
      <c r="DE1547" s="466"/>
      <c r="FZ1547" s="466"/>
    </row>
    <row r="1548" spans="109:182" customFormat="1" x14ac:dyDescent="0.25">
      <c r="DE1548" s="466"/>
      <c r="FZ1548" s="466"/>
    </row>
    <row r="1549" spans="109:182" customFormat="1" x14ac:dyDescent="0.25">
      <c r="DE1549" s="466"/>
      <c r="FZ1549" s="466"/>
    </row>
    <row r="1550" spans="109:182" customFormat="1" x14ac:dyDescent="0.25">
      <c r="DE1550" s="466"/>
      <c r="FZ1550" s="466"/>
    </row>
    <row r="1551" spans="109:182" customFormat="1" x14ac:dyDescent="0.25">
      <c r="DE1551" s="466"/>
      <c r="FZ1551" s="466"/>
    </row>
    <row r="1552" spans="109:182" customFormat="1" x14ac:dyDescent="0.25">
      <c r="DE1552" s="466"/>
      <c r="FZ1552" s="466"/>
    </row>
    <row r="1553" spans="109:182" customFormat="1" x14ac:dyDescent="0.25">
      <c r="DE1553" s="466"/>
      <c r="FZ1553" s="466"/>
    </row>
    <row r="1554" spans="109:182" customFormat="1" x14ac:dyDescent="0.25">
      <c r="DE1554" s="466"/>
      <c r="FZ1554" s="466"/>
    </row>
    <row r="1555" spans="109:182" customFormat="1" x14ac:dyDescent="0.25">
      <c r="DE1555" s="466"/>
      <c r="FZ1555" s="466"/>
    </row>
    <row r="1556" spans="109:182" customFormat="1" x14ac:dyDescent="0.25">
      <c r="DE1556" s="466"/>
      <c r="FZ1556" s="466"/>
    </row>
    <row r="1557" spans="109:182" customFormat="1" x14ac:dyDescent="0.25">
      <c r="DE1557" s="466"/>
      <c r="FZ1557" s="466"/>
    </row>
    <row r="1558" spans="109:182" customFormat="1" x14ac:dyDescent="0.25">
      <c r="DE1558" s="466"/>
      <c r="FZ1558" s="466"/>
    </row>
    <row r="1559" spans="109:182" customFormat="1" x14ac:dyDescent="0.25">
      <c r="DE1559" s="466"/>
      <c r="FZ1559" s="466"/>
    </row>
    <row r="1560" spans="109:182" customFormat="1" x14ac:dyDescent="0.25">
      <c r="DE1560" s="466"/>
      <c r="FZ1560" s="466"/>
    </row>
    <row r="1561" spans="109:182" customFormat="1" x14ac:dyDescent="0.25">
      <c r="DE1561" s="466"/>
      <c r="FZ1561" s="466"/>
    </row>
    <row r="1562" spans="109:182" customFormat="1" x14ac:dyDescent="0.25">
      <c r="DE1562" s="466"/>
      <c r="FZ1562" s="466"/>
    </row>
    <row r="1563" spans="109:182" customFormat="1" x14ac:dyDescent="0.25">
      <c r="DE1563" s="466"/>
      <c r="FZ1563" s="466"/>
    </row>
    <row r="1564" spans="109:182" customFormat="1" x14ac:dyDescent="0.25">
      <c r="DE1564" s="466"/>
      <c r="FZ1564" s="466"/>
    </row>
    <row r="1565" spans="109:182" customFormat="1" x14ac:dyDescent="0.25">
      <c r="DE1565" s="466"/>
      <c r="FZ1565" s="466"/>
    </row>
    <row r="1566" spans="109:182" customFormat="1" x14ac:dyDescent="0.25">
      <c r="DE1566" s="466"/>
      <c r="FZ1566" s="466"/>
    </row>
    <row r="1567" spans="109:182" customFormat="1" x14ac:dyDescent="0.25">
      <c r="DE1567" s="466"/>
      <c r="FZ1567" s="466"/>
    </row>
    <row r="1568" spans="109:182" customFormat="1" x14ac:dyDescent="0.25">
      <c r="DE1568" s="466"/>
      <c r="FZ1568" s="466"/>
    </row>
    <row r="1569" spans="109:182" customFormat="1" x14ac:dyDescent="0.25">
      <c r="DE1569" s="466"/>
      <c r="FZ1569" s="466"/>
    </row>
    <row r="1570" spans="109:182" customFormat="1" x14ac:dyDescent="0.25">
      <c r="DE1570" s="466"/>
      <c r="FZ1570" s="466"/>
    </row>
    <row r="1571" spans="109:182" customFormat="1" x14ac:dyDescent="0.25">
      <c r="DE1571" s="466"/>
      <c r="FZ1571" s="466"/>
    </row>
    <row r="1572" spans="109:182" customFormat="1" x14ac:dyDescent="0.25">
      <c r="DE1572" s="466"/>
      <c r="FZ1572" s="466"/>
    </row>
    <row r="1573" spans="109:182" customFormat="1" x14ac:dyDescent="0.25">
      <c r="DE1573" s="466"/>
      <c r="FZ1573" s="466"/>
    </row>
    <row r="1574" spans="109:182" customFormat="1" x14ac:dyDescent="0.25">
      <c r="DE1574" s="466"/>
      <c r="FZ1574" s="466"/>
    </row>
    <row r="1575" spans="109:182" customFormat="1" x14ac:dyDescent="0.25">
      <c r="DE1575" s="466"/>
      <c r="FZ1575" s="466"/>
    </row>
    <row r="1576" spans="109:182" customFormat="1" x14ac:dyDescent="0.25">
      <c r="DE1576" s="466"/>
      <c r="FZ1576" s="466"/>
    </row>
    <row r="1577" spans="109:182" customFormat="1" x14ac:dyDescent="0.25">
      <c r="DE1577" s="466"/>
      <c r="FZ1577" s="466"/>
    </row>
    <row r="1578" spans="109:182" customFormat="1" x14ac:dyDescent="0.25">
      <c r="DE1578" s="466"/>
      <c r="FZ1578" s="466"/>
    </row>
    <row r="1579" spans="109:182" customFormat="1" x14ac:dyDescent="0.25">
      <c r="DE1579" s="466"/>
      <c r="FZ1579" s="466"/>
    </row>
    <row r="1580" spans="109:182" customFormat="1" x14ac:dyDescent="0.25">
      <c r="DE1580" s="466"/>
      <c r="FZ1580" s="466"/>
    </row>
    <row r="1581" spans="109:182" customFormat="1" x14ac:dyDescent="0.25">
      <c r="DE1581" s="466"/>
      <c r="FZ1581" s="466"/>
    </row>
    <row r="1582" spans="109:182" customFormat="1" x14ac:dyDescent="0.25">
      <c r="DE1582" s="466"/>
      <c r="FZ1582" s="466"/>
    </row>
    <row r="1583" spans="109:182" customFormat="1" x14ac:dyDescent="0.25">
      <c r="DE1583" s="466"/>
      <c r="FZ1583" s="466"/>
    </row>
    <row r="1584" spans="109:182" customFormat="1" x14ac:dyDescent="0.25">
      <c r="DE1584" s="466"/>
      <c r="FZ1584" s="466"/>
    </row>
    <row r="1585" spans="109:182" customFormat="1" x14ac:dyDescent="0.25">
      <c r="DE1585" s="466"/>
      <c r="FZ1585" s="466"/>
    </row>
    <row r="1586" spans="109:182" customFormat="1" x14ac:dyDescent="0.25">
      <c r="DE1586" s="466"/>
      <c r="FZ1586" s="466"/>
    </row>
    <row r="1587" spans="109:182" customFormat="1" x14ac:dyDescent="0.25">
      <c r="DE1587" s="466"/>
      <c r="FZ1587" s="466"/>
    </row>
    <row r="1588" spans="109:182" customFormat="1" x14ac:dyDescent="0.25">
      <c r="DE1588" s="466"/>
      <c r="FZ1588" s="466"/>
    </row>
    <row r="1589" spans="109:182" customFormat="1" x14ac:dyDescent="0.25">
      <c r="DE1589" s="466"/>
      <c r="FZ1589" s="466"/>
    </row>
    <row r="1590" spans="109:182" customFormat="1" x14ac:dyDescent="0.25">
      <c r="DE1590" s="466"/>
      <c r="FZ1590" s="466"/>
    </row>
    <row r="1591" spans="109:182" customFormat="1" x14ac:dyDescent="0.25">
      <c r="DE1591" s="466"/>
      <c r="FZ1591" s="466"/>
    </row>
    <row r="1592" spans="109:182" customFormat="1" x14ac:dyDescent="0.25">
      <c r="DE1592" s="466"/>
      <c r="FZ1592" s="466"/>
    </row>
    <row r="1593" spans="109:182" customFormat="1" x14ac:dyDescent="0.25">
      <c r="DE1593" s="466"/>
      <c r="FZ1593" s="466"/>
    </row>
    <row r="1594" spans="109:182" customFormat="1" x14ac:dyDescent="0.25">
      <c r="DE1594" s="466"/>
      <c r="FZ1594" s="466"/>
    </row>
    <row r="1595" spans="109:182" customFormat="1" x14ac:dyDescent="0.25">
      <c r="DE1595" s="466"/>
      <c r="FZ1595" s="466"/>
    </row>
    <row r="1596" spans="109:182" customFormat="1" x14ac:dyDescent="0.25">
      <c r="DE1596" s="466"/>
      <c r="FZ1596" s="466"/>
    </row>
    <row r="1597" spans="109:182" customFormat="1" x14ac:dyDescent="0.25">
      <c r="DE1597" s="466"/>
      <c r="FZ1597" s="466"/>
    </row>
    <row r="1598" spans="109:182" customFormat="1" x14ac:dyDescent="0.25">
      <c r="DE1598" s="466"/>
      <c r="FZ1598" s="466"/>
    </row>
    <row r="1599" spans="109:182" customFormat="1" x14ac:dyDescent="0.25">
      <c r="DE1599" s="466"/>
      <c r="FZ1599" s="466"/>
    </row>
    <row r="1600" spans="109:182" customFormat="1" x14ac:dyDescent="0.25">
      <c r="DE1600" s="466"/>
      <c r="FZ1600" s="466"/>
    </row>
    <row r="1601" spans="109:182" customFormat="1" x14ac:dyDescent="0.25">
      <c r="DE1601" s="466"/>
      <c r="FZ1601" s="466"/>
    </row>
    <row r="1602" spans="109:182" customFormat="1" x14ac:dyDescent="0.25">
      <c r="DE1602" s="466"/>
      <c r="FZ1602" s="466"/>
    </row>
    <row r="1603" spans="109:182" customFormat="1" x14ac:dyDescent="0.25">
      <c r="DE1603" s="466"/>
      <c r="FZ1603" s="466"/>
    </row>
    <row r="1604" spans="109:182" customFormat="1" x14ac:dyDescent="0.25">
      <c r="DE1604" s="466"/>
      <c r="FZ1604" s="466"/>
    </row>
  </sheetData>
  <hyperlinks>
    <hyperlink ref="D41" r:id="rId1" xr:uid="{A9213EAD-3752-4497-974A-DF9E4F5D86EF}"/>
    <hyperlink ref="D40" r:id="rId2" display="https://jira.megafon.ru/browse/B2CPROD-1177" xr:uid="{5B55020B-B1F5-4396-B05D-DD5F39AAD52E}"/>
    <hyperlink ref="C40" r:id="rId3" xr:uid="{0682CD43-325C-4335-9C01-DA66274F2B1C}"/>
    <hyperlink ref="E40" r:id="rId4" xr:uid="{8E3C798B-7CEA-46FB-A49B-6BD607F33F7F}"/>
    <hyperlink ref="E45" r:id="rId5" xr:uid="{567F0E93-B690-442E-89D1-D69889309B5D}"/>
    <hyperlink ref="E44" r:id="rId6" xr:uid="{DB7E5118-E659-4E7D-BBD9-1CB6CDE42B54}"/>
    <hyperlink ref="D44" r:id="rId7" xr:uid="{3B10AFCF-BD82-4831-9B1B-8FB4F5A5DEA5}"/>
    <hyperlink ref="E41" r:id="rId8" display="https://jira.megafon.ru/browse/CKO-56696" xr:uid="{53339E5A-C69D-49AA-A73A-8FCCD4FB476B}"/>
    <hyperlink ref="C41" r:id="rId9" xr:uid="{BF55BCEF-AD93-4597-9A50-F4FD53971E2C}"/>
    <hyperlink ref="C42" r:id="rId10" xr:uid="{9ACE7EDE-1E97-40E0-B0DD-C53B59D66A48}"/>
    <hyperlink ref="D42" r:id="rId11" xr:uid="{8A9533F4-F80F-41BC-ACE9-858908FC4E76}"/>
    <hyperlink ref="D45" r:id="rId12" xr:uid="{B290FCFA-A763-4A92-BB1B-CE43C5CEA3FF}"/>
    <hyperlink ref="E43" r:id="rId13" xr:uid="{AF7FF82F-5217-4B9A-AC8B-247D09F2004E}"/>
  </hyperlinks>
  <pageMargins left="0.7" right="0.7" top="0.75" bottom="0.75" header="0.3" footer="0.3"/>
  <pageSetup paperSize="9" orientation="portrait" r:id="rId1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9BFA-1150-42EA-96F0-AD70BEF3A0E0}">
  <dimension ref="A1:J74"/>
  <sheetViews>
    <sheetView zoomScale="110" zoomScaleNormal="110" workbookViewId="0">
      <selection activeCell="D18" sqref="D18"/>
    </sheetView>
  </sheetViews>
  <sheetFormatPr defaultRowHeight="15" x14ac:dyDescent="0.25"/>
  <cols>
    <col min="1" max="1" width="42.85546875" style="647" customWidth="1"/>
    <col min="2" max="2" width="25.42578125" style="674" customWidth="1"/>
    <col min="3" max="3" width="18.7109375" style="163" bestFit="1" customWidth="1"/>
    <col min="4" max="4" width="21.28515625" style="163" customWidth="1"/>
    <col min="5" max="5" width="21.140625" customWidth="1"/>
    <col min="6" max="6" width="23" customWidth="1"/>
    <col min="7" max="7" width="23.28515625" customWidth="1"/>
    <col min="8" max="8" width="17" customWidth="1"/>
    <col min="9" max="9" width="25.7109375" style="112" bestFit="1" customWidth="1"/>
    <col min="10" max="10" width="23.28515625" style="112" customWidth="1"/>
    <col min="11" max="11" width="11.7109375" bestFit="1" customWidth="1"/>
  </cols>
  <sheetData>
    <row r="1" spans="1:9" ht="45" x14ac:dyDescent="0.25">
      <c r="A1" s="663"/>
      <c r="B1" s="676" t="s">
        <v>524</v>
      </c>
      <c r="C1" s="650" t="s">
        <v>508</v>
      </c>
      <c r="D1" s="650" t="s">
        <v>509</v>
      </c>
      <c r="E1" s="650" t="s">
        <v>510</v>
      </c>
      <c r="F1" s="650" t="s">
        <v>511</v>
      </c>
      <c r="G1" s="650" t="s">
        <v>512</v>
      </c>
      <c r="H1" s="650" t="s">
        <v>513</v>
      </c>
      <c r="I1" s="676" t="s">
        <v>525</v>
      </c>
    </row>
    <row r="2" spans="1:9" x14ac:dyDescent="0.25">
      <c r="A2" s="645" t="s">
        <v>518</v>
      </c>
      <c r="B2" s="650"/>
      <c r="C2" s="650"/>
      <c r="D2" s="650"/>
      <c r="E2" s="650"/>
      <c r="F2" s="650"/>
      <c r="G2" s="650"/>
      <c r="H2" s="650"/>
      <c r="I2" s="666">
        <f>SUM(C2:H2)</f>
        <v>0</v>
      </c>
    </row>
    <row r="3" spans="1:9" x14ac:dyDescent="0.25">
      <c r="A3" s="683" t="s">
        <v>482</v>
      </c>
      <c r="B3" s="650" t="s">
        <v>287</v>
      </c>
      <c r="C3" s="677">
        <f t="shared" ref="C3:H14" si="0">C24+C48</f>
        <v>15</v>
      </c>
      <c r="D3" s="677">
        <f t="shared" si="0"/>
        <v>15</v>
      </c>
      <c r="E3" s="677">
        <f t="shared" si="0"/>
        <v>25</v>
      </c>
      <c r="F3" s="677">
        <f>F24+F48</f>
        <v>10</v>
      </c>
      <c r="G3" s="677">
        <f t="shared" si="0"/>
        <v>10</v>
      </c>
      <c r="H3" s="677">
        <f t="shared" si="0"/>
        <v>20</v>
      </c>
      <c r="I3" s="666">
        <f t="shared" ref="I3:I19" si="1">SUM(C3:H3)</f>
        <v>95</v>
      </c>
    </row>
    <row r="4" spans="1:9" x14ac:dyDescent="0.25">
      <c r="A4" s="648" t="s">
        <v>485</v>
      </c>
      <c r="B4" s="650" t="s">
        <v>287</v>
      </c>
      <c r="C4" s="677">
        <f t="shared" si="0"/>
        <v>15</v>
      </c>
      <c r="D4" s="677">
        <f t="shared" si="0"/>
        <v>15</v>
      </c>
      <c r="E4" s="677">
        <f t="shared" si="0"/>
        <v>25</v>
      </c>
      <c r="F4" s="677">
        <f t="shared" si="0"/>
        <v>10</v>
      </c>
      <c r="G4" s="677">
        <f t="shared" si="0"/>
        <v>10</v>
      </c>
      <c r="H4" s="677">
        <f t="shared" si="0"/>
        <v>20</v>
      </c>
      <c r="I4" s="666">
        <f t="shared" si="1"/>
        <v>95</v>
      </c>
    </row>
    <row r="5" spans="1:9" x14ac:dyDescent="0.25">
      <c r="A5" s="683" t="s">
        <v>475</v>
      </c>
      <c r="B5" s="650" t="s">
        <v>287</v>
      </c>
      <c r="C5" s="677">
        <f t="shared" si="0"/>
        <v>15</v>
      </c>
      <c r="D5" s="677">
        <f t="shared" si="0"/>
        <v>15</v>
      </c>
      <c r="E5" s="677">
        <f t="shared" si="0"/>
        <v>20</v>
      </c>
      <c r="F5" s="677">
        <f t="shared" si="0"/>
        <v>10</v>
      </c>
      <c r="G5" s="677">
        <f t="shared" si="0"/>
        <v>5</v>
      </c>
      <c r="H5" s="677">
        <f t="shared" si="0"/>
        <v>15</v>
      </c>
      <c r="I5" s="666">
        <f t="shared" si="1"/>
        <v>80</v>
      </c>
    </row>
    <row r="6" spans="1:9" ht="45" x14ac:dyDescent="0.25">
      <c r="A6" s="683" t="s">
        <v>488</v>
      </c>
      <c r="B6" s="650" t="s">
        <v>287</v>
      </c>
      <c r="C6" s="677">
        <f t="shared" si="0"/>
        <v>15</v>
      </c>
      <c r="D6" s="677">
        <f t="shared" si="0"/>
        <v>25</v>
      </c>
      <c r="E6" s="677">
        <f t="shared" si="0"/>
        <v>30</v>
      </c>
      <c r="F6" s="677">
        <f t="shared" si="0"/>
        <v>25</v>
      </c>
      <c r="G6" s="677">
        <f t="shared" si="0"/>
        <v>25</v>
      </c>
      <c r="H6" s="677">
        <f t="shared" si="0"/>
        <v>30</v>
      </c>
      <c r="I6" s="666">
        <f t="shared" si="1"/>
        <v>150</v>
      </c>
    </row>
    <row r="7" spans="1:9" ht="30" x14ac:dyDescent="0.25">
      <c r="A7" s="683" t="s">
        <v>476</v>
      </c>
      <c r="B7" s="650" t="s">
        <v>287</v>
      </c>
      <c r="C7" s="677">
        <f t="shared" si="0"/>
        <v>15</v>
      </c>
      <c r="D7" s="677">
        <f t="shared" si="0"/>
        <v>15</v>
      </c>
      <c r="E7" s="677">
        <f t="shared" si="0"/>
        <v>20</v>
      </c>
      <c r="F7" s="677">
        <f t="shared" si="0"/>
        <v>2</v>
      </c>
      <c r="G7" s="677">
        <f t="shared" si="0"/>
        <v>2</v>
      </c>
      <c r="H7" s="677">
        <f t="shared" si="0"/>
        <v>5</v>
      </c>
      <c r="I7" s="666">
        <f t="shared" si="1"/>
        <v>59</v>
      </c>
    </row>
    <row r="8" spans="1:9" ht="30" x14ac:dyDescent="0.25">
      <c r="A8" s="684" t="s">
        <v>490</v>
      </c>
      <c r="B8" s="650" t="s">
        <v>287</v>
      </c>
      <c r="C8" s="677">
        <f t="shared" si="0"/>
        <v>15</v>
      </c>
      <c r="D8" s="677">
        <f t="shared" si="0"/>
        <v>10</v>
      </c>
      <c r="E8" s="677">
        <f t="shared" si="0"/>
        <v>20</v>
      </c>
      <c r="F8" s="677">
        <f t="shared" si="0"/>
        <v>2</v>
      </c>
      <c r="G8" s="677">
        <f t="shared" si="0"/>
        <v>2</v>
      </c>
      <c r="H8" s="677">
        <f t="shared" si="0"/>
        <v>5</v>
      </c>
      <c r="I8" s="666">
        <f t="shared" si="1"/>
        <v>54</v>
      </c>
    </row>
    <row r="9" spans="1:9" ht="30" x14ac:dyDescent="0.25">
      <c r="A9" s="683" t="s">
        <v>477</v>
      </c>
      <c r="B9" s="650" t="s">
        <v>287</v>
      </c>
      <c r="C9" s="677">
        <f t="shared" si="0"/>
        <v>15</v>
      </c>
      <c r="D9" s="677">
        <f t="shared" si="0"/>
        <v>10</v>
      </c>
      <c r="E9" s="677">
        <f t="shared" si="0"/>
        <v>20</v>
      </c>
      <c r="F9" s="677">
        <f t="shared" si="0"/>
        <v>2</v>
      </c>
      <c r="G9" s="677">
        <f t="shared" si="0"/>
        <v>2</v>
      </c>
      <c r="H9" s="677">
        <f t="shared" si="0"/>
        <v>5</v>
      </c>
      <c r="I9" s="666">
        <f t="shared" si="1"/>
        <v>54</v>
      </c>
    </row>
    <row r="10" spans="1:9" ht="30" x14ac:dyDescent="0.25">
      <c r="A10" s="683" t="s">
        <v>496</v>
      </c>
      <c r="B10" s="650" t="s">
        <v>505</v>
      </c>
      <c r="C10" s="677">
        <f t="shared" si="0"/>
        <v>5</v>
      </c>
      <c r="D10" s="677">
        <f t="shared" si="0"/>
        <v>5</v>
      </c>
      <c r="E10" s="677">
        <f t="shared" si="0"/>
        <v>10</v>
      </c>
      <c r="F10" s="677">
        <f t="shared" si="0"/>
        <v>0</v>
      </c>
      <c r="G10" s="677">
        <f t="shared" si="0"/>
        <v>0</v>
      </c>
      <c r="H10" s="677">
        <f t="shared" si="0"/>
        <v>0</v>
      </c>
      <c r="I10" s="666">
        <f t="shared" si="1"/>
        <v>20</v>
      </c>
    </row>
    <row r="11" spans="1:9" ht="30" x14ac:dyDescent="0.25">
      <c r="A11" s="683" t="s">
        <v>478</v>
      </c>
      <c r="B11" s="650" t="s">
        <v>505</v>
      </c>
      <c r="C11" s="677">
        <f t="shared" si="0"/>
        <v>10</v>
      </c>
      <c r="D11" s="677">
        <f t="shared" si="0"/>
        <v>15</v>
      </c>
      <c r="E11" s="677">
        <f t="shared" si="0"/>
        <v>10</v>
      </c>
      <c r="F11" s="677">
        <f t="shared" si="0"/>
        <v>0</v>
      </c>
      <c r="G11" s="677">
        <f t="shared" si="0"/>
        <v>0</v>
      </c>
      <c r="H11" s="677">
        <f t="shared" si="0"/>
        <v>0</v>
      </c>
      <c r="I11" s="666">
        <f t="shared" si="1"/>
        <v>35</v>
      </c>
    </row>
    <row r="12" spans="1:9" ht="30" x14ac:dyDescent="0.25">
      <c r="A12" s="648" t="s">
        <v>479</v>
      </c>
      <c r="B12" s="650" t="s">
        <v>505</v>
      </c>
      <c r="C12" s="677">
        <f t="shared" si="0"/>
        <v>10</v>
      </c>
      <c r="D12" s="677">
        <f t="shared" si="0"/>
        <v>10</v>
      </c>
      <c r="E12" s="677">
        <f t="shared" si="0"/>
        <v>10</v>
      </c>
      <c r="F12" s="677">
        <f t="shared" si="0"/>
        <v>0</v>
      </c>
      <c r="G12" s="677">
        <f t="shared" si="0"/>
        <v>0</v>
      </c>
      <c r="H12" s="677">
        <f t="shared" si="0"/>
        <v>0</v>
      </c>
      <c r="I12" s="666">
        <f t="shared" si="1"/>
        <v>30</v>
      </c>
    </row>
    <row r="13" spans="1:9" x14ac:dyDescent="0.25">
      <c r="A13" s="683" t="s">
        <v>480</v>
      </c>
      <c r="B13" s="650" t="s">
        <v>505</v>
      </c>
      <c r="C13" s="677">
        <f t="shared" si="0"/>
        <v>10</v>
      </c>
      <c r="D13" s="677">
        <f t="shared" si="0"/>
        <v>15</v>
      </c>
      <c r="E13" s="677">
        <f t="shared" si="0"/>
        <v>15</v>
      </c>
      <c r="F13" s="677">
        <f t="shared" si="0"/>
        <v>0</v>
      </c>
      <c r="G13" s="677">
        <f t="shared" si="0"/>
        <v>0</v>
      </c>
      <c r="H13" s="677">
        <f t="shared" si="0"/>
        <v>0</v>
      </c>
      <c r="I13" s="666">
        <f t="shared" si="1"/>
        <v>40</v>
      </c>
    </row>
    <row r="14" spans="1:9" x14ac:dyDescent="0.25">
      <c r="A14" s="683" t="s">
        <v>481</v>
      </c>
      <c r="B14" s="650" t="s">
        <v>505</v>
      </c>
      <c r="C14" s="677">
        <f t="shared" si="0"/>
        <v>10</v>
      </c>
      <c r="D14" s="677">
        <f t="shared" si="0"/>
        <v>5</v>
      </c>
      <c r="E14" s="677">
        <f t="shared" si="0"/>
        <v>10</v>
      </c>
      <c r="F14" s="677">
        <f t="shared" si="0"/>
        <v>0</v>
      </c>
      <c r="G14" s="677">
        <f t="shared" si="0"/>
        <v>0</v>
      </c>
      <c r="H14" s="677">
        <f t="shared" si="0"/>
        <v>0</v>
      </c>
      <c r="I14" s="666">
        <f t="shared" si="1"/>
        <v>25</v>
      </c>
    </row>
    <row r="15" spans="1:9" ht="45" x14ac:dyDescent="0.25">
      <c r="A15" s="675" t="s">
        <v>520</v>
      </c>
      <c r="B15" s="676" t="s">
        <v>519</v>
      </c>
      <c r="C15" s="677">
        <f>C36+C60</f>
        <v>45</v>
      </c>
      <c r="D15" s="677">
        <f t="shared" ref="D15:H15" si="2">D36+D60</f>
        <v>23</v>
      </c>
      <c r="E15" s="677">
        <f t="shared" si="2"/>
        <v>56</v>
      </c>
      <c r="F15" s="677">
        <f t="shared" si="2"/>
        <v>29</v>
      </c>
      <c r="G15" s="677">
        <f t="shared" si="2"/>
        <v>22</v>
      </c>
      <c r="H15" s="677">
        <f t="shared" si="2"/>
        <v>56</v>
      </c>
      <c r="I15" s="666">
        <f t="shared" si="1"/>
        <v>231</v>
      </c>
    </row>
    <row r="16" spans="1:9" x14ac:dyDescent="0.25">
      <c r="A16" s="678" t="s">
        <v>523</v>
      </c>
      <c r="B16" s="672"/>
      <c r="C16" s="679">
        <f>C37+C61</f>
        <v>137</v>
      </c>
      <c r="D16" s="679">
        <f t="shared" ref="D16:H16" si="3">D37+D61</f>
        <v>69</v>
      </c>
      <c r="E16" s="679">
        <f t="shared" si="3"/>
        <v>169</v>
      </c>
      <c r="F16" s="679">
        <f>F37+F61</f>
        <v>87</v>
      </c>
      <c r="G16" s="679">
        <f t="shared" si="3"/>
        <v>69</v>
      </c>
      <c r="H16" s="679">
        <f t="shared" si="3"/>
        <v>111</v>
      </c>
      <c r="I16" s="696">
        <f t="shared" si="1"/>
        <v>642</v>
      </c>
    </row>
    <row r="17" spans="1:10" x14ac:dyDescent="0.25">
      <c r="A17" s="667" t="s">
        <v>521</v>
      </c>
      <c r="B17" s="672"/>
      <c r="C17" s="670">
        <f>SUM(C3:C14)</f>
        <v>150</v>
      </c>
      <c r="D17" s="670">
        <f>SUM(D3:D14)</f>
        <v>155</v>
      </c>
      <c r="E17" s="670">
        <f t="shared" ref="E17:H17" si="4">SUM(E3:E14)</f>
        <v>215</v>
      </c>
      <c r="F17" s="670">
        <f>SUM(F3:F14)</f>
        <v>61</v>
      </c>
      <c r="G17" s="670">
        <f t="shared" si="4"/>
        <v>56</v>
      </c>
      <c r="H17" s="670">
        <f t="shared" si="4"/>
        <v>100</v>
      </c>
      <c r="I17" s="696">
        <f t="shared" si="1"/>
        <v>737</v>
      </c>
    </row>
    <row r="18" spans="1:10" x14ac:dyDescent="0.25">
      <c r="A18" s="664" t="s">
        <v>522</v>
      </c>
      <c r="B18" s="680"/>
      <c r="C18" s="681">
        <f>C16-C17</f>
        <v>-13</v>
      </c>
      <c r="D18" s="681">
        <f t="shared" ref="D18:H18" si="5">D16-D17</f>
        <v>-86</v>
      </c>
      <c r="E18" s="681">
        <f t="shared" si="5"/>
        <v>-46</v>
      </c>
      <c r="F18" s="681">
        <f>F16-F17</f>
        <v>26</v>
      </c>
      <c r="G18" s="681">
        <f t="shared" si="5"/>
        <v>13</v>
      </c>
      <c r="H18" s="681">
        <f t="shared" si="5"/>
        <v>11</v>
      </c>
      <c r="I18" s="696">
        <f t="shared" si="1"/>
        <v>-95</v>
      </c>
    </row>
    <row r="19" spans="1:10" x14ac:dyDescent="0.25">
      <c r="A19" s="665" t="s">
        <v>516</v>
      </c>
      <c r="B19" s="673"/>
      <c r="C19" s="671">
        <f>C40+C64</f>
        <v>45</v>
      </c>
      <c r="D19" s="671">
        <f t="shared" ref="D19:H19" si="6">D40+D64</f>
        <v>23</v>
      </c>
      <c r="E19" s="671">
        <f t="shared" si="6"/>
        <v>56</v>
      </c>
      <c r="F19" s="671">
        <f t="shared" si="6"/>
        <v>29</v>
      </c>
      <c r="G19" s="671">
        <f t="shared" si="6"/>
        <v>22</v>
      </c>
      <c r="H19" s="671">
        <f t="shared" si="6"/>
        <v>56</v>
      </c>
      <c r="I19" s="696">
        <f t="shared" si="1"/>
        <v>231</v>
      </c>
    </row>
    <row r="22" spans="1:10" ht="45" x14ac:dyDescent="0.25">
      <c r="A22" s="663"/>
      <c r="B22" s="676" t="s">
        <v>506</v>
      </c>
      <c r="C22" s="650" t="s">
        <v>508</v>
      </c>
      <c r="D22" s="650" t="s">
        <v>509</v>
      </c>
      <c r="E22" s="650" t="s">
        <v>510</v>
      </c>
      <c r="F22" s="650" t="s">
        <v>511</v>
      </c>
      <c r="G22" s="650" t="s">
        <v>512</v>
      </c>
      <c r="H22" s="650" t="s">
        <v>513</v>
      </c>
    </row>
    <row r="23" spans="1:10" x14ac:dyDescent="0.25">
      <c r="A23" s="645" t="s">
        <v>518</v>
      </c>
      <c r="B23" s="650"/>
      <c r="C23" s="650"/>
      <c r="D23" s="650"/>
      <c r="E23" s="650"/>
      <c r="F23" s="650"/>
      <c r="G23" s="650"/>
      <c r="H23" s="650"/>
    </row>
    <row r="24" spans="1:10" x14ac:dyDescent="0.25">
      <c r="A24" s="683" t="s">
        <v>482</v>
      </c>
      <c r="B24" s="650" t="s">
        <v>287</v>
      </c>
      <c r="C24" s="668">
        <v>10</v>
      </c>
      <c r="D24" s="649">
        <v>10</v>
      </c>
      <c r="E24" s="669">
        <v>15</v>
      </c>
      <c r="F24" s="669">
        <v>0</v>
      </c>
      <c r="G24" s="669">
        <v>0</v>
      </c>
      <c r="H24" s="669">
        <v>0</v>
      </c>
      <c r="I24" s="686"/>
      <c r="J24" s="687"/>
    </row>
    <row r="25" spans="1:10" x14ac:dyDescent="0.25">
      <c r="A25" s="648" t="s">
        <v>485</v>
      </c>
      <c r="B25" s="650" t="s">
        <v>287</v>
      </c>
      <c r="C25" s="668">
        <v>10</v>
      </c>
      <c r="D25" s="649">
        <v>10</v>
      </c>
      <c r="E25" s="669">
        <v>15</v>
      </c>
      <c r="F25" s="669">
        <v>0</v>
      </c>
      <c r="G25" s="669">
        <v>0</v>
      </c>
      <c r="H25" s="669">
        <v>0</v>
      </c>
      <c r="I25" s="688"/>
      <c r="J25" s="687"/>
    </row>
    <row r="26" spans="1:10" ht="48" x14ac:dyDescent="0.25">
      <c r="A26" s="683" t="s">
        <v>475</v>
      </c>
      <c r="B26" s="650" t="s">
        <v>287</v>
      </c>
      <c r="C26" s="668">
        <v>10</v>
      </c>
      <c r="D26" s="649">
        <v>10</v>
      </c>
      <c r="E26" s="669">
        <v>10</v>
      </c>
      <c r="F26" s="669">
        <v>0</v>
      </c>
      <c r="G26" s="669">
        <v>0</v>
      </c>
      <c r="H26" s="669">
        <v>0</v>
      </c>
      <c r="I26" s="689" t="s">
        <v>486</v>
      </c>
      <c r="J26" s="687"/>
    </row>
    <row r="27" spans="1:10" ht="55.15" customHeight="1" x14ac:dyDescent="0.25">
      <c r="A27" s="683" t="s">
        <v>488</v>
      </c>
      <c r="B27" s="650" t="s">
        <v>287</v>
      </c>
      <c r="C27" s="668">
        <v>10</v>
      </c>
      <c r="D27" s="649">
        <v>20</v>
      </c>
      <c r="E27" s="669">
        <v>20</v>
      </c>
      <c r="F27" s="669">
        <v>15</v>
      </c>
      <c r="G27" s="669">
        <v>15</v>
      </c>
      <c r="H27" s="669">
        <v>15</v>
      </c>
      <c r="I27" s="689" t="s">
        <v>487</v>
      </c>
      <c r="J27" s="685" t="s">
        <v>489</v>
      </c>
    </row>
    <row r="28" spans="1:10" ht="48" x14ac:dyDescent="0.25">
      <c r="A28" s="683" t="s">
        <v>476</v>
      </c>
      <c r="B28" s="650" t="s">
        <v>287</v>
      </c>
      <c r="C28" s="668">
        <v>10</v>
      </c>
      <c r="D28" s="649">
        <v>10</v>
      </c>
      <c r="E28" s="669">
        <v>10</v>
      </c>
      <c r="F28" s="669">
        <v>0</v>
      </c>
      <c r="G28" s="669">
        <v>0</v>
      </c>
      <c r="H28" s="669">
        <v>0</v>
      </c>
      <c r="I28" s="689" t="s">
        <v>491</v>
      </c>
      <c r="J28" s="685" t="s">
        <v>493</v>
      </c>
    </row>
    <row r="29" spans="1:10" ht="52.15" customHeight="1" x14ac:dyDescent="0.25">
      <c r="A29" s="684" t="s">
        <v>490</v>
      </c>
      <c r="B29" s="650" t="s">
        <v>287</v>
      </c>
      <c r="C29" s="668">
        <v>10</v>
      </c>
      <c r="D29" s="649">
        <v>5</v>
      </c>
      <c r="E29" s="669">
        <v>10</v>
      </c>
      <c r="F29" s="669">
        <v>0</v>
      </c>
      <c r="G29" s="669">
        <v>0</v>
      </c>
      <c r="H29" s="669">
        <v>0</v>
      </c>
      <c r="I29" s="689" t="s">
        <v>494</v>
      </c>
      <c r="J29" s="685" t="s">
        <v>495</v>
      </c>
    </row>
    <row r="30" spans="1:10" ht="30" x14ac:dyDescent="0.25">
      <c r="A30" s="683" t="s">
        <v>477</v>
      </c>
      <c r="B30" s="650" t="s">
        <v>287</v>
      </c>
      <c r="C30" s="668">
        <v>10</v>
      </c>
      <c r="D30" s="649">
        <v>5</v>
      </c>
      <c r="E30" s="669">
        <v>10</v>
      </c>
      <c r="F30" s="669">
        <v>0</v>
      </c>
      <c r="G30" s="669">
        <v>0</v>
      </c>
      <c r="H30" s="669">
        <v>0</v>
      </c>
      <c r="I30" s="690"/>
      <c r="J30" s="687"/>
    </row>
    <row r="31" spans="1:10" ht="60" x14ac:dyDescent="0.25">
      <c r="A31" s="683" t="s">
        <v>496</v>
      </c>
      <c r="B31" s="650" t="s">
        <v>505</v>
      </c>
      <c r="C31" s="669">
        <v>0</v>
      </c>
      <c r="D31" s="669">
        <v>0</v>
      </c>
      <c r="E31" s="669">
        <v>0</v>
      </c>
      <c r="F31" s="669">
        <v>0</v>
      </c>
      <c r="G31" s="669">
        <v>0</v>
      </c>
      <c r="H31" s="669">
        <v>0</v>
      </c>
      <c r="I31" s="689" t="s">
        <v>497</v>
      </c>
      <c r="J31" s="685" t="s">
        <v>501</v>
      </c>
    </row>
    <row r="32" spans="1:10" ht="30" x14ac:dyDescent="0.25">
      <c r="A32" s="683" t="s">
        <v>478</v>
      </c>
      <c r="B32" s="650" t="s">
        <v>505</v>
      </c>
      <c r="C32" s="669">
        <v>0</v>
      </c>
      <c r="D32" s="669">
        <v>0</v>
      </c>
      <c r="E32" s="669">
        <v>0</v>
      </c>
      <c r="F32" s="669">
        <v>0</v>
      </c>
      <c r="G32" s="669">
        <v>0</v>
      </c>
      <c r="H32" s="669">
        <v>0</v>
      </c>
      <c r="I32" s="691"/>
      <c r="J32" s="691"/>
    </row>
    <row r="33" spans="1:10" ht="30" x14ac:dyDescent="0.25">
      <c r="A33" s="648" t="s">
        <v>479</v>
      </c>
      <c r="B33" s="650" t="s">
        <v>505</v>
      </c>
      <c r="C33" s="669">
        <v>0</v>
      </c>
      <c r="D33" s="669">
        <v>0</v>
      </c>
      <c r="E33" s="669">
        <v>0</v>
      </c>
      <c r="F33" s="669">
        <v>0</v>
      </c>
      <c r="G33" s="669">
        <v>0</v>
      </c>
      <c r="H33" s="669">
        <v>0</v>
      </c>
      <c r="I33" s="691"/>
      <c r="J33" s="691"/>
    </row>
    <row r="34" spans="1:10" x14ac:dyDescent="0.25">
      <c r="A34" s="683" t="s">
        <v>480</v>
      </c>
      <c r="B34" s="650" t="s">
        <v>505</v>
      </c>
      <c r="C34" s="669">
        <v>0</v>
      </c>
      <c r="D34" s="669">
        <v>0</v>
      </c>
      <c r="E34" s="669">
        <v>0</v>
      </c>
      <c r="F34" s="669">
        <v>0</v>
      </c>
      <c r="G34" s="669">
        <v>0</v>
      </c>
      <c r="H34" s="669">
        <v>0</v>
      </c>
      <c r="I34" s="690"/>
      <c r="J34" s="687"/>
    </row>
    <row r="35" spans="1:10" x14ac:dyDescent="0.25">
      <c r="A35" s="683" t="s">
        <v>481</v>
      </c>
      <c r="B35" s="650" t="s">
        <v>505</v>
      </c>
      <c r="C35" s="669">
        <v>0</v>
      </c>
      <c r="D35" s="669">
        <v>0</v>
      </c>
      <c r="E35" s="669">
        <v>0</v>
      </c>
      <c r="F35" s="669">
        <v>0</v>
      </c>
      <c r="G35" s="669">
        <v>0</v>
      </c>
      <c r="H35" s="669">
        <v>0</v>
      </c>
      <c r="I35" s="690"/>
      <c r="J35" s="687"/>
    </row>
    <row r="36" spans="1:10" ht="45" x14ac:dyDescent="0.25">
      <c r="A36" s="675" t="s">
        <v>520</v>
      </c>
      <c r="B36" s="676" t="s">
        <v>519</v>
      </c>
      <c r="C36" s="677">
        <v>23</v>
      </c>
      <c r="D36" s="677">
        <v>12</v>
      </c>
      <c r="E36" s="677">
        <v>29</v>
      </c>
      <c r="F36" s="677">
        <v>15</v>
      </c>
      <c r="G36" s="677">
        <v>11</v>
      </c>
      <c r="H36" s="677">
        <v>29</v>
      </c>
      <c r="I36" s="690"/>
      <c r="J36" s="687"/>
    </row>
    <row r="37" spans="1:10" x14ac:dyDescent="0.25">
      <c r="A37" s="678" t="s">
        <v>523</v>
      </c>
      <c r="B37" s="672"/>
      <c r="C37" s="679">
        <v>70</v>
      </c>
      <c r="D37" s="679">
        <v>35</v>
      </c>
      <c r="E37" s="679">
        <v>86</v>
      </c>
      <c r="F37" s="679">
        <v>44</v>
      </c>
      <c r="G37" s="679">
        <v>35</v>
      </c>
      <c r="H37" s="679">
        <v>28</v>
      </c>
      <c r="I37" s="692" t="s">
        <v>500</v>
      </c>
      <c r="J37" s="693"/>
    </row>
    <row r="38" spans="1:10" x14ac:dyDescent="0.25">
      <c r="A38" s="667" t="s">
        <v>521</v>
      </c>
      <c r="B38" s="672"/>
      <c r="C38" s="670">
        <f>SUM(C24:C35)</f>
        <v>70</v>
      </c>
      <c r="D38" s="670">
        <f ca="1">SUM(D24:D59)</f>
        <v>160</v>
      </c>
      <c r="E38" s="670">
        <f>SUM(E24:E35)</f>
        <v>90</v>
      </c>
      <c r="F38" s="670">
        <f>SUM(F24:F35)</f>
        <v>15</v>
      </c>
      <c r="G38" s="670">
        <f>SUM(G24:G35)</f>
        <v>15</v>
      </c>
      <c r="H38" s="670">
        <f>SUM(H24:H35)</f>
        <v>15</v>
      </c>
      <c r="I38" s="690"/>
      <c r="J38" s="687"/>
    </row>
    <row r="39" spans="1:10" x14ac:dyDescent="0.25">
      <c r="A39" s="664" t="s">
        <v>522</v>
      </c>
      <c r="B39" s="680"/>
      <c r="C39" s="681">
        <f>C37-C38</f>
        <v>0</v>
      </c>
      <c r="D39" s="681">
        <f t="shared" ref="D39:H39" ca="1" si="7">D37-D38</f>
        <v>-20</v>
      </c>
      <c r="E39" s="681">
        <f t="shared" si="7"/>
        <v>-4</v>
      </c>
      <c r="F39" s="681">
        <f t="shared" si="7"/>
        <v>29</v>
      </c>
      <c r="G39" s="681">
        <f t="shared" si="7"/>
        <v>20</v>
      </c>
      <c r="H39" s="681">
        <f t="shared" si="7"/>
        <v>13</v>
      </c>
      <c r="I39" s="694"/>
      <c r="J39" s="694"/>
    </row>
    <row r="40" spans="1:10" x14ac:dyDescent="0.25">
      <c r="A40" s="665" t="s">
        <v>516</v>
      </c>
      <c r="B40" s="673"/>
      <c r="C40" s="671">
        <v>23</v>
      </c>
      <c r="D40" s="671">
        <v>12</v>
      </c>
      <c r="E40" s="671">
        <v>29</v>
      </c>
      <c r="F40" s="671">
        <v>15</v>
      </c>
      <c r="G40" s="671">
        <v>11</v>
      </c>
      <c r="H40" s="671">
        <v>29</v>
      </c>
      <c r="I40" s="653"/>
    </row>
    <row r="41" spans="1:10" s="81" customFormat="1" x14ac:dyDescent="0.25">
      <c r="A41" s="660"/>
      <c r="B41" s="638"/>
      <c r="C41" s="661"/>
      <c r="D41" s="662"/>
      <c r="E41" s="133"/>
      <c r="F41" s="133"/>
      <c r="G41" s="130"/>
      <c r="I41" s="661"/>
      <c r="J41" s="130"/>
    </row>
    <row r="42" spans="1:10" x14ac:dyDescent="0.25">
      <c r="I42" s="653"/>
    </row>
    <row r="44" spans="1:10" ht="45" x14ac:dyDescent="0.25">
      <c r="A44" s="663"/>
      <c r="B44" s="676" t="s">
        <v>507</v>
      </c>
      <c r="C44" s="650" t="s">
        <v>508</v>
      </c>
      <c r="D44" s="650" t="s">
        <v>509</v>
      </c>
      <c r="E44" s="650" t="s">
        <v>510</v>
      </c>
      <c r="F44" s="650" t="s">
        <v>511</v>
      </c>
      <c r="G44" s="650" t="s">
        <v>512</v>
      </c>
      <c r="H44" s="650" t="s">
        <v>513</v>
      </c>
    </row>
    <row r="45" spans="1:10" x14ac:dyDescent="0.25">
      <c r="A45" s="645" t="s">
        <v>518</v>
      </c>
      <c r="B45" s="650"/>
      <c r="C45" s="650"/>
      <c r="D45" s="650"/>
      <c r="E45" s="650"/>
      <c r="F45" s="650"/>
      <c r="G45" s="650"/>
      <c r="H45" s="650"/>
    </row>
    <row r="46" spans="1:10" x14ac:dyDescent="0.25">
      <c r="A46" s="644" t="s">
        <v>484</v>
      </c>
      <c r="B46" s="650" t="s">
        <v>517</v>
      </c>
      <c r="C46" s="650"/>
      <c r="D46" s="650"/>
      <c r="E46" s="650"/>
      <c r="F46" s="650"/>
      <c r="G46" s="650"/>
      <c r="H46" s="650"/>
    </row>
    <row r="47" spans="1:10" x14ac:dyDescent="0.25">
      <c r="A47" s="644" t="s">
        <v>483</v>
      </c>
      <c r="B47" s="650" t="s">
        <v>517</v>
      </c>
      <c r="C47" s="650"/>
      <c r="D47" s="650"/>
      <c r="E47" s="650"/>
      <c r="F47" s="650"/>
      <c r="G47" s="650"/>
      <c r="H47" s="650"/>
    </row>
    <row r="48" spans="1:10" x14ac:dyDescent="0.25">
      <c r="A48" s="644" t="s">
        <v>482</v>
      </c>
      <c r="B48" s="650" t="s">
        <v>492</v>
      </c>
      <c r="C48" s="651">
        <v>5</v>
      </c>
      <c r="D48" s="651">
        <v>5</v>
      </c>
      <c r="E48" s="649">
        <v>10</v>
      </c>
      <c r="F48" s="649">
        <v>10</v>
      </c>
      <c r="G48" s="649">
        <v>10</v>
      </c>
      <c r="H48" s="649">
        <v>20</v>
      </c>
    </row>
    <row r="49" spans="1:8" x14ac:dyDescent="0.25">
      <c r="A49" s="648" t="s">
        <v>485</v>
      </c>
      <c r="B49" s="650" t="s">
        <v>492</v>
      </c>
      <c r="C49" s="651">
        <v>5</v>
      </c>
      <c r="D49" s="651">
        <v>5</v>
      </c>
      <c r="E49" s="649">
        <v>10</v>
      </c>
      <c r="F49" s="649">
        <v>10</v>
      </c>
      <c r="G49" s="649">
        <v>10</v>
      </c>
      <c r="H49" s="649">
        <v>20</v>
      </c>
    </row>
    <row r="50" spans="1:8" x14ac:dyDescent="0.25">
      <c r="A50" s="644" t="s">
        <v>475</v>
      </c>
      <c r="B50" s="650" t="s">
        <v>492</v>
      </c>
      <c r="C50" s="651">
        <v>5</v>
      </c>
      <c r="D50" s="651">
        <v>5</v>
      </c>
      <c r="E50" s="649">
        <v>10</v>
      </c>
      <c r="F50" s="649">
        <v>10</v>
      </c>
      <c r="G50" s="649">
        <v>5</v>
      </c>
      <c r="H50" s="649">
        <v>15</v>
      </c>
    </row>
    <row r="51" spans="1:8" ht="45" x14ac:dyDescent="0.25">
      <c r="A51" s="644" t="s">
        <v>488</v>
      </c>
      <c r="B51" s="650" t="s">
        <v>492</v>
      </c>
      <c r="C51" s="651">
        <v>5</v>
      </c>
      <c r="D51" s="651">
        <v>5</v>
      </c>
      <c r="E51" s="649">
        <v>10</v>
      </c>
      <c r="F51" s="649">
        <v>10</v>
      </c>
      <c r="G51" s="649">
        <v>10</v>
      </c>
      <c r="H51" s="649">
        <v>15</v>
      </c>
    </row>
    <row r="52" spans="1:8" ht="30" x14ac:dyDescent="0.25">
      <c r="A52" s="644" t="s">
        <v>476</v>
      </c>
      <c r="B52" s="650" t="s">
        <v>492</v>
      </c>
      <c r="C52" s="651">
        <v>5</v>
      </c>
      <c r="D52" s="651">
        <v>5</v>
      </c>
      <c r="E52" s="649">
        <v>10</v>
      </c>
      <c r="F52" s="649">
        <v>2</v>
      </c>
      <c r="G52" s="649">
        <v>2</v>
      </c>
      <c r="H52" s="649">
        <v>5</v>
      </c>
    </row>
    <row r="53" spans="1:8" ht="30" x14ac:dyDescent="0.25">
      <c r="A53" s="663" t="s">
        <v>490</v>
      </c>
      <c r="B53" s="650" t="s">
        <v>492</v>
      </c>
      <c r="C53" s="651">
        <v>5</v>
      </c>
      <c r="D53" s="651">
        <v>5</v>
      </c>
      <c r="E53" s="649">
        <v>10</v>
      </c>
      <c r="F53" s="649">
        <v>2</v>
      </c>
      <c r="G53" s="649">
        <v>2</v>
      </c>
      <c r="H53" s="649">
        <v>5</v>
      </c>
    </row>
    <row r="54" spans="1:8" ht="30" x14ac:dyDescent="0.25">
      <c r="A54" s="644" t="s">
        <v>477</v>
      </c>
      <c r="B54" s="650" t="s">
        <v>492</v>
      </c>
      <c r="C54" s="651">
        <v>5</v>
      </c>
      <c r="D54" s="651">
        <v>5</v>
      </c>
      <c r="E54" s="649">
        <v>10</v>
      </c>
      <c r="F54" s="649">
        <v>2</v>
      </c>
      <c r="G54" s="649">
        <v>2</v>
      </c>
      <c r="H54" s="649">
        <v>5</v>
      </c>
    </row>
    <row r="55" spans="1:8" ht="30" x14ac:dyDescent="0.25">
      <c r="A55" s="644" t="s">
        <v>496</v>
      </c>
      <c r="B55" s="650" t="s">
        <v>287</v>
      </c>
      <c r="C55" s="651">
        <v>5</v>
      </c>
      <c r="D55" s="649">
        <v>5</v>
      </c>
      <c r="E55" s="649">
        <v>10</v>
      </c>
      <c r="F55" s="649">
        <v>0</v>
      </c>
      <c r="G55" s="649">
        <v>0</v>
      </c>
      <c r="H55" s="649">
        <v>0</v>
      </c>
    </row>
    <row r="56" spans="1:8" ht="30" x14ac:dyDescent="0.25">
      <c r="A56" s="644" t="s">
        <v>478</v>
      </c>
      <c r="B56" s="650" t="s">
        <v>287</v>
      </c>
      <c r="C56" s="651">
        <v>10</v>
      </c>
      <c r="D56" s="649">
        <v>15</v>
      </c>
      <c r="E56" s="649">
        <v>10</v>
      </c>
      <c r="F56" s="649">
        <v>0</v>
      </c>
      <c r="G56" s="649">
        <v>0</v>
      </c>
      <c r="H56" s="649">
        <v>0</v>
      </c>
    </row>
    <row r="57" spans="1:8" ht="30" x14ac:dyDescent="0.25">
      <c r="A57" s="646" t="s">
        <v>479</v>
      </c>
      <c r="B57" s="650" t="s">
        <v>287</v>
      </c>
      <c r="C57" s="651">
        <v>10</v>
      </c>
      <c r="D57" s="649">
        <v>10</v>
      </c>
      <c r="E57" s="649">
        <v>10</v>
      </c>
      <c r="F57" s="649">
        <v>0</v>
      </c>
      <c r="G57" s="649">
        <v>0</v>
      </c>
      <c r="H57" s="649">
        <v>0</v>
      </c>
    </row>
    <row r="58" spans="1:8" x14ac:dyDescent="0.25">
      <c r="A58" s="644" t="s">
        <v>480</v>
      </c>
      <c r="B58" s="650" t="s">
        <v>287</v>
      </c>
      <c r="C58" s="651">
        <v>10</v>
      </c>
      <c r="D58" s="649">
        <v>15</v>
      </c>
      <c r="E58" s="649">
        <v>15</v>
      </c>
      <c r="F58" s="649">
        <v>0</v>
      </c>
      <c r="G58" s="649">
        <v>0</v>
      </c>
      <c r="H58" s="649">
        <v>0</v>
      </c>
    </row>
    <row r="59" spans="1:8" x14ac:dyDescent="0.25">
      <c r="A59" s="644" t="s">
        <v>481</v>
      </c>
      <c r="B59" s="650" t="s">
        <v>287</v>
      </c>
      <c r="C59" s="651">
        <v>10</v>
      </c>
      <c r="D59" s="649">
        <v>5</v>
      </c>
      <c r="E59" s="649">
        <v>10</v>
      </c>
      <c r="F59" s="649">
        <v>0</v>
      </c>
      <c r="G59" s="649">
        <v>0</v>
      </c>
      <c r="H59" s="649">
        <v>0</v>
      </c>
    </row>
    <row r="60" spans="1:8" ht="45" x14ac:dyDescent="0.25">
      <c r="A60" s="675" t="s">
        <v>520</v>
      </c>
      <c r="B60" s="676" t="s">
        <v>519</v>
      </c>
      <c r="C60" s="651">
        <v>22</v>
      </c>
      <c r="D60" s="649">
        <v>11</v>
      </c>
      <c r="E60" s="649">
        <v>27</v>
      </c>
      <c r="F60" s="649">
        <v>14</v>
      </c>
      <c r="G60" s="649">
        <v>11</v>
      </c>
      <c r="H60" s="649">
        <v>27</v>
      </c>
    </row>
    <row r="61" spans="1:8" x14ac:dyDescent="0.25">
      <c r="A61" s="678" t="s">
        <v>523</v>
      </c>
      <c r="B61" s="678"/>
      <c r="C61" s="679">
        <v>67</v>
      </c>
      <c r="D61" s="679">
        <v>34</v>
      </c>
      <c r="E61" s="679">
        <v>83</v>
      </c>
      <c r="F61" s="679">
        <v>43</v>
      </c>
      <c r="G61" s="679">
        <v>34</v>
      </c>
      <c r="H61" s="679">
        <v>83</v>
      </c>
    </row>
    <row r="62" spans="1:8" x14ac:dyDescent="0.25">
      <c r="A62" s="667" t="s">
        <v>521</v>
      </c>
      <c r="B62" s="678"/>
      <c r="C62" s="670">
        <f t="shared" ref="C62:H62" si="8">SUM(C46:C59)</f>
        <v>80</v>
      </c>
      <c r="D62" s="670">
        <f t="shared" si="8"/>
        <v>85</v>
      </c>
      <c r="E62" s="670">
        <f t="shared" si="8"/>
        <v>125</v>
      </c>
      <c r="F62" s="670">
        <f t="shared" si="8"/>
        <v>46</v>
      </c>
      <c r="G62" s="670">
        <f t="shared" si="8"/>
        <v>41</v>
      </c>
      <c r="H62" s="670">
        <f t="shared" si="8"/>
        <v>85</v>
      </c>
    </row>
    <row r="63" spans="1:8" x14ac:dyDescent="0.25">
      <c r="A63" s="664" t="s">
        <v>522</v>
      </c>
      <c r="B63" s="680"/>
      <c r="C63" s="682">
        <f>C61-C62</f>
        <v>-13</v>
      </c>
      <c r="D63" s="682">
        <f t="shared" ref="D63:H63" si="9">D61-D62</f>
        <v>-51</v>
      </c>
      <c r="E63" s="682">
        <f t="shared" si="9"/>
        <v>-42</v>
      </c>
      <c r="F63" s="682">
        <f t="shared" si="9"/>
        <v>-3</v>
      </c>
      <c r="G63" s="682">
        <f t="shared" si="9"/>
        <v>-7</v>
      </c>
      <c r="H63" s="682">
        <f t="shared" si="9"/>
        <v>-2</v>
      </c>
    </row>
    <row r="64" spans="1:8" x14ac:dyDescent="0.25">
      <c r="A64" s="665" t="s">
        <v>516</v>
      </c>
      <c r="B64" s="673"/>
      <c r="C64" s="671">
        <v>22</v>
      </c>
      <c r="D64" s="671">
        <v>11</v>
      </c>
      <c r="E64" s="671">
        <v>27</v>
      </c>
      <c r="F64" s="671">
        <v>14</v>
      </c>
      <c r="G64" s="671">
        <v>11</v>
      </c>
      <c r="H64" s="671">
        <v>27</v>
      </c>
    </row>
    <row r="69" spans="1:5" x14ac:dyDescent="0.25">
      <c r="A69"/>
      <c r="B69"/>
      <c r="C69" t="s">
        <v>514</v>
      </c>
      <c r="D69" t="s">
        <v>515</v>
      </c>
      <c r="E69" t="s">
        <v>505</v>
      </c>
    </row>
    <row r="70" spans="1:5" x14ac:dyDescent="0.25">
      <c r="A70"/>
      <c r="B70"/>
      <c r="C70">
        <v>62</v>
      </c>
      <c r="D70">
        <v>66</v>
      </c>
      <c r="E70">
        <v>64</v>
      </c>
    </row>
    <row r="71" spans="1:5" x14ac:dyDescent="0.25">
      <c r="A71" s="652">
        <v>0.1</v>
      </c>
      <c r="B71" t="s">
        <v>503</v>
      </c>
      <c r="C71">
        <v>6</v>
      </c>
      <c r="D71"/>
    </row>
    <row r="72" spans="1:5" x14ac:dyDescent="0.25">
      <c r="A72" s="652">
        <v>0.2</v>
      </c>
      <c r="B72" t="s">
        <v>502</v>
      </c>
      <c r="C72">
        <v>12</v>
      </c>
      <c r="D72"/>
    </row>
    <row r="73" spans="1:5" x14ac:dyDescent="0.25">
      <c r="A73" s="652">
        <v>0.7</v>
      </c>
      <c r="B73" t="s">
        <v>504</v>
      </c>
      <c r="C73"/>
      <c r="D73" s="695">
        <f>66/62</f>
        <v>1.064516129032258</v>
      </c>
    </row>
    <row r="74" spans="1:5" x14ac:dyDescent="0.25">
      <c r="A74"/>
      <c r="B74"/>
      <c r="C74"/>
      <c r="D74"/>
    </row>
  </sheetData>
  <phoneticPr fontId="22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A1396-323C-4E07-A69D-73B7FBC3129F}">
  <sheetPr filterMode="1"/>
  <dimension ref="A1:AA39"/>
  <sheetViews>
    <sheetView zoomScale="70" zoomScaleNormal="70" workbookViewId="0">
      <pane ySplit="2" topLeftCell="A3" activePane="bottomLeft" state="frozen"/>
      <selection pane="bottomLeft" activeCell="H11" sqref="H11"/>
    </sheetView>
  </sheetViews>
  <sheetFormatPr defaultColWidth="8.85546875" defaultRowHeight="18.75" outlineLevelCol="1" x14ac:dyDescent="0.25"/>
  <cols>
    <col min="1" max="1" width="3.7109375" style="336" customWidth="1"/>
    <col min="2" max="2" width="7.28515625" style="337" customWidth="1"/>
    <col min="3" max="3" width="20.28515625" style="337" customWidth="1"/>
    <col min="4" max="4" width="18.28515625" style="340" customWidth="1"/>
    <col min="5" max="5" width="12.85546875" style="432" customWidth="1"/>
    <col min="6" max="6" width="7.7109375" style="337" customWidth="1"/>
    <col min="7" max="7" width="22.85546875" style="337" customWidth="1"/>
    <col min="8" max="8" width="38.28515625" style="337" customWidth="1"/>
    <col min="9" max="9" width="65.5703125" style="337" customWidth="1"/>
    <col min="10" max="10" width="19.28515625" style="337" customWidth="1"/>
    <col min="11" max="12" width="15.28515625" style="338" customWidth="1"/>
    <col min="13" max="13" width="12.7109375" style="337" bestFit="1" customWidth="1" outlineLevel="1"/>
    <col min="14" max="14" width="22.28515625" style="337" customWidth="1" outlineLevel="1"/>
    <col min="15" max="15" width="13.140625" style="338" bestFit="1" customWidth="1" outlineLevel="1"/>
    <col min="16" max="16" width="11.7109375" style="337" bestFit="1" customWidth="1" outlineLevel="1"/>
    <col min="17" max="17" width="12.5703125" style="337" customWidth="1" outlineLevel="1"/>
    <col min="18" max="18" width="8.7109375" style="337" customWidth="1" outlineLevel="1"/>
    <col min="19" max="19" width="19.7109375" style="337" customWidth="1" outlineLevel="1"/>
    <col min="20" max="21" width="8.7109375" style="337" customWidth="1" outlineLevel="1"/>
    <col min="22" max="22" width="11.5703125" style="337" customWidth="1" outlineLevel="1"/>
    <col min="23" max="23" width="10.5703125" style="337" customWidth="1" outlineLevel="1"/>
    <col min="24" max="24" width="8.7109375" style="337" customWidth="1" outlineLevel="1"/>
    <col min="25" max="25" width="25.28515625" style="337" customWidth="1" outlineLevel="1"/>
    <col min="26" max="26" width="17.42578125" style="337" customWidth="1" outlineLevel="1"/>
    <col min="27" max="27" width="15" style="337" customWidth="1"/>
    <col min="28" max="16384" width="8.85546875" style="336"/>
  </cols>
  <sheetData>
    <row r="1" spans="1:27" ht="21" x14ac:dyDescent="0.25">
      <c r="B1" s="426" t="s">
        <v>357</v>
      </c>
      <c r="C1" s="426"/>
      <c r="D1" s="425"/>
      <c r="E1" s="430"/>
      <c r="F1" s="424"/>
      <c r="G1" s="424"/>
      <c r="H1" s="424"/>
      <c r="I1" s="424"/>
      <c r="J1" s="423"/>
      <c r="K1" s="422"/>
      <c r="L1" s="422"/>
      <c r="M1" s="420"/>
      <c r="N1" s="420"/>
      <c r="O1" s="421"/>
      <c r="P1" s="420"/>
      <c r="Q1" s="420"/>
      <c r="R1" s="420"/>
      <c r="S1" s="420"/>
      <c r="T1" s="420"/>
      <c r="U1" s="420"/>
      <c r="V1" s="420"/>
      <c r="W1" s="420"/>
      <c r="X1" s="420"/>
      <c r="Y1" s="420"/>
      <c r="Z1" s="420"/>
      <c r="AA1" s="419" t="s">
        <v>356</v>
      </c>
    </row>
    <row r="2" spans="1:27" ht="30.6" customHeight="1" thickBot="1" x14ac:dyDescent="0.3">
      <c r="B2" s="412" t="s">
        <v>355</v>
      </c>
      <c r="C2" s="415" t="s">
        <v>1</v>
      </c>
      <c r="D2" s="417" t="s">
        <v>2</v>
      </c>
      <c r="E2" s="431" t="s">
        <v>3</v>
      </c>
      <c r="F2" s="416" t="s">
        <v>354</v>
      </c>
      <c r="G2" s="415" t="s">
        <v>353</v>
      </c>
      <c r="H2" s="415" t="s">
        <v>352</v>
      </c>
      <c r="I2" s="415" t="s">
        <v>351</v>
      </c>
      <c r="J2" s="415" t="s">
        <v>350</v>
      </c>
      <c r="K2" s="415" t="s">
        <v>349</v>
      </c>
      <c r="L2" s="415" t="s">
        <v>348</v>
      </c>
      <c r="M2" s="413" t="s">
        <v>347</v>
      </c>
      <c r="N2" s="413" t="s">
        <v>305</v>
      </c>
      <c r="O2" s="414" t="s">
        <v>346</v>
      </c>
      <c r="P2" s="413" t="s">
        <v>58</v>
      </c>
      <c r="Q2" s="413" t="s">
        <v>345</v>
      </c>
      <c r="R2" s="413" t="s">
        <v>344</v>
      </c>
      <c r="S2" s="413" t="s">
        <v>343</v>
      </c>
      <c r="T2" s="413" t="s">
        <v>43</v>
      </c>
      <c r="U2" s="413" t="s">
        <v>342</v>
      </c>
      <c r="V2" s="413" t="s">
        <v>35</v>
      </c>
      <c r="W2" s="413" t="s">
        <v>341</v>
      </c>
      <c r="X2" s="413" t="s">
        <v>68</v>
      </c>
      <c r="Y2" s="413" t="s">
        <v>340</v>
      </c>
      <c r="Z2" s="413" t="s">
        <v>99</v>
      </c>
      <c r="AA2" s="412" t="s">
        <v>278</v>
      </c>
    </row>
    <row r="3" spans="1:27" s="337" customFormat="1" ht="19.5" hidden="1" thickTop="1" x14ac:dyDescent="0.25">
      <c r="B3" s="371">
        <v>1</v>
      </c>
      <c r="C3" s="370" t="s">
        <v>339</v>
      </c>
      <c r="D3" s="369"/>
      <c r="E3" s="368"/>
      <c r="F3" s="367"/>
      <c r="G3" s="367"/>
      <c r="H3" s="367"/>
      <c r="I3" s="367"/>
      <c r="J3" s="365"/>
      <c r="K3" s="366"/>
      <c r="L3" s="366"/>
      <c r="M3" s="365"/>
      <c r="N3" s="365"/>
      <c r="O3" s="366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4" t="s">
        <v>278</v>
      </c>
    </row>
    <row r="4" spans="1:27" s="406" customFormat="1" ht="29.65" hidden="1" customHeight="1" x14ac:dyDescent="0.25">
      <c r="A4" s="341"/>
      <c r="B4" s="407"/>
      <c r="C4" s="411" t="s">
        <v>25</v>
      </c>
      <c r="D4" s="410" t="s">
        <v>22</v>
      </c>
      <c r="E4" s="410" t="s">
        <v>23</v>
      </c>
      <c r="F4" s="409" t="s">
        <v>269</v>
      </c>
      <c r="G4" s="397" t="s">
        <v>338</v>
      </c>
      <c r="H4" s="397"/>
      <c r="I4" s="397"/>
      <c r="J4" s="407" t="s">
        <v>282</v>
      </c>
      <c r="K4" s="408" t="s">
        <v>337</v>
      </c>
      <c r="L4" s="408"/>
      <c r="M4" s="408"/>
      <c r="N4" s="408"/>
      <c r="O4" s="408"/>
      <c r="P4" s="407"/>
      <c r="Q4" s="407"/>
      <c r="R4" s="407"/>
      <c r="S4" s="407"/>
      <c r="T4" s="407"/>
      <c r="U4" s="407"/>
      <c r="V4" s="407"/>
      <c r="W4" s="407"/>
      <c r="X4" s="407"/>
      <c r="Y4" s="407"/>
      <c r="Z4" s="407"/>
      <c r="AA4" s="407"/>
    </row>
    <row r="5" spans="1:27" s="398" customFormat="1" ht="38.1" hidden="1" customHeight="1" x14ac:dyDescent="0.25">
      <c r="A5" s="405"/>
      <c r="B5" s="399"/>
      <c r="C5" s="404" t="s">
        <v>336</v>
      </c>
      <c r="D5" s="403" t="s">
        <v>29</v>
      </c>
      <c r="E5" s="403" t="s">
        <v>30</v>
      </c>
      <c r="F5" s="402" t="s">
        <v>269</v>
      </c>
      <c r="G5" s="401" t="s">
        <v>335</v>
      </c>
      <c r="H5" s="401"/>
      <c r="I5" s="401"/>
      <c r="J5" s="399" t="s">
        <v>282</v>
      </c>
      <c r="K5" s="400" t="s">
        <v>334</v>
      </c>
      <c r="L5" s="400"/>
      <c r="M5" s="400" t="s">
        <v>265</v>
      </c>
      <c r="N5" s="400"/>
      <c r="O5" s="400"/>
      <c r="P5" s="399"/>
      <c r="Q5" s="400"/>
      <c r="R5" s="399"/>
      <c r="S5" s="399"/>
      <c r="T5" s="399"/>
      <c r="U5" s="399"/>
      <c r="V5" s="399"/>
      <c r="W5" s="399"/>
      <c r="X5" s="399"/>
      <c r="Y5" s="399"/>
      <c r="Z5" s="399"/>
      <c r="AA5" s="399"/>
    </row>
    <row r="6" spans="1:27" ht="80.650000000000006" hidden="1" customHeight="1" x14ac:dyDescent="0.25">
      <c r="A6" s="341"/>
      <c r="C6" s="391" t="s">
        <v>43</v>
      </c>
      <c r="D6" s="388" t="s">
        <v>333</v>
      </c>
      <c r="E6" s="388" t="s">
        <v>332</v>
      </c>
      <c r="F6" s="350"/>
      <c r="G6" s="397" t="s">
        <v>331</v>
      </c>
      <c r="H6" s="397"/>
      <c r="I6" s="397"/>
      <c r="J6" s="337" t="s">
        <v>282</v>
      </c>
      <c r="K6" s="338" t="s">
        <v>330</v>
      </c>
      <c r="M6" s="338"/>
      <c r="N6" s="338"/>
      <c r="Q6" s="338"/>
    </row>
    <row r="7" spans="1:27" s="372" customFormat="1" ht="268.5" hidden="1" thickTop="1" x14ac:dyDescent="0.25">
      <c r="A7" s="381"/>
      <c r="B7" s="373"/>
      <c r="C7" s="396" t="s">
        <v>35</v>
      </c>
      <c r="D7" s="395" t="s">
        <v>33</v>
      </c>
      <c r="E7" s="395" t="s">
        <v>329</v>
      </c>
      <c r="F7" s="377" t="s">
        <v>269</v>
      </c>
      <c r="G7" s="394" t="s">
        <v>328</v>
      </c>
      <c r="H7" s="394"/>
      <c r="I7" s="394"/>
      <c r="J7" s="373" t="s">
        <v>282</v>
      </c>
      <c r="K7" s="374" t="s">
        <v>321</v>
      </c>
      <c r="L7" s="374" t="s">
        <v>265</v>
      </c>
      <c r="M7" s="373"/>
      <c r="N7" s="373"/>
      <c r="O7" s="374"/>
      <c r="P7" s="373"/>
      <c r="Q7" s="373"/>
      <c r="R7" s="373"/>
      <c r="S7" s="373"/>
      <c r="T7" s="373"/>
      <c r="U7" s="373"/>
      <c r="V7" s="374"/>
      <c r="W7" s="373"/>
      <c r="X7" s="373"/>
      <c r="Y7" s="373"/>
      <c r="Z7" s="373"/>
      <c r="AA7" s="373"/>
    </row>
    <row r="8" spans="1:27" ht="315.75" hidden="1" thickTop="1" x14ac:dyDescent="0.25">
      <c r="A8" s="341"/>
      <c r="C8" s="391" t="s">
        <v>35</v>
      </c>
      <c r="D8" s="393" t="s">
        <v>327</v>
      </c>
      <c r="E8" s="363" t="s">
        <v>326</v>
      </c>
      <c r="F8" s="350" t="s">
        <v>269</v>
      </c>
      <c r="G8" s="383" t="s">
        <v>325</v>
      </c>
      <c r="H8" s="383"/>
      <c r="I8" s="383"/>
      <c r="J8" s="337" t="s">
        <v>282</v>
      </c>
      <c r="K8" s="338" t="s">
        <v>321</v>
      </c>
    </row>
    <row r="9" spans="1:27" ht="300.75" hidden="1" thickTop="1" x14ac:dyDescent="0.25">
      <c r="A9" s="341"/>
      <c r="C9" s="391" t="s">
        <v>35</v>
      </c>
      <c r="D9" s="392" t="s">
        <v>324</v>
      </c>
      <c r="E9" s="363" t="s">
        <v>323</v>
      </c>
      <c r="F9" s="350" t="s">
        <v>269</v>
      </c>
      <c r="G9" s="383" t="s">
        <v>322</v>
      </c>
      <c r="H9" s="383"/>
      <c r="I9" s="383"/>
      <c r="J9" s="337" t="s">
        <v>282</v>
      </c>
      <c r="K9" s="338" t="s">
        <v>321</v>
      </c>
    </row>
    <row r="10" spans="1:27" ht="135.75" hidden="1" thickTop="1" x14ac:dyDescent="0.25">
      <c r="A10" s="341"/>
      <c r="C10" s="391" t="s">
        <v>320</v>
      </c>
      <c r="D10" s="379" t="s">
        <v>319</v>
      </c>
      <c r="E10" s="379" t="s">
        <v>318</v>
      </c>
      <c r="F10" s="350" t="s">
        <v>269</v>
      </c>
      <c r="G10" s="383" t="s">
        <v>317</v>
      </c>
      <c r="H10" s="383"/>
      <c r="I10" s="383"/>
      <c r="J10" s="337" t="s">
        <v>307</v>
      </c>
      <c r="K10" s="338" t="s">
        <v>266</v>
      </c>
      <c r="Z10" s="337" t="s">
        <v>265</v>
      </c>
    </row>
    <row r="11" spans="1:27" s="446" customFormat="1" ht="135.75" thickTop="1" x14ac:dyDescent="0.25">
      <c r="A11" s="420"/>
      <c r="B11" s="423"/>
      <c r="C11" s="440" t="s">
        <v>316</v>
      </c>
      <c r="D11" s="441" t="s">
        <v>315</v>
      </c>
      <c r="E11" s="442" t="s">
        <v>314</v>
      </c>
      <c r="F11" s="443" t="s">
        <v>269</v>
      </c>
      <c r="G11" s="444" t="s">
        <v>313</v>
      </c>
      <c r="H11" s="444" t="s">
        <v>312</v>
      </c>
      <c r="I11" s="445" t="s">
        <v>311</v>
      </c>
      <c r="J11" s="423" t="s">
        <v>307</v>
      </c>
      <c r="K11" s="422" t="s">
        <v>310</v>
      </c>
      <c r="L11" s="422"/>
      <c r="M11" s="423" t="s">
        <v>265</v>
      </c>
      <c r="N11" s="423" t="s">
        <v>265</v>
      </c>
      <c r="O11" s="422" t="s">
        <v>265</v>
      </c>
      <c r="P11" s="423" t="s">
        <v>265</v>
      </c>
      <c r="Q11" s="423" t="s">
        <v>265</v>
      </c>
      <c r="R11" s="423"/>
      <c r="S11" s="423"/>
      <c r="T11" s="423"/>
      <c r="U11" s="423"/>
      <c r="V11" s="423"/>
      <c r="W11" s="423"/>
      <c r="X11" s="423"/>
      <c r="Y11" s="423" t="s">
        <v>265</v>
      </c>
      <c r="Z11" s="423"/>
      <c r="AA11" s="423"/>
    </row>
    <row r="12" spans="1:27" ht="150" x14ac:dyDescent="0.25">
      <c r="A12" s="341"/>
      <c r="C12" s="436" t="s">
        <v>367</v>
      </c>
      <c r="D12" s="390" t="s">
        <v>309</v>
      </c>
      <c r="E12" s="390" t="s">
        <v>308</v>
      </c>
      <c r="F12" s="350" t="s">
        <v>269</v>
      </c>
      <c r="G12" s="383"/>
      <c r="H12" s="383" t="s">
        <v>379</v>
      </c>
      <c r="I12" s="338" t="s">
        <v>368</v>
      </c>
      <c r="J12" s="337" t="s">
        <v>307</v>
      </c>
      <c r="K12" s="338" t="s">
        <v>306</v>
      </c>
      <c r="M12" s="337" t="s">
        <v>265</v>
      </c>
      <c r="N12" s="337" t="s">
        <v>265</v>
      </c>
      <c r="O12" s="338" t="s">
        <v>265</v>
      </c>
      <c r="P12" s="337" t="s">
        <v>265</v>
      </c>
      <c r="Q12" s="337" t="s">
        <v>265</v>
      </c>
      <c r="R12" s="337" t="s">
        <v>265</v>
      </c>
      <c r="S12" s="337" t="s">
        <v>265</v>
      </c>
    </row>
    <row r="13" spans="1:27" s="337" customFormat="1" x14ac:dyDescent="0.25">
      <c r="A13" s="341"/>
      <c r="B13" s="371">
        <v>2</v>
      </c>
      <c r="C13" s="370" t="s">
        <v>44</v>
      </c>
      <c r="D13" s="369"/>
      <c r="E13" s="368"/>
      <c r="F13" s="367"/>
      <c r="G13" s="389"/>
      <c r="H13" s="389"/>
      <c r="I13" s="389"/>
      <c r="J13" s="365"/>
      <c r="K13" s="366"/>
      <c r="L13" s="366"/>
      <c r="M13" s="365"/>
      <c r="N13" s="365"/>
      <c r="O13" s="366"/>
      <c r="P13" s="365"/>
      <c r="Q13" s="365"/>
      <c r="R13" s="365"/>
      <c r="S13" s="365"/>
      <c r="T13" s="365"/>
      <c r="U13" s="365"/>
      <c r="V13" s="365"/>
      <c r="W13" s="365"/>
      <c r="X13" s="365"/>
      <c r="Y13" s="365"/>
      <c r="Z13" s="365"/>
      <c r="AA13" s="364" t="s">
        <v>278</v>
      </c>
    </row>
    <row r="14" spans="1:27" ht="135" x14ac:dyDescent="0.25">
      <c r="A14" s="341"/>
      <c r="B14" s="341"/>
      <c r="C14" s="385" t="s">
        <v>305</v>
      </c>
      <c r="D14" s="1561" t="s">
        <v>304</v>
      </c>
      <c r="E14" s="379" t="s">
        <v>303</v>
      </c>
      <c r="F14" s="350" t="s">
        <v>269</v>
      </c>
      <c r="G14" s="383" t="s">
        <v>302</v>
      </c>
      <c r="H14" s="383"/>
      <c r="I14" s="383"/>
      <c r="J14" s="337" t="s">
        <v>282</v>
      </c>
      <c r="K14" s="338" t="s">
        <v>299</v>
      </c>
      <c r="O14" s="387"/>
      <c r="W14" s="338"/>
    </row>
    <row r="15" spans="1:27" ht="120" x14ac:dyDescent="0.25">
      <c r="A15" s="341"/>
      <c r="B15" s="341"/>
      <c r="C15" s="385"/>
      <c r="D15" s="1561"/>
      <c r="E15" s="388" t="s">
        <v>301</v>
      </c>
      <c r="F15" s="350" t="s">
        <v>269</v>
      </c>
      <c r="G15" s="383" t="s">
        <v>300</v>
      </c>
      <c r="H15" s="383"/>
      <c r="I15" s="383"/>
      <c r="J15" s="337" t="s">
        <v>282</v>
      </c>
      <c r="K15" s="338" t="s">
        <v>299</v>
      </c>
      <c r="T15" s="338"/>
    </row>
    <row r="16" spans="1:27" s="429" customFormat="1" ht="195" x14ac:dyDescent="0.25">
      <c r="A16" s="418"/>
      <c r="B16" s="418"/>
      <c r="C16" s="428"/>
      <c r="D16" s="438" t="s">
        <v>298</v>
      </c>
      <c r="E16" s="386" t="s">
        <v>297</v>
      </c>
      <c r="F16" s="350" t="s">
        <v>269</v>
      </c>
      <c r="G16" s="383" t="s">
        <v>296</v>
      </c>
      <c r="H16" s="383" t="s">
        <v>295</v>
      </c>
      <c r="I16" s="383" t="s">
        <v>294</v>
      </c>
      <c r="J16" s="338" t="s">
        <v>288</v>
      </c>
      <c r="K16" s="382" t="s">
        <v>272</v>
      </c>
      <c r="L16" s="338" t="s">
        <v>293</v>
      </c>
      <c r="M16" s="338" t="s">
        <v>265</v>
      </c>
      <c r="N16" s="338" t="s">
        <v>265</v>
      </c>
      <c r="O16" s="338" t="s">
        <v>265</v>
      </c>
      <c r="P16" s="338" t="s">
        <v>265</v>
      </c>
      <c r="Q16" s="338" t="s">
        <v>265</v>
      </c>
      <c r="R16" s="338"/>
      <c r="S16" s="338"/>
      <c r="T16" s="338" t="s">
        <v>265</v>
      </c>
      <c r="U16" s="338"/>
      <c r="V16" s="338" t="s">
        <v>265</v>
      </c>
      <c r="W16" s="338"/>
      <c r="X16" s="338" t="s">
        <v>265</v>
      </c>
      <c r="Y16" s="338"/>
      <c r="Z16" s="338"/>
      <c r="AA16" s="338"/>
    </row>
    <row r="17" spans="1:27" ht="90" x14ac:dyDescent="0.25">
      <c r="A17" s="341"/>
      <c r="B17" s="341"/>
      <c r="C17" s="385"/>
      <c r="D17" s="1562" t="s">
        <v>72</v>
      </c>
      <c r="E17" s="384" t="s">
        <v>292</v>
      </c>
      <c r="F17" s="350" t="s">
        <v>269</v>
      </c>
      <c r="G17" s="383" t="s">
        <v>291</v>
      </c>
      <c r="H17" s="383" t="s">
        <v>290</v>
      </c>
      <c r="I17" s="383" t="s">
        <v>289</v>
      </c>
      <c r="J17" s="337" t="s">
        <v>288</v>
      </c>
      <c r="K17" s="338" t="s">
        <v>287</v>
      </c>
      <c r="O17" s="338" t="s">
        <v>265</v>
      </c>
      <c r="P17" s="338"/>
      <c r="Q17" s="337" t="s">
        <v>194</v>
      </c>
      <c r="R17" s="337" t="s">
        <v>265</v>
      </c>
      <c r="S17" s="338" t="s">
        <v>265</v>
      </c>
      <c r="V17" s="338" t="s">
        <v>265</v>
      </c>
    </row>
    <row r="18" spans="1:27" ht="60" x14ac:dyDescent="0.25">
      <c r="A18" s="341"/>
      <c r="C18" s="346"/>
      <c r="D18" s="1562"/>
      <c r="E18" s="384" t="s">
        <v>286</v>
      </c>
      <c r="F18" s="350" t="s">
        <v>269</v>
      </c>
      <c r="G18" s="383" t="s">
        <v>285</v>
      </c>
      <c r="H18" s="383" t="s">
        <v>284</v>
      </c>
      <c r="I18" s="383" t="s">
        <v>283</v>
      </c>
      <c r="J18" s="338" t="s">
        <v>282</v>
      </c>
      <c r="K18" s="382" t="s">
        <v>272</v>
      </c>
      <c r="O18" s="338" t="s">
        <v>265</v>
      </c>
      <c r="P18" s="338"/>
      <c r="S18" s="338"/>
      <c r="V18" s="338" t="s">
        <v>265</v>
      </c>
    </row>
    <row r="19" spans="1:27" s="372" customFormat="1" ht="135" hidden="1" x14ac:dyDescent="0.25">
      <c r="A19" s="381"/>
      <c r="B19" s="373"/>
      <c r="C19" s="380"/>
      <c r="D19" s="379" t="s">
        <v>281</v>
      </c>
      <c r="E19" s="378" t="s">
        <v>281</v>
      </c>
      <c r="F19" s="377" t="s">
        <v>269</v>
      </c>
      <c r="G19" s="376"/>
      <c r="H19" s="376"/>
      <c r="I19" s="376"/>
      <c r="J19" s="374"/>
      <c r="K19" s="375" t="s">
        <v>280</v>
      </c>
      <c r="L19" s="374"/>
      <c r="M19" s="373"/>
      <c r="N19" s="373"/>
      <c r="O19" s="374"/>
      <c r="P19" s="374"/>
      <c r="Q19" s="373"/>
      <c r="R19" s="373"/>
      <c r="S19" s="374" t="s">
        <v>265</v>
      </c>
      <c r="T19" s="373" t="s">
        <v>265</v>
      </c>
      <c r="U19" s="373" t="s">
        <v>265</v>
      </c>
      <c r="V19" s="374"/>
      <c r="W19" s="373"/>
      <c r="X19" s="373"/>
      <c r="Y19" s="373"/>
      <c r="Z19" s="373"/>
      <c r="AA19" s="373"/>
    </row>
    <row r="20" spans="1:27" hidden="1" x14ac:dyDescent="0.25">
      <c r="A20" s="341"/>
      <c r="B20" s="371">
        <v>3</v>
      </c>
      <c r="C20" s="370" t="s">
        <v>279</v>
      </c>
      <c r="D20" s="369"/>
      <c r="E20" s="368"/>
      <c r="F20" s="367"/>
      <c r="G20" s="367"/>
      <c r="H20" s="367"/>
      <c r="I20" s="367"/>
      <c r="J20" s="365"/>
      <c r="K20" s="366"/>
      <c r="L20" s="366"/>
      <c r="M20" s="365"/>
      <c r="N20" s="365"/>
      <c r="O20" s="366"/>
      <c r="P20" s="365"/>
      <c r="Q20" s="365"/>
      <c r="R20" s="365"/>
      <c r="S20" s="365"/>
      <c r="T20" s="365"/>
      <c r="U20" s="365"/>
      <c r="V20" s="365"/>
      <c r="W20" s="365"/>
      <c r="X20" s="365"/>
      <c r="Y20" s="365"/>
      <c r="Z20" s="365"/>
      <c r="AA20" s="364" t="s">
        <v>278</v>
      </c>
    </row>
    <row r="21" spans="1:27" ht="150" hidden="1" x14ac:dyDescent="0.25">
      <c r="A21" s="341"/>
      <c r="C21" s="346"/>
      <c r="D21" s="363" t="s">
        <v>97</v>
      </c>
      <c r="E21" s="362" t="s">
        <v>98</v>
      </c>
      <c r="F21" s="350" t="s">
        <v>269</v>
      </c>
      <c r="G21" s="361"/>
      <c r="H21" s="361"/>
      <c r="I21" s="361"/>
      <c r="J21" s="337" t="s">
        <v>277</v>
      </c>
      <c r="K21" s="360" t="s">
        <v>266</v>
      </c>
      <c r="L21" s="360"/>
      <c r="Z21" s="338"/>
    </row>
    <row r="22" spans="1:27" s="352" customFormat="1" ht="120" hidden="1" x14ac:dyDescent="0.25">
      <c r="A22" s="359"/>
      <c r="B22" s="353"/>
      <c r="C22" s="353" t="s">
        <v>276</v>
      </c>
      <c r="D22" s="358" t="s">
        <v>275</v>
      </c>
      <c r="E22" s="358" t="s">
        <v>275</v>
      </c>
      <c r="F22" s="357" t="s">
        <v>269</v>
      </c>
      <c r="G22" s="356" t="s">
        <v>274</v>
      </c>
      <c r="H22" s="356" t="s">
        <v>273</v>
      </c>
      <c r="I22" s="356"/>
      <c r="J22" s="353" t="s">
        <v>267</v>
      </c>
      <c r="K22" s="355" t="s">
        <v>272</v>
      </c>
      <c r="L22" s="355"/>
      <c r="M22" s="353" t="s">
        <v>265</v>
      </c>
      <c r="N22" s="353" t="s">
        <v>265</v>
      </c>
      <c r="O22" s="353" t="s">
        <v>265</v>
      </c>
      <c r="P22" s="353" t="s">
        <v>265</v>
      </c>
      <c r="Q22" s="353" t="s">
        <v>265</v>
      </c>
      <c r="R22" s="353"/>
      <c r="S22" s="353"/>
      <c r="T22" s="353"/>
      <c r="U22" s="353"/>
      <c r="V22" s="353"/>
      <c r="W22" s="353"/>
      <c r="X22" s="353"/>
      <c r="Y22" s="353"/>
      <c r="Z22" s="354"/>
      <c r="AA22" s="353"/>
    </row>
    <row r="23" spans="1:27" ht="120" hidden="1" x14ac:dyDescent="0.25">
      <c r="A23" s="337"/>
      <c r="C23" s="337" t="s">
        <v>271</v>
      </c>
      <c r="D23" s="351" t="s">
        <v>270</v>
      </c>
      <c r="E23" s="351" t="s">
        <v>270</v>
      </c>
      <c r="F23" s="350" t="s">
        <v>269</v>
      </c>
      <c r="G23" s="337" t="s">
        <v>268</v>
      </c>
      <c r="J23" s="337" t="s">
        <v>267</v>
      </c>
      <c r="K23" s="338" t="s">
        <v>266</v>
      </c>
      <c r="Z23" s="337" t="s">
        <v>265</v>
      </c>
    </row>
    <row r="24" spans="1:27" ht="63" hidden="1" x14ac:dyDescent="0.25">
      <c r="A24" s="341"/>
      <c r="C24" s="346"/>
      <c r="D24" s="340" t="s">
        <v>264</v>
      </c>
      <c r="E24" s="349" t="s">
        <v>263</v>
      </c>
      <c r="G24" s="347"/>
      <c r="H24" s="347"/>
      <c r="I24" s="347"/>
    </row>
    <row r="25" spans="1:27" hidden="1" x14ac:dyDescent="0.25">
      <c r="A25" s="337"/>
      <c r="B25" s="341"/>
      <c r="C25" s="346"/>
      <c r="E25" s="348"/>
      <c r="G25" s="347"/>
      <c r="H25" s="347"/>
      <c r="I25" s="347"/>
    </row>
    <row r="26" spans="1:27" hidden="1" x14ac:dyDescent="0.25">
      <c r="A26" s="341"/>
      <c r="B26" s="341"/>
      <c r="C26" s="346"/>
      <c r="E26" s="339"/>
    </row>
    <row r="27" spans="1:27" hidden="1" x14ac:dyDescent="0.25">
      <c r="A27" s="337"/>
      <c r="C27" s="346"/>
      <c r="E27" s="339"/>
    </row>
    <row r="28" spans="1:27" hidden="1" x14ac:dyDescent="0.25">
      <c r="A28" s="341"/>
      <c r="E28" s="339"/>
    </row>
    <row r="29" spans="1:27" ht="19.5" hidden="1" thickBot="1" x14ac:dyDescent="0.3">
      <c r="A29" s="337"/>
      <c r="C29" s="345" t="s">
        <v>262</v>
      </c>
      <c r="D29" s="344"/>
      <c r="E29" s="343"/>
      <c r="F29" s="342"/>
      <c r="G29" s="342"/>
      <c r="H29" s="342"/>
      <c r="I29" s="342"/>
      <c r="J29" s="342"/>
      <c r="K29" s="342"/>
      <c r="L29" s="342"/>
    </row>
    <row r="30" spans="1:27" hidden="1" x14ac:dyDescent="0.25">
      <c r="A30" s="341"/>
      <c r="E30" s="339"/>
    </row>
    <row r="31" spans="1:27" ht="15.75" x14ac:dyDescent="0.25">
      <c r="C31" s="338"/>
      <c r="E31" s="433"/>
    </row>
    <row r="32" spans="1:27" x14ac:dyDescent="0.25">
      <c r="I32" s="337" t="s">
        <v>126</v>
      </c>
    </row>
    <row r="33" spans="3:7" ht="45" x14ac:dyDescent="0.25">
      <c r="C33" s="336"/>
      <c r="D33" s="336"/>
      <c r="E33" s="433" t="s">
        <v>359</v>
      </c>
      <c r="G33" s="61" t="s">
        <v>363</v>
      </c>
    </row>
    <row r="34" spans="3:7" ht="75" x14ac:dyDescent="0.25">
      <c r="C34" s="336"/>
      <c r="D34" s="336"/>
      <c r="E34" s="433" t="s">
        <v>360</v>
      </c>
      <c r="G34" s="61" t="s">
        <v>364</v>
      </c>
    </row>
    <row r="35" spans="3:7" ht="60" x14ac:dyDescent="0.25">
      <c r="C35" s="336"/>
      <c r="D35" s="336"/>
      <c r="E35" s="433" t="s">
        <v>361</v>
      </c>
      <c r="G35" s="61" t="s">
        <v>365</v>
      </c>
    </row>
    <row r="36" spans="3:7" ht="15" x14ac:dyDescent="0.25">
      <c r="C36" s="336"/>
      <c r="D36" s="336"/>
      <c r="E36" s="336"/>
      <c r="F36" s="336"/>
      <c r="G36" s="336"/>
    </row>
    <row r="37" spans="3:7" ht="31.5" x14ac:dyDescent="0.25">
      <c r="C37" s="336"/>
      <c r="D37" s="336"/>
      <c r="E37" s="435" t="s">
        <v>358</v>
      </c>
      <c r="G37" s="340" t="s">
        <v>29</v>
      </c>
    </row>
    <row r="39" spans="3:7" ht="45" x14ac:dyDescent="0.25">
      <c r="E39" s="434" t="s">
        <v>362</v>
      </c>
      <c r="F39" s="437"/>
      <c r="G39" s="427" t="s">
        <v>366</v>
      </c>
    </row>
  </sheetData>
  <autoFilter ref="A2:AA30" xr:uid="{00000000-0009-0000-0000-000000000000}">
    <filterColumn colId="14">
      <customFilters>
        <customFilter operator="notEqual" val=" "/>
      </customFilters>
    </filterColumn>
  </autoFilter>
  <mergeCells count="2">
    <mergeCell ref="D14:D15"/>
    <mergeCell ref="D17:D18"/>
  </mergeCells>
  <hyperlinks>
    <hyperlink ref="D21" r:id="rId1" xr:uid="{805224B0-B9E6-4799-B0D4-B2B65BA871FB}"/>
    <hyperlink ref="D5" r:id="rId2" xr:uid="{7CA01CE6-E7C9-42BF-A1C0-9D7AF15F96B1}"/>
    <hyperlink ref="E5" r:id="rId3" display="[Discovery] Конфигурирование скидок NORCA для МегаСемьи" xr:uid="{DA73C188-105E-440F-90C8-407C4D925BDF}"/>
    <hyperlink ref="D4" r:id="rId4" xr:uid="{CCAD58AB-2C78-4741-BF5C-A69E9EBC4004}"/>
    <hyperlink ref="E4" r:id="rId5" display="Распространить доработку по автошарингу на действующие пакеты CVM" xr:uid="{7AF4623B-BC18-44C5-AAC8-DB469A9CC85C}"/>
    <hyperlink ref="D7" r:id="rId6" xr:uid="{5012A855-42C0-4CBE-96E5-3044256AC880}"/>
    <hyperlink ref="D14" r:id="rId7" display="Плати за близких (группа для оплаты с основного баланса)_Бюджет_Страт. Проект" xr:uid="{571DE2B4-9222-4F7E-AA2C-EA033904429C}"/>
    <hyperlink ref="E21" r:id="rId8" xr:uid="{E5ACD058-1818-41A6-BC85-6C70252A0A6E}"/>
    <hyperlink ref="E14" r:id="rId9" display="https://jira.megafon.ru/browse/B2CPROD-1015" xr:uid="{9AADE4A4-1D8D-4DB5-9C3B-829A2319AF3D}"/>
    <hyperlink ref="E15" r:id="rId10" display="https://jira.megafon.ru/browse/B2CPROD-904" xr:uid="{D43BC078-8619-4183-A666-B2C84594E07B}"/>
    <hyperlink ref="D8" r:id="rId11" display="https://jira.megafon.ru/browse/B2CPROD-937" xr:uid="{964F6147-F13A-4DA3-95D4-01937BC3352C}"/>
    <hyperlink ref="E8" r:id="rId12" display="https://jira.megafon.ru/browse/B2CPROD-938" xr:uid="{6B3952F7-169E-45E2-AB3C-22457D0349F1}"/>
    <hyperlink ref="E9" r:id="rId13" display="https://jira.megafon.ru/browse/B2CPROD-915" xr:uid="{CC083C65-B668-43D4-A2A4-3836CD786C6A}"/>
    <hyperlink ref="E7" r:id="rId14" display="https://jira.megafon.ru/browse/B2CPROD-1023" xr:uid="{2F312286-1F12-4F3A-9A72-C21521278446}"/>
    <hyperlink ref="E18" r:id="rId15" xr:uid="{099ECED1-57D3-4958-9EDB-5A2050E13479}"/>
    <hyperlink ref="D10" r:id="rId16" display="https://jira.megafon.ru/browse/B2CPROD-932" xr:uid="{664D48B6-228C-4C7B-A61D-6BC00EFDF3C9}"/>
    <hyperlink ref="D11" r:id="rId17" display="https://jira.megafon.ru/browse/B2CPROD-963" xr:uid="{095BA2B1-7040-4516-850F-60B465E4FD77}"/>
    <hyperlink ref="D9" r:id="rId18" display="https://jira.megafon.ru/browse/B2CPROD-914" xr:uid="{C127E98F-E651-4C5E-B013-A8A48F3C7632}"/>
    <hyperlink ref="E10" r:id="rId19" display="https://jira.megafon.ru/browse/B2CPROD-934" xr:uid="{958455D9-C3F2-4B9E-9FE9-6596B9DC42B4}"/>
    <hyperlink ref="E11" r:id="rId20" display="https://jira.megafon.ru/browse/B2CPROD-964" xr:uid="{B008EB1D-2994-4409-B5F7-E9F1C8FB5EDF}"/>
    <hyperlink ref="D16" r:id="rId21" display="https://jira.megafon.ru/browse/B2CPROD-1176" xr:uid="{8A00C096-D719-46A2-ABC7-A80EC3EB0021}"/>
    <hyperlink ref="E16" r:id="rId22" display="https://jira.megafon.ru/browse/B2CPROD-1177" xr:uid="{7790F781-AAA8-403A-B075-4950220A234A}"/>
    <hyperlink ref="D6" r:id="rId23" display="https://jira.megafon.ru/browse/B2CPROD-494" xr:uid="{DE0ED2F5-F806-49A2-AA4A-937B74D41A76}"/>
    <hyperlink ref="E6" r:id="rId24" display="https://jira.megafon.ru/browse/B2CPROD-801" xr:uid="{88B13747-3A03-456A-AF74-E704B46F7519}"/>
    <hyperlink ref="E22" r:id="rId25" xr:uid="{6E53A6BD-A4B6-46A5-858A-8A447CB0D3AF}"/>
    <hyperlink ref="D22" r:id="rId26" xr:uid="{27D1C93A-BDE7-4C3A-8365-C6592DDC2818}"/>
    <hyperlink ref="E23" r:id="rId27" xr:uid="{4ECD1AFC-052B-4710-8B1C-0BD971E186DF}"/>
    <hyperlink ref="D23" r:id="rId28" xr:uid="{93410562-84EC-4A16-AF30-E91E1537008E}"/>
    <hyperlink ref="D19" r:id="rId29" xr:uid="{D08EF4E4-6B87-4FAD-A87E-1F15279F5696}"/>
    <hyperlink ref="E19" r:id="rId30" xr:uid="{36E8EA1B-DBB6-42DB-A21B-214D078CCA69}"/>
    <hyperlink ref="E12" r:id="rId31" display="https://jira.megafon.ru/browse/B2CPROD-849" xr:uid="{E01F22AA-88ED-4FDE-BE00-D87F8BEB752F}"/>
    <hyperlink ref="D12" r:id="rId32" display="https://jira.megafon.ru/browse/B2CPROD-111" xr:uid="{F7E3443E-A5EB-44EF-8F53-BFC940ACE6D0}"/>
    <hyperlink ref="E17" r:id="rId33" xr:uid="{612FE6FE-5730-4DAC-98A7-BEB1E821E012}"/>
    <hyperlink ref="E37" r:id="rId34" xr:uid="{30271A28-138E-491B-B971-C624A96B50CA}"/>
    <hyperlink ref="E33" r:id="rId35" xr:uid="{75032225-F4F5-4595-9CFA-74D0AC113A7E}"/>
    <hyperlink ref="E34" r:id="rId36" xr:uid="{0779CD3E-1E21-4916-9524-551736E76255}"/>
    <hyperlink ref="E35" r:id="rId37" xr:uid="{17009B8F-021C-4D3C-BAE3-C7204144B800}"/>
    <hyperlink ref="E39" r:id="rId38" xr:uid="{FD548C76-492A-42FC-98AF-24F6999CEAD1}"/>
    <hyperlink ref="C12" r:id="rId39" xr:uid="{E69768CA-C68F-4A95-9F9C-26E4386ED579}"/>
  </hyperlinks>
  <pageMargins left="0.7" right="0.7" top="0.75" bottom="0.75" header="0.3" footer="0.3"/>
  <pageSetup paperSize="9" orientation="portrait" r:id="rId4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40D4-6C29-49B7-A592-17DCFB56C322}">
  <dimension ref="A1:BB146"/>
  <sheetViews>
    <sheetView zoomScale="80" zoomScaleNormal="80" workbookViewId="0">
      <pane ySplit="2" topLeftCell="A12" activePane="bottomLeft" state="frozen"/>
      <selection activeCell="K1" sqref="K1"/>
      <selection pane="bottomLeft" activeCell="A23" sqref="A23"/>
    </sheetView>
  </sheetViews>
  <sheetFormatPr defaultRowHeight="15" x14ac:dyDescent="0.25"/>
  <cols>
    <col min="1" max="1" width="39.28515625" style="61" customWidth="1"/>
    <col min="2" max="2" width="16.7109375" style="61" customWidth="1"/>
    <col min="3" max="3" width="11.7109375" bestFit="1" customWidth="1"/>
    <col min="4" max="4" width="9.7109375" customWidth="1"/>
    <col min="10" max="10" width="10.85546875" customWidth="1"/>
    <col min="12" max="12" width="10.28515625" customWidth="1"/>
    <col min="13" max="14" width="11.28515625" customWidth="1"/>
    <col min="17" max="17" width="14.5703125" customWidth="1"/>
    <col min="18" max="18" width="14.5703125" style="123" customWidth="1"/>
    <col min="19" max="19" width="42" style="163" customWidth="1"/>
    <col min="20" max="20" width="10.5703125" customWidth="1"/>
    <col min="22" max="22" width="8" customWidth="1"/>
    <col min="26" max="26" width="9.28515625" customWidth="1"/>
    <col min="39" max="39" width="30.28515625" customWidth="1"/>
    <col min="40" max="40" width="12.28515625" style="67" customWidth="1"/>
  </cols>
  <sheetData>
    <row r="1" spans="1:35" ht="23.25" x14ac:dyDescent="0.35">
      <c r="A1" s="136" t="s">
        <v>214</v>
      </c>
      <c r="B1" s="136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2"/>
      <c r="Q1" s="132"/>
      <c r="R1" s="138" t="s">
        <v>213</v>
      </c>
      <c r="S1" s="162"/>
      <c r="T1" s="137"/>
      <c r="U1" s="139"/>
      <c r="V1" s="137"/>
      <c r="W1" s="137"/>
      <c r="X1" s="70" t="s">
        <v>145</v>
      </c>
      <c r="Y1" s="70"/>
      <c r="Z1" s="70"/>
      <c r="AA1" s="94" t="s">
        <v>151</v>
      </c>
      <c r="AB1" s="94"/>
      <c r="AC1" s="94"/>
      <c r="AD1" s="94"/>
      <c r="AE1" s="95" t="s">
        <v>152</v>
      </c>
      <c r="AF1" s="96"/>
      <c r="AG1" s="92"/>
      <c r="AH1" s="92"/>
      <c r="AI1" s="92"/>
    </row>
    <row r="2" spans="1:35" x14ac:dyDescent="0.25">
      <c r="A2" s="140"/>
      <c r="B2" s="140"/>
      <c r="C2" s="141"/>
      <c r="D2" s="255" t="s">
        <v>120</v>
      </c>
      <c r="E2" s="255"/>
      <c r="F2" s="1563" t="s">
        <v>125</v>
      </c>
      <c r="G2" s="1564"/>
      <c r="H2" s="256" t="s">
        <v>121</v>
      </c>
      <c r="I2" s="257"/>
      <c r="J2" s="258"/>
      <c r="K2" s="158" t="s">
        <v>123</v>
      </c>
      <c r="L2" s="158"/>
      <c r="M2" s="255" t="s">
        <v>122</v>
      </c>
      <c r="N2" s="255"/>
      <c r="O2" s="158" t="s">
        <v>124</v>
      </c>
      <c r="P2" s="158"/>
      <c r="Q2" s="132"/>
      <c r="U2" s="91"/>
      <c r="X2" s="97">
        <v>5</v>
      </c>
      <c r="Y2" s="97">
        <v>5</v>
      </c>
      <c r="Z2" s="97">
        <v>5</v>
      </c>
      <c r="AA2" s="98">
        <v>5</v>
      </c>
      <c r="AB2" s="98">
        <v>5</v>
      </c>
      <c r="AC2" s="98">
        <v>5</v>
      </c>
      <c r="AD2" s="99">
        <v>4</v>
      </c>
      <c r="AE2" s="100">
        <v>5</v>
      </c>
      <c r="AF2" s="101">
        <v>4</v>
      </c>
      <c r="AG2" s="100">
        <v>5</v>
      </c>
      <c r="AH2" s="100">
        <v>5</v>
      </c>
      <c r="AI2" s="100">
        <v>5</v>
      </c>
    </row>
    <row r="3" spans="1:35" x14ac:dyDescent="0.25">
      <c r="A3" s="140"/>
      <c r="B3" s="140"/>
      <c r="C3" s="142"/>
      <c r="D3" s="143" t="s">
        <v>186</v>
      </c>
      <c r="E3" s="143" t="s">
        <v>190</v>
      </c>
      <c r="F3" s="144" t="s">
        <v>187</v>
      </c>
      <c r="G3" s="144" t="s">
        <v>251</v>
      </c>
      <c r="H3" s="143" t="s">
        <v>243</v>
      </c>
      <c r="I3" s="143" t="s">
        <v>163</v>
      </c>
      <c r="J3" s="143" t="s">
        <v>165</v>
      </c>
      <c r="K3" s="145" t="s">
        <v>221</v>
      </c>
      <c r="L3" s="156" t="s">
        <v>246</v>
      </c>
      <c r="M3" s="146" t="s">
        <v>222</v>
      </c>
      <c r="N3" s="157" t="s">
        <v>223</v>
      </c>
      <c r="O3" s="144" t="s">
        <v>162</v>
      </c>
      <c r="P3" s="144" t="s">
        <v>193</v>
      </c>
      <c r="Q3" s="81"/>
      <c r="X3" s="102" t="s">
        <v>148</v>
      </c>
      <c r="Y3" s="102" t="s">
        <v>149</v>
      </c>
      <c r="Z3" s="102" t="s">
        <v>150</v>
      </c>
      <c r="AA3" s="103" t="s">
        <v>153</v>
      </c>
      <c r="AB3" s="103" t="s">
        <v>154</v>
      </c>
      <c r="AC3" s="103" t="s">
        <v>155</v>
      </c>
      <c r="AD3" s="103" t="s">
        <v>156</v>
      </c>
      <c r="AE3" s="104" t="s">
        <v>153</v>
      </c>
      <c r="AF3" s="104" t="s">
        <v>154</v>
      </c>
      <c r="AG3" s="104" t="s">
        <v>155</v>
      </c>
      <c r="AH3" s="104" t="s">
        <v>156</v>
      </c>
      <c r="AI3" s="104" t="s">
        <v>157</v>
      </c>
    </row>
    <row r="4" spans="1:35" ht="15.75" x14ac:dyDescent="0.25">
      <c r="A4" s="322" t="s">
        <v>195</v>
      </c>
      <c r="B4" s="320"/>
      <c r="C4" s="321" t="s">
        <v>198</v>
      </c>
      <c r="D4" s="323"/>
      <c r="E4" s="323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81"/>
      <c r="R4" s="124"/>
      <c r="S4" s="164" t="s">
        <v>160</v>
      </c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</row>
    <row r="5" spans="1:35" x14ac:dyDescent="0.25">
      <c r="A5" s="68" t="s">
        <v>258</v>
      </c>
      <c r="B5" s="38"/>
      <c r="C5" s="319" t="s">
        <v>253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S5" s="119" t="s">
        <v>203</v>
      </c>
      <c r="T5" s="69" t="s">
        <v>143</v>
      </c>
      <c r="U5" s="69" t="s">
        <v>144</v>
      </c>
    </row>
    <row r="6" spans="1:35" ht="24" x14ac:dyDescent="0.25">
      <c r="A6" s="330" t="s">
        <v>88</v>
      </c>
      <c r="B6" s="259"/>
      <c r="C6" s="309">
        <v>9</v>
      </c>
      <c r="D6" s="268"/>
      <c r="E6" s="269">
        <v>5</v>
      </c>
      <c r="F6" s="269"/>
      <c r="G6" s="268"/>
      <c r="H6" s="269"/>
      <c r="I6" s="268">
        <v>3</v>
      </c>
      <c r="J6" s="268"/>
      <c r="K6" s="268">
        <v>7</v>
      </c>
      <c r="L6" s="268"/>
      <c r="M6" s="268"/>
      <c r="N6" s="268"/>
      <c r="O6" s="268">
        <v>5</v>
      </c>
      <c r="P6" s="270">
        <v>5</v>
      </c>
      <c r="Q6" s="81"/>
      <c r="R6" s="125" t="s">
        <v>169</v>
      </c>
      <c r="S6" s="165" t="s">
        <v>176</v>
      </c>
      <c r="U6" t="s">
        <v>120</v>
      </c>
      <c r="V6" t="s">
        <v>186</v>
      </c>
      <c r="W6">
        <v>3</v>
      </c>
    </row>
    <row r="7" spans="1:35" x14ac:dyDescent="0.25">
      <c r="A7" s="304" t="s">
        <v>254</v>
      </c>
      <c r="B7" s="305"/>
      <c r="C7" s="306">
        <v>5.8</v>
      </c>
      <c r="D7" s="307">
        <v>15</v>
      </c>
      <c r="E7" s="307"/>
      <c r="F7" s="307"/>
      <c r="G7" s="307">
        <v>32</v>
      </c>
      <c r="H7" s="307"/>
      <c r="I7" s="307"/>
      <c r="J7" s="307"/>
      <c r="K7" s="307"/>
      <c r="L7" s="307">
        <v>13</v>
      </c>
      <c r="M7" s="307"/>
      <c r="N7" s="307">
        <v>19</v>
      </c>
      <c r="O7" s="307">
        <v>19</v>
      </c>
      <c r="P7" s="308"/>
      <c r="Q7" s="81"/>
      <c r="R7" s="125" t="s">
        <v>170</v>
      </c>
      <c r="S7" s="165" t="s">
        <v>202</v>
      </c>
      <c r="U7" t="s">
        <v>125</v>
      </c>
      <c r="V7" t="s">
        <v>162</v>
      </c>
      <c r="W7">
        <v>1</v>
      </c>
      <c r="X7" s="82">
        <v>0.5</v>
      </c>
      <c r="Y7" s="82">
        <v>0.5</v>
      </c>
    </row>
    <row r="8" spans="1:35" ht="24" x14ac:dyDescent="0.25">
      <c r="A8" s="335" t="s">
        <v>203</v>
      </c>
      <c r="B8" s="259"/>
      <c r="C8" s="285">
        <v>5</v>
      </c>
      <c r="D8" s="269">
        <v>3</v>
      </c>
      <c r="E8" s="268"/>
      <c r="F8" s="260">
        <v>1</v>
      </c>
      <c r="G8" s="268"/>
      <c r="H8" s="269"/>
      <c r="I8" s="268"/>
      <c r="J8" s="268">
        <v>2</v>
      </c>
      <c r="K8" s="268"/>
      <c r="L8" s="269">
        <v>2</v>
      </c>
      <c r="M8" s="268"/>
      <c r="N8" s="269">
        <v>2</v>
      </c>
      <c r="O8" s="269">
        <v>5</v>
      </c>
      <c r="P8" s="270"/>
      <c r="Q8" s="81"/>
      <c r="U8" s="67" t="s">
        <v>121</v>
      </c>
      <c r="V8" t="s">
        <v>165</v>
      </c>
      <c r="W8">
        <v>2</v>
      </c>
      <c r="X8" s="178">
        <v>2</v>
      </c>
    </row>
    <row r="9" spans="1:35" x14ac:dyDescent="0.25">
      <c r="A9" s="68" t="s">
        <v>257</v>
      </c>
      <c r="B9" s="68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81"/>
      <c r="U9" s="67" t="s">
        <v>123</v>
      </c>
      <c r="V9" t="s">
        <v>244</v>
      </c>
      <c r="W9">
        <v>2</v>
      </c>
      <c r="X9" s="76">
        <v>2</v>
      </c>
    </row>
    <row r="10" spans="1:35" x14ac:dyDescent="0.25">
      <c r="A10" s="331" t="s">
        <v>250</v>
      </c>
      <c r="B10" s="284"/>
      <c r="C10" s="285">
        <v>4.2</v>
      </c>
      <c r="D10" s="286"/>
      <c r="E10" s="286">
        <v>8</v>
      </c>
      <c r="F10" s="286">
        <v>10</v>
      </c>
      <c r="G10" s="286"/>
      <c r="H10" s="286"/>
      <c r="I10" s="286">
        <v>16</v>
      </c>
      <c r="J10" s="286"/>
      <c r="K10" s="286"/>
      <c r="L10" s="286"/>
      <c r="M10" s="286"/>
      <c r="N10" s="286"/>
      <c r="O10" s="286"/>
      <c r="P10" s="286"/>
      <c r="Q10" s="81"/>
      <c r="U10" s="67" t="s">
        <v>122</v>
      </c>
      <c r="V10" t="s">
        <v>188</v>
      </c>
      <c r="W10">
        <v>2</v>
      </c>
      <c r="Y10" s="77">
        <v>2</v>
      </c>
    </row>
    <row r="11" spans="1:35" ht="24" x14ac:dyDescent="0.25">
      <c r="A11" s="332" t="s">
        <v>54</v>
      </c>
      <c r="B11" s="259"/>
      <c r="C11" s="285">
        <v>4.2</v>
      </c>
      <c r="D11" s="269">
        <v>5</v>
      </c>
      <c r="E11" s="268"/>
      <c r="F11" s="260">
        <v>5</v>
      </c>
      <c r="G11" s="268"/>
      <c r="H11" s="269"/>
      <c r="I11" s="268"/>
      <c r="J11" s="269">
        <v>5</v>
      </c>
      <c r="K11" s="268"/>
      <c r="L11" s="268"/>
      <c r="M11" s="268"/>
      <c r="N11" s="268"/>
      <c r="O11" s="268"/>
      <c r="P11" s="270"/>
      <c r="Q11" s="81"/>
      <c r="U11" s="67" t="s">
        <v>124</v>
      </c>
      <c r="V11" t="s">
        <v>162</v>
      </c>
      <c r="W11">
        <v>5</v>
      </c>
      <c r="Y11" s="73">
        <v>4</v>
      </c>
    </row>
    <row r="12" spans="1:35" x14ac:dyDescent="0.25">
      <c r="A12" s="68" t="s">
        <v>256</v>
      </c>
      <c r="B12" s="68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81"/>
    </row>
    <row r="13" spans="1:35" ht="30" x14ac:dyDescent="0.25">
      <c r="A13" s="333" t="s">
        <v>212</v>
      </c>
      <c r="B13" s="261"/>
      <c r="C13" s="310">
        <v>3.13</v>
      </c>
      <c r="D13" s="271">
        <v>5</v>
      </c>
      <c r="E13" s="271"/>
      <c r="F13" s="271">
        <v>7</v>
      </c>
      <c r="G13" s="271"/>
      <c r="H13" s="271"/>
      <c r="I13" s="271"/>
      <c r="J13" s="271">
        <v>7</v>
      </c>
      <c r="K13" s="271"/>
      <c r="L13" s="271" t="s">
        <v>194</v>
      </c>
      <c r="M13" s="271"/>
      <c r="N13" s="271" t="s">
        <v>194</v>
      </c>
      <c r="O13" s="271"/>
      <c r="P13" s="272"/>
      <c r="S13" s="120" t="s">
        <v>212</v>
      </c>
      <c r="U13" s="69" t="s">
        <v>144</v>
      </c>
    </row>
    <row r="14" spans="1:35" ht="36" x14ac:dyDescent="0.25">
      <c r="A14" s="334" t="s">
        <v>13</v>
      </c>
      <c r="B14" s="147"/>
      <c r="C14" s="311">
        <v>3.13</v>
      </c>
      <c r="E14" s="273">
        <v>5</v>
      </c>
      <c r="F14" s="274">
        <v>5</v>
      </c>
      <c r="G14" s="275"/>
      <c r="H14" s="276">
        <v>2</v>
      </c>
      <c r="I14" s="274">
        <v>10</v>
      </c>
      <c r="J14" s="275"/>
      <c r="K14" s="275"/>
      <c r="L14" s="275"/>
      <c r="M14" s="275"/>
      <c r="N14" s="275"/>
      <c r="O14" s="275"/>
      <c r="P14" s="277"/>
      <c r="R14" s="125" t="s">
        <v>169</v>
      </c>
      <c r="S14" s="165"/>
      <c r="U14" t="s">
        <v>120</v>
      </c>
      <c r="V14" t="s">
        <v>186</v>
      </c>
      <c r="W14">
        <v>5</v>
      </c>
    </row>
    <row r="15" spans="1:35" ht="30" x14ac:dyDescent="0.25">
      <c r="A15" s="68" t="s">
        <v>255</v>
      </c>
      <c r="B15" s="68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R15" s="125" t="s">
        <v>170</v>
      </c>
      <c r="S15" s="165" t="s">
        <v>220</v>
      </c>
      <c r="U15" t="s">
        <v>125</v>
      </c>
      <c r="V15" t="s">
        <v>187</v>
      </c>
      <c r="W15">
        <v>7</v>
      </c>
      <c r="AC15" s="82">
        <v>1</v>
      </c>
      <c r="AD15" s="82">
        <v>2</v>
      </c>
      <c r="AE15" s="82">
        <v>1</v>
      </c>
      <c r="AF15" s="82">
        <v>1</v>
      </c>
    </row>
    <row r="16" spans="1:35" ht="24" x14ac:dyDescent="0.25">
      <c r="A16" s="263" t="s">
        <v>73</v>
      </c>
      <c r="B16" s="261"/>
      <c r="C16" s="312">
        <v>3</v>
      </c>
      <c r="D16" s="278"/>
      <c r="E16" s="278">
        <v>10</v>
      </c>
      <c r="F16" s="278">
        <v>10</v>
      </c>
      <c r="G16" s="271"/>
      <c r="H16" s="278">
        <v>2</v>
      </c>
      <c r="I16" s="278">
        <v>15</v>
      </c>
      <c r="J16" s="271"/>
      <c r="K16" s="271"/>
      <c r="L16" s="271"/>
      <c r="M16" s="271"/>
      <c r="N16" s="271"/>
      <c r="O16" s="271"/>
      <c r="P16" s="272"/>
      <c r="R16" s="123" t="s">
        <v>146</v>
      </c>
      <c r="S16" s="166"/>
      <c r="U16" s="67" t="s">
        <v>121</v>
      </c>
      <c r="V16" t="s">
        <v>165</v>
      </c>
      <c r="W16">
        <v>7</v>
      </c>
      <c r="X16" s="81"/>
      <c r="Y16" s="81"/>
      <c r="Z16" s="81"/>
      <c r="AA16" s="81"/>
      <c r="AB16" s="178">
        <v>1</v>
      </c>
      <c r="AC16" s="178">
        <v>1</v>
      </c>
      <c r="AD16" s="178">
        <v>2</v>
      </c>
      <c r="AE16" s="178">
        <v>2</v>
      </c>
      <c r="AF16" s="178">
        <v>1</v>
      </c>
    </row>
    <row r="17" spans="1:54" ht="24" x14ac:dyDescent="0.25">
      <c r="A17" s="264" t="s">
        <v>80</v>
      </c>
      <c r="B17" s="147"/>
      <c r="C17" s="311">
        <v>3</v>
      </c>
      <c r="D17" s="274"/>
      <c r="E17" s="274">
        <v>5</v>
      </c>
      <c r="F17" s="274">
        <v>5</v>
      </c>
      <c r="G17" s="275"/>
      <c r="H17" s="273">
        <v>2</v>
      </c>
      <c r="I17" s="274">
        <v>10</v>
      </c>
      <c r="J17" s="275"/>
      <c r="K17" s="275"/>
      <c r="L17" s="275"/>
      <c r="M17" s="275"/>
      <c r="N17" s="275"/>
      <c r="O17" s="275"/>
      <c r="P17" s="277"/>
      <c r="R17" s="123" t="s">
        <v>147</v>
      </c>
      <c r="S17" s="166"/>
      <c r="U17" s="67"/>
      <c r="BB17" s="76"/>
    </row>
    <row r="18" spans="1:54" x14ac:dyDescent="0.25">
      <c r="A18" s="292" t="s">
        <v>83</v>
      </c>
      <c r="B18" s="314"/>
      <c r="C18" s="315">
        <v>3</v>
      </c>
      <c r="D18" s="316"/>
      <c r="E18" s="317"/>
      <c r="F18" s="316"/>
      <c r="G18" s="317"/>
      <c r="H18" s="316"/>
      <c r="I18" s="316"/>
      <c r="J18" s="317"/>
      <c r="K18" s="317"/>
      <c r="L18" s="317"/>
      <c r="M18" s="317"/>
      <c r="N18" s="317"/>
      <c r="O18" s="317"/>
      <c r="P18" s="318"/>
      <c r="R18"/>
      <c r="S18"/>
      <c r="U18" s="67"/>
    </row>
    <row r="19" spans="1:54" ht="24" x14ac:dyDescent="0.25">
      <c r="A19" s="265" t="s">
        <v>77</v>
      </c>
      <c r="B19" s="262"/>
      <c r="C19" s="313">
        <v>2.2000000000000002</v>
      </c>
      <c r="D19" s="279"/>
      <c r="E19" s="279">
        <v>10</v>
      </c>
      <c r="F19" s="279">
        <v>10</v>
      </c>
      <c r="G19" s="280"/>
      <c r="H19" s="281">
        <v>2</v>
      </c>
      <c r="I19" s="279">
        <v>10</v>
      </c>
      <c r="J19" s="280"/>
      <c r="K19" s="280"/>
      <c r="L19" s="280"/>
      <c r="M19" s="280"/>
      <c r="N19" s="280"/>
      <c r="O19" s="280"/>
      <c r="P19" s="282"/>
      <c r="Q19" s="81"/>
      <c r="R19" s="126"/>
      <c r="S19" s="167" t="s">
        <v>211</v>
      </c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</row>
    <row r="20" spans="1:54" x14ac:dyDescent="0.25">
      <c r="A20" s="68" t="s">
        <v>226</v>
      </c>
      <c r="B20" s="38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130"/>
      <c r="S20" s="291" t="s">
        <v>73</v>
      </c>
      <c r="T20" s="69" t="s">
        <v>143</v>
      </c>
      <c r="U20" s="69" t="s">
        <v>144</v>
      </c>
    </row>
    <row r="21" spans="1:54" ht="36" x14ac:dyDescent="0.25">
      <c r="A21" s="263" t="s">
        <v>215</v>
      </c>
      <c r="B21" s="261"/>
      <c r="C21" s="312">
        <v>3</v>
      </c>
      <c r="D21" s="278">
        <v>5</v>
      </c>
      <c r="E21" s="278"/>
      <c r="F21" s="266">
        <v>5</v>
      </c>
      <c r="G21" s="271"/>
      <c r="H21" s="271"/>
      <c r="I21" s="271"/>
      <c r="J21" s="278">
        <v>20</v>
      </c>
      <c r="K21" s="271">
        <v>10</v>
      </c>
      <c r="L21" s="278">
        <v>20</v>
      </c>
      <c r="M21" s="271"/>
      <c r="N21" s="278">
        <v>10</v>
      </c>
      <c r="O21" s="278">
        <v>15</v>
      </c>
      <c r="P21" s="283">
        <v>15</v>
      </c>
      <c r="Q21" s="130"/>
      <c r="R21" s="125" t="s">
        <v>169</v>
      </c>
      <c r="S21" s="165" t="s">
        <v>204</v>
      </c>
      <c r="U21" t="s">
        <v>120</v>
      </c>
      <c r="V21" t="s">
        <v>190</v>
      </c>
      <c r="W21">
        <v>10</v>
      </c>
    </row>
    <row r="22" spans="1:54" ht="30" x14ac:dyDescent="0.25">
      <c r="A22" s="264" t="s">
        <v>199</v>
      </c>
      <c r="B22" s="147"/>
      <c r="C22" s="311">
        <v>3</v>
      </c>
      <c r="D22" s="274">
        <v>5</v>
      </c>
      <c r="E22" s="274"/>
      <c r="F22" s="153"/>
      <c r="G22" s="275"/>
      <c r="H22" s="275"/>
      <c r="I22" s="275"/>
      <c r="J22" s="275"/>
      <c r="K22" s="275" t="s">
        <v>217</v>
      </c>
      <c r="L22" s="275"/>
      <c r="M22" s="275" t="s">
        <v>218</v>
      </c>
      <c r="N22" s="275"/>
      <c r="O22" s="274" t="s">
        <v>219</v>
      </c>
      <c r="P22" s="277"/>
      <c r="Q22" s="130"/>
      <c r="R22" s="125" t="s">
        <v>170</v>
      </c>
      <c r="S22" s="165" t="s">
        <v>205</v>
      </c>
      <c r="U22" t="s">
        <v>125</v>
      </c>
      <c r="V22" t="s">
        <v>187</v>
      </c>
      <c r="W22">
        <v>10</v>
      </c>
      <c r="X22" s="82">
        <v>3</v>
      </c>
      <c r="Y22" s="82">
        <v>3</v>
      </c>
      <c r="Z22" s="82">
        <v>2</v>
      </c>
      <c r="AA22" s="82">
        <v>1</v>
      </c>
      <c r="AB22" s="82">
        <v>1</v>
      </c>
    </row>
    <row r="23" spans="1:54" ht="24" x14ac:dyDescent="0.25">
      <c r="A23" s="265" t="s">
        <v>216</v>
      </c>
      <c r="B23" s="262"/>
      <c r="C23" s="313">
        <v>3</v>
      </c>
      <c r="D23" s="279">
        <v>3</v>
      </c>
      <c r="E23" s="280"/>
      <c r="F23" s="267">
        <v>5</v>
      </c>
      <c r="G23" s="280"/>
      <c r="H23" s="280"/>
      <c r="I23" s="280"/>
      <c r="J23" s="279"/>
      <c r="K23" s="280"/>
      <c r="L23" s="280"/>
      <c r="M23" s="280"/>
      <c r="N23" s="280"/>
      <c r="O23" s="280"/>
      <c r="P23" s="282"/>
      <c r="Q23" s="130"/>
      <c r="R23" s="123" t="s">
        <v>146</v>
      </c>
      <c r="S23" s="165" t="s">
        <v>248</v>
      </c>
      <c r="U23" s="61" t="s">
        <v>185</v>
      </c>
      <c r="W23">
        <v>10</v>
      </c>
    </row>
    <row r="24" spans="1:54" x14ac:dyDescent="0.25">
      <c r="A24" s="135" t="s">
        <v>119</v>
      </c>
      <c r="B24" s="135"/>
      <c r="C24" s="71"/>
      <c r="D24" s="131"/>
      <c r="E24" s="131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130"/>
      <c r="R24" s="123" t="s">
        <v>147</v>
      </c>
      <c r="S24" s="166"/>
      <c r="U24" s="67" t="s">
        <v>121</v>
      </c>
      <c r="V24" t="s">
        <v>163</v>
      </c>
      <c r="W24">
        <v>8</v>
      </c>
      <c r="X24" s="179">
        <v>2</v>
      </c>
      <c r="Y24" s="179">
        <v>2</v>
      </c>
      <c r="Z24" s="179">
        <v>2</v>
      </c>
      <c r="AA24" s="179">
        <v>2</v>
      </c>
      <c r="AB24" s="81"/>
      <c r="AC24" s="81"/>
      <c r="AD24" s="81"/>
    </row>
    <row r="25" spans="1:54" ht="24" x14ac:dyDescent="0.25">
      <c r="A25" s="288" t="s">
        <v>116</v>
      </c>
      <c r="B25" s="288"/>
      <c r="C25" s="287" t="s">
        <v>233</v>
      </c>
      <c r="D25" s="289">
        <v>0.5</v>
      </c>
      <c r="E25" s="290"/>
      <c r="F25" s="290"/>
      <c r="G25" s="290"/>
      <c r="H25" s="290"/>
      <c r="I25" s="290"/>
      <c r="J25" s="290"/>
      <c r="K25" s="290"/>
      <c r="L25" s="289">
        <v>1</v>
      </c>
      <c r="M25" s="290"/>
      <c r="N25" s="290"/>
      <c r="O25" s="290"/>
      <c r="P25" s="289">
        <v>0.5</v>
      </c>
      <c r="Q25" s="130"/>
    </row>
    <row r="26" spans="1:54" ht="45" x14ac:dyDescent="0.25">
      <c r="A26" s="121" t="s">
        <v>117</v>
      </c>
      <c r="B26" s="121"/>
      <c r="C26" s="116" t="s">
        <v>232</v>
      </c>
      <c r="D26" s="130">
        <v>0.5</v>
      </c>
      <c r="I26" s="130">
        <v>3</v>
      </c>
      <c r="L26" s="112">
        <v>0.2</v>
      </c>
      <c r="P26" s="130">
        <v>0.2</v>
      </c>
      <c r="Q26" s="130"/>
      <c r="S26" s="90" t="s">
        <v>77</v>
      </c>
      <c r="T26" s="69" t="s">
        <v>143</v>
      </c>
      <c r="U26" s="69" t="s">
        <v>144</v>
      </c>
    </row>
    <row r="27" spans="1:54" ht="30" x14ac:dyDescent="0.25">
      <c r="A27" s="288" t="s">
        <v>118</v>
      </c>
      <c r="B27" s="288"/>
      <c r="C27" s="287" t="s">
        <v>114</v>
      </c>
      <c r="D27" s="289">
        <v>0.5</v>
      </c>
      <c r="E27" s="290"/>
      <c r="F27" s="290"/>
      <c r="G27" s="290"/>
      <c r="H27" s="290"/>
      <c r="I27" s="290"/>
      <c r="J27" s="290"/>
      <c r="K27" s="290"/>
      <c r="L27" s="289">
        <v>2</v>
      </c>
      <c r="M27" s="290"/>
      <c r="N27" s="290"/>
      <c r="O27" s="290"/>
      <c r="P27" s="289">
        <v>0.2</v>
      </c>
      <c r="Q27" s="130"/>
      <c r="R27" s="125" t="s">
        <v>169</v>
      </c>
      <c r="S27" s="165" t="s">
        <v>204</v>
      </c>
      <c r="U27" t="s">
        <v>120</v>
      </c>
      <c r="V27" t="s">
        <v>190</v>
      </c>
      <c r="W27">
        <v>10</v>
      </c>
    </row>
    <row r="28" spans="1:54" ht="30" x14ac:dyDescent="0.25">
      <c r="A28" s="293" t="s">
        <v>166</v>
      </c>
      <c r="B28" s="293"/>
      <c r="C28" s="294" t="s">
        <v>229</v>
      </c>
      <c r="D28" s="295">
        <v>4</v>
      </c>
      <c r="E28" s="73">
        <v>2</v>
      </c>
      <c r="F28" s="73">
        <v>2</v>
      </c>
      <c r="G28" s="73"/>
      <c r="H28" s="73"/>
      <c r="I28" s="73"/>
      <c r="J28" s="295">
        <v>1</v>
      </c>
      <c r="K28" s="73"/>
      <c r="L28" s="295">
        <v>1</v>
      </c>
      <c r="M28" s="73"/>
      <c r="N28" s="295">
        <v>8</v>
      </c>
      <c r="O28" s="73"/>
      <c r="P28" s="295">
        <v>10</v>
      </c>
      <c r="Q28" s="130"/>
      <c r="R28" s="125" t="s">
        <v>170</v>
      </c>
      <c r="S28" s="168" t="s">
        <v>206</v>
      </c>
      <c r="U28" t="s">
        <v>125</v>
      </c>
      <c r="V28" t="s">
        <v>191</v>
      </c>
      <c r="W28">
        <v>5</v>
      </c>
      <c r="AB28" s="82">
        <v>2</v>
      </c>
      <c r="AC28" s="82">
        <v>1</v>
      </c>
    </row>
    <row r="29" spans="1:54" x14ac:dyDescent="0.25">
      <c r="A29" s="293" t="s">
        <v>167</v>
      </c>
      <c r="B29" s="293"/>
      <c r="C29" s="294" t="s">
        <v>230</v>
      </c>
      <c r="D29" s="295">
        <v>3</v>
      </c>
      <c r="E29" s="73"/>
      <c r="F29" s="73">
        <v>2</v>
      </c>
      <c r="G29" s="73"/>
      <c r="H29" s="73"/>
      <c r="I29" s="295">
        <v>1</v>
      </c>
      <c r="J29" s="73"/>
      <c r="K29" s="73"/>
      <c r="L29" s="73"/>
      <c r="M29" s="73"/>
      <c r="N29" s="295">
        <v>4</v>
      </c>
      <c r="O29" s="73"/>
      <c r="P29" s="295">
        <v>6</v>
      </c>
      <c r="Q29" s="133"/>
      <c r="R29" s="123" t="s">
        <v>146</v>
      </c>
      <c r="S29" s="165" t="s">
        <v>249</v>
      </c>
      <c r="U29" s="67" t="s">
        <v>121</v>
      </c>
      <c r="V29" t="s">
        <v>163</v>
      </c>
      <c r="W29">
        <v>8</v>
      </c>
      <c r="Z29" s="179">
        <v>1</v>
      </c>
      <c r="AA29" s="179">
        <v>2</v>
      </c>
      <c r="AB29" s="179">
        <v>2</v>
      </c>
      <c r="AC29" s="179">
        <v>2</v>
      </c>
    </row>
    <row r="30" spans="1:54" x14ac:dyDescent="0.25">
      <c r="A30" s="293" t="s">
        <v>168</v>
      </c>
      <c r="B30" s="293"/>
      <c r="C30" s="294" t="s">
        <v>234</v>
      </c>
      <c r="D30" s="73"/>
      <c r="E30" s="295">
        <v>3</v>
      </c>
      <c r="F30" s="73">
        <v>2</v>
      </c>
      <c r="G30" s="73"/>
      <c r="H30" s="73"/>
      <c r="I30" s="295">
        <v>1</v>
      </c>
      <c r="J30" s="73"/>
      <c r="K30" s="73"/>
      <c r="L30" s="295">
        <v>1</v>
      </c>
      <c r="M30" s="73"/>
      <c r="N30" s="295">
        <v>3</v>
      </c>
      <c r="O30" s="295">
        <v>6</v>
      </c>
      <c r="P30" s="73"/>
      <c r="Q30" s="133"/>
      <c r="R30" s="123" t="s">
        <v>147</v>
      </c>
      <c r="S30" s="166"/>
      <c r="U30" s="67"/>
    </row>
    <row r="31" spans="1:54" ht="24" x14ac:dyDescent="0.25">
      <c r="A31" s="288" t="s">
        <v>164</v>
      </c>
      <c r="B31" s="288"/>
      <c r="C31" s="287" t="s">
        <v>231</v>
      </c>
      <c r="D31" s="289">
        <v>1</v>
      </c>
      <c r="E31" s="290"/>
      <c r="F31" s="289"/>
      <c r="G31" s="290"/>
      <c r="H31" s="290"/>
      <c r="I31" s="290"/>
      <c r="J31" s="289">
        <v>1</v>
      </c>
      <c r="K31" s="290"/>
      <c r="L31" s="289">
        <v>1</v>
      </c>
      <c r="M31" s="290"/>
      <c r="N31" s="290"/>
      <c r="O31" s="290"/>
      <c r="P31" s="289">
        <v>1</v>
      </c>
      <c r="Q31" s="134"/>
    </row>
    <row r="32" spans="1:54" ht="30" x14ac:dyDescent="0.25">
      <c r="A32" s="296" t="s">
        <v>196</v>
      </c>
      <c r="B32" s="296"/>
      <c r="C32" s="297"/>
      <c r="D32" s="298">
        <v>40</v>
      </c>
      <c r="E32" s="299">
        <v>40</v>
      </c>
      <c r="F32" s="299">
        <v>40</v>
      </c>
      <c r="G32" s="299">
        <v>41</v>
      </c>
      <c r="H32" s="299">
        <v>10</v>
      </c>
      <c r="I32" s="298">
        <v>40</v>
      </c>
      <c r="J32" s="298">
        <v>40</v>
      </c>
      <c r="K32" s="298">
        <v>28</v>
      </c>
      <c r="L32" s="298">
        <v>40</v>
      </c>
      <c r="M32" s="298">
        <v>28</v>
      </c>
      <c r="N32" s="298">
        <v>40</v>
      </c>
      <c r="O32" s="298">
        <v>40</v>
      </c>
      <c r="P32" s="298">
        <v>40</v>
      </c>
      <c r="S32" s="90" t="s">
        <v>80</v>
      </c>
      <c r="T32" s="69" t="s">
        <v>143</v>
      </c>
      <c r="U32" s="69" t="s">
        <v>144</v>
      </c>
    </row>
    <row r="33" spans="1:54" ht="30" x14ac:dyDescent="0.25">
      <c r="A33" s="296" t="s">
        <v>252</v>
      </c>
      <c r="B33" s="296"/>
      <c r="C33" s="297"/>
      <c r="D33" s="298">
        <f>SUM(D6:D31)</f>
        <v>50.5</v>
      </c>
      <c r="E33" s="298">
        <f t="shared" ref="E33:P33" si="0">SUM(E6:E31)</f>
        <v>48</v>
      </c>
      <c r="F33" s="298">
        <f t="shared" si="0"/>
        <v>69</v>
      </c>
      <c r="G33" s="298">
        <f t="shared" si="0"/>
        <v>32</v>
      </c>
      <c r="H33" s="298">
        <f t="shared" si="0"/>
        <v>8</v>
      </c>
      <c r="I33" s="298">
        <f t="shared" si="0"/>
        <v>69</v>
      </c>
      <c r="J33" s="298">
        <f t="shared" si="0"/>
        <v>36</v>
      </c>
      <c r="K33" s="298">
        <f t="shared" si="0"/>
        <v>17</v>
      </c>
      <c r="L33" s="298">
        <f t="shared" si="0"/>
        <v>41.2</v>
      </c>
      <c r="M33" s="298">
        <f t="shared" si="0"/>
        <v>0</v>
      </c>
      <c r="N33" s="298">
        <f t="shared" si="0"/>
        <v>46</v>
      </c>
      <c r="O33" s="298">
        <f t="shared" si="0"/>
        <v>50</v>
      </c>
      <c r="P33" s="298">
        <f t="shared" si="0"/>
        <v>37.9</v>
      </c>
      <c r="R33" s="125" t="s">
        <v>169</v>
      </c>
      <c r="S33" s="165" t="s">
        <v>204</v>
      </c>
      <c r="U33" t="s">
        <v>120</v>
      </c>
      <c r="V33" t="s">
        <v>190</v>
      </c>
      <c r="W33">
        <v>5</v>
      </c>
    </row>
    <row r="34" spans="1:54" ht="30" x14ac:dyDescent="0.25">
      <c r="A34" s="296" t="s">
        <v>197</v>
      </c>
      <c r="B34" s="296"/>
      <c r="C34" s="297"/>
      <c r="D34" s="300">
        <f>D32-D33</f>
        <v>-10.5</v>
      </c>
      <c r="E34" s="300">
        <f>E32-E33</f>
        <v>-8</v>
      </c>
      <c r="F34" s="300">
        <f>F32-F33</f>
        <v>-29</v>
      </c>
      <c r="G34" s="300">
        <f>G32-G33</f>
        <v>9</v>
      </c>
      <c r="H34" s="301">
        <f t="shared" ref="H34:P34" si="1">H32-H33</f>
        <v>2</v>
      </c>
      <c r="I34" s="300">
        <f t="shared" si="1"/>
        <v>-29</v>
      </c>
      <c r="J34" s="302">
        <f t="shared" si="1"/>
        <v>4</v>
      </c>
      <c r="K34" s="302">
        <f t="shared" si="1"/>
        <v>11</v>
      </c>
      <c r="L34" s="303">
        <f>L32-L33</f>
        <v>-1.2000000000000028</v>
      </c>
      <c r="M34" s="302">
        <f>M32-M33</f>
        <v>28</v>
      </c>
      <c r="N34" s="303">
        <f t="shared" si="1"/>
        <v>-6</v>
      </c>
      <c r="O34" s="300">
        <f t="shared" si="1"/>
        <v>-10</v>
      </c>
      <c r="P34" s="300">
        <f t="shared" si="1"/>
        <v>2.1000000000000014</v>
      </c>
      <c r="R34" s="125" t="s">
        <v>170</v>
      </c>
      <c r="S34" s="168" t="s">
        <v>207</v>
      </c>
      <c r="U34" t="s">
        <v>125</v>
      </c>
      <c r="V34" t="s">
        <v>187</v>
      </c>
      <c r="W34">
        <v>5</v>
      </c>
      <c r="X34" s="82">
        <v>1</v>
      </c>
      <c r="Y34" s="82">
        <v>1</v>
      </c>
      <c r="Z34" s="82">
        <v>1</v>
      </c>
      <c r="AA34" s="82">
        <v>1</v>
      </c>
      <c r="AB34" s="82">
        <v>1</v>
      </c>
      <c r="BB34" s="81"/>
    </row>
    <row r="35" spans="1:54" x14ac:dyDescent="0.25">
      <c r="Q35" s="81"/>
      <c r="R35" s="123" t="s">
        <v>146</v>
      </c>
      <c r="S35" s="165" t="s">
        <v>248</v>
      </c>
      <c r="U35" s="67" t="s">
        <v>121</v>
      </c>
      <c r="V35" t="s">
        <v>163</v>
      </c>
      <c r="W35">
        <v>8</v>
      </c>
      <c r="AB35" s="179">
        <v>1</v>
      </c>
      <c r="AC35" s="179">
        <v>2</v>
      </c>
      <c r="AD35" s="179">
        <v>2</v>
      </c>
      <c r="AE35" s="179">
        <v>2</v>
      </c>
    </row>
    <row r="36" spans="1:54" x14ac:dyDescent="0.25">
      <c r="D36">
        <f>SUM(D32:P32)</f>
        <v>467</v>
      </c>
      <c r="E36">
        <f>SUM(G32+H32+K32+M32)</f>
        <v>107</v>
      </c>
      <c r="F36">
        <f>D36-E36</f>
        <v>360</v>
      </c>
      <c r="R36" s="123" t="s">
        <v>147</v>
      </c>
      <c r="S36" s="166"/>
      <c r="U36" s="67"/>
    </row>
    <row r="37" spans="1:54" x14ac:dyDescent="0.25">
      <c r="U37" s="67"/>
    </row>
    <row r="38" spans="1:54" ht="30" x14ac:dyDescent="0.25">
      <c r="A38" s="60" t="s">
        <v>227</v>
      </c>
      <c r="B38" s="327"/>
      <c r="S38" s="90" t="s">
        <v>83</v>
      </c>
      <c r="T38" s="69" t="s">
        <v>143</v>
      </c>
      <c r="U38" s="69" t="s">
        <v>144</v>
      </c>
    </row>
    <row r="39" spans="1:54" ht="30" x14ac:dyDescent="0.25">
      <c r="A39" s="147" t="s">
        <v>212</v>
      </c>
      <c r="B39" s="325" t="s">
        <v>220</v>
      </c>
      <c r="D39" s="148" t="s">
        <v>224</v>
      </c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R39" s="125" t="s">
        <v>169</v>
      </c>
      <c r="S39" s="165" t="s">
        <v>204</v>
      </c>
      <c r="U39" t="s">
        <v>120</v>
      </c>
      <c r="V39" t="s">
        <v>190</v>
      </c>
      <c r="W39">
        <v>5</v>
      </c>
    </row>
    <row r="40" spans="1:54" ht="30" x14ac:dyDescent="0.25">
      <c r="A40" s="149" t="s">
        <v>203</v>
      </c>
      <c r="B40" s="325" t="s">
        <v>202</v>
      </c>
      <c r="D40" s="150"/>
      <c r="E40" s="148"/>
      <c r="F40" s="151"/>
      <c r="G40" s="150"/>
      <c r="H40" s="148"/>
      <c r="I40" s="148"/>
      <c r="J40" s="148"/>
      <c r="K40" s="150"/>
      <c r="L40" s="148"/>
      <c r="M40" s="150"/>
      <c r="N40" s="150"/>
      <c r="O40" s="148"/>
      <c r="R40" s="125" t="s">
        <v>170</v>
      </c>
      <c r="S40" s="168" t="s">
        <v>208</v>
      </c>
      <c r="U40" t="s">
        <v>125</v>
      </c>
      <c r="V40" t="s">
        <v>187</v>
      </c>
      <c r="W40">
        <v>5</v>
      </c>
      <c r="Z40" s="82">
        <v>2</v>
      </c>
      <c r="AA40" s="82">
        <v>2</v>
      </c>
      <c r="AB40" s="82">
        <v>1</v>
      </c>
    </row>
    <row r="41" spans="1:54" x14ac:dyDescent="0.25">
      <c r="A41" s="60" t="s">
        <v>226</v>
      </c>
      <c r="B41" s="67"/>
      <c r="D41" s="150"/>
      <c r="E41" s="150"/>
      <c r="F41" s="153"/>
      <c r="G41" s="148"/>
      <c r="H41" s="148"/>
      <c r="I41" s="150"/>
      <c r="J41" s="148"/>
      <c r="K41" s="150"/>
      <c r="L41" s="148"/>
      <c r="M41" s="150"/>
      <c r="N41" s="150"/>
      <c r="O41" s="150"/>
      <c r="R41" s="123" t="s">
        <v>146</v>
      </c>
      <c r="S41" s="165"/>
      <c r="U41" s="67" t="s">
        <v>121</v>
      </c>
      <c r="V41" t="s">
        <v>163</v>
      </c>
      <c r="W41">
        <v>8</v>
      </c>
      <c r="Y41" s="179">
        <v>2</v>
      </c>
      <c r="Z41" s="179">
        <v>2</v>
      </c>
    </row>
    <row r="42" spans="1:54" ht="36" x14ac:dyDescent="0.25">
      <c r="A42" s="152" t="s">
        <v>215</v>
      </c>
      <c r="B42" s="325" t="s">
        <v>174</v>
      </c>
      <c r="D42" s="150"/>
      <c r="E42" s="150"/>
      <c r="F42" s="153"/>
      <c r="G42" s="148"/>
      <c r="H42" s="148"/>
      <c r="I42" s="148"/>
      <c r="J42" s="148"/>
      <c r="K42" s="148"/>
      <c r="L42" s="148"/>
      <c r="M42" s="148"/>
      <c r="N42" s="150"/>
      <c r="O42" s="148"/>
      <c r="R42" s="123" t="s">
        <v>147</v>
      </c>
      <c r="S42" s="166"/>
    </row>
    <row r="43" spans="1:54" ht="24" x14ac:dyDescent="0.25">
      <c r="A43" s="152" t="s">
        <v>199</v>
      </c>
      <c r="B43" s="325" t="s">
        <v>200</v>
      </c>
      <c r="D43" s="150"/>
      <c r="E43" s="148"/>
      <c r="F43" s="151"/>
      <c r="G43" s="150"/>
      <c r="H43" s="148"/>
      <c r="I43" s="150"/>
      <c r="J43" s="148"/>
      <c r="K43" s="148"/>
      <c r="L43" s="148"/>
      <c r="M43" s="148"/>
      <c r="N43" s="148"/>
      <c r="O43" s="148"/>
      <c r="U43" s="67"/>
    </row>
    <row r="44" spans="1:54" ht="45" x14ac:dyDescent="0.25">
      <c r="A44" s="152" t="s">
        <v>54</v>
      </c>
      <c r="B44" s="325" t="s">
        <v>173</v>
      </c>
      <c r="D44" s="150"/>
      <c r="E44" s="148"/>
      <c r="F44" s="153"/>
      <c r="G44" s="148"/>
      <c r="H44" s="148"/>
      <c r="I44" s="150"/>
      <c r="J44" s="148"/>
      <c r="K44" s="148"/>
      <c r="L44" s="148"/>
      <c r="M44" s="148"/>
      <c r="N44" s="148"/>
      <c r="O44" s="148"/>
      <c r="S44" s="120" t="s">
        <v>13</v>
      </c>
      <c r="T44" s="119" t="s">
        <v>143</v>
      </c>
      <c r="U44" s="119" t="s">
        <v>144</v>
      </c>
      <c r="V44" s="120" t="s">
        <v>113</v>
      </c>
      <c r="W44" s="120" t="s">
        <v>182</v>
      </c>
    </row>
    <row r="45" spans="1:54" ht="24" x14ac:dyDescent="0.25">
      <c r="A45" s="152" t="s">
        <v>216</v>
      </c>
      <c r="B45" s="325" t="s">
        <v>201</v>
      </c>
      <c r="D45" s="150"/>
      <c r="E45" s="150"/>
      <c r="F45" s="150"/>
      <c r="G45" s="150"/>
      <c r="H45" s="150"/>
      <c r="I45" s="148"/>
      <c r="J45" s="148"/>
      <c r="K45" s="148"/>
      <c r="L45" s="148"/>
      <c r="M45" s="148"/>
      <c r="N45" s="148"/>
      <c r="O45" s="148"/>
      <c r="R45" s="125" t="s">
        <v>169</v>
      </c>
      <c r="S45" s="165" t="s">
        <v>177</v>
      </c>
      <c r="T45" s="127"/>
      <c r="U45" t="s">
        <v>120</v>
      </c>
      <c r="V45" t="s">
        <v>190</v>
      </c>
      <c r="W45">
        <v>5</v>
      </c>
    </row>
    <row r="46" spans="1:54" x14ac:dyDescent="0.25">
      <c r="A46" s="60" t="s">
        <v>225</v>
      </c>
      <c r="B46" s="67"/>
      <c r="D46" s="150"/>
      <c r="E46" s="150"/>
      <c r="F46" s="150"/>
      <c r="G46" s="148"/>
      <c r="H46" s="150"/>
      <c r="I46" s="148"/>
      <c r="J46" s="148"/>
      <c r="K46" s="148"/>
      <c r="L46" s="148" t="s">
        <v>126</v>
      </c>
      <c r="M46" s="148"/>
      <c r="N46" s="148"/>
      <c r="O46" s="148"/>
      <c r="R46" s="125" t="s">
        <v>170</v>
      </c>
      <c r="S46" s="165" t="s">
        <v>178</v>
      </c>
      <c r="T46" s="121"/>
      <c r="U46" t="s">
        <v>125</v>
      </c>
      <c r="V46" t="s">
        <v>187</v>
      </c>
      <c r="W46">
        <v>5</v>
      </c>
      <c r="AD46" s="82">
        <v>2</v>
      </c>
      <c r="AE46" s="82">
        <v>2</v>
      </c>
      <c r="AF46" s="82">
        <v>1</v>
      </c>
    </row>
    <row r="47" spans="1:54" ht="24" x14ac:dyDescent="0.25">
      <c r="A47" s="152" t="s">
        <v>73</v>
      </c>
      <c r="B47" s="325" t="s">
        <v>205</v>
      </c>
      <c r="D47" s="150"/>
      <c r="E47" s="150"/>
      <c r="F47" s="150"/>
      <c r="G47" s="148"/>
      <c r="H47" s="150"/>
      <c r="I47" s="148"/>
      <c r="J47" s="148"/>
      <c r="K47" s="148"/>
      <c r="L47" s="148"/>
      <c r="M47" s="148"/>
      <c r="N47" s="148"/>
      <c r="O47" s="148"/>
      <c r="R47" s="123" t="s">
        <v>146</v>
      </c>
      <c r="S47" s="165" t="s">
        <v>248</v>
      </c>
      <c r="T47" s="121"/>
      <c r="U47" s="67" t="s">
        <v>121</v>
      </c>
      <c r="V47" t="s">
        <v>163</v>
      </c>
      <c r="W47">
        <v>8</v>
      </c>
      <c r="AD47" s="179">
        <v>2</v>
      </c>
      <c r="AE47" s="179">
        <v>2</v>
      </c>
      <c r="AF47" s="179">
        <v>2</v>
      </c>
      <c r="AG47" s="179">
        <v>2</v>
      </c>
    </row>
    <row r="48" spans="1:54" ht="24" x14ac:dyDescent="0.25">
      <c r="A48" s="152" t="s">
        <v>77</v>
      </c>
      <c r="B48" s="325" t="s">
        <v>206</v>
      </c>
      <c r="D48" s="150"/>
      <c r="E48" s="148"/>
      <c r="F48" s="150"/>
      <c r="G48" s="148"/>
      <c r="H48" s="150"/>
      <c r="I48" s="148"/>
      <c r="J48" s="148"/>
      <c r="K48" s="148"/>
      <c r="L48" s="148"/>
      <c r="M48" s="148"/>
      <c r="N48" s="148"/>
      <c r="O48" s="148"/>
      <c r="R48" s="123" t="s">
        <v>147</v>
      </c>
      <c r="S48" s="166"/>
      <c r="T48" s="121"/>
      <c r="U48" s="67"/>
    </row>
    <row r="49" spans="1:40" ht="27.4" customHeight="1" x14ac:dyDescent="0.25">
      <c r="A49" s="152" t="s">
        <v>80</v>
      </c>
      <c r="B49" s="325" t="s">
        <v>207</v>
      </c>
      <c r="D49" s="155"/>
      <c r="E49" s="133"/>
      <c r="F49" s="150"/>
      <c r="G49" s="148"/>
      <c r="H49" s="150"/>
      <c r="I49" s="148"/>
      <c r="J49" s="148"/>
      <c r="K49" s="148"/>
      <c r="L49" s="148"/>
      <c r="M49" s="148"/>
      <c r="N49" s="148"/>
      <c r="O49" s="148"/>
      <c r="S49" s="166"/>
      <c r="U49" s="67"/>
    </row>
    <row r="50" spans="1:40" ht="30" x14ac:dyDescent="0.25">
      <c r="A50" s="152" t="s">
        <v>83</v>
      </c>
      <c r="B50" s="325" t="s">
        <v>208</v>
      </c>
      <c r="D50" s="148"/>
      <c r="E50" s="150"/>
      <c r="F50" s="150"/>
      <c r="G50" s="150"/>
      <c r="H50" s="148"/>
      <c r="I50" s="148"/>
      <c r="J50" s="148"/>
      <c r="K50" s="148"/>
      <c r="L50" s="148"/>
      <c r="M50" s="148"/>
      <c r="N50" s="148"/>
      <c r="O50" s="148"/>
      <c r="S50" s="90" t="s">
        <v>88</v>
      </c>
      <c r="T50" s="69" t="s">
        <v>143</v>
      </c>
      <c r="U50" s="69" t="s">
        <v>144</v>
      </c>
    </row>
    <row r="51" spans="1:40" ht="36" x14ac:dyDescent="0.25">
      <c r="A51" s="154" t="s">
        <v>13</v>
      </c>
      <c r="B51" s="325" t="s">
        <v>178</v>
      </c>
      <c r="D51" s="133"/>
      <c r="E51" s="133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R51" s="125" t="s">
        <v>169</v>
      </c>
      <c r="S51" s="165" t="s">
        <v>183</v>
      </c>
      <c r="U51" t="s">
        <v>120</v>
      </c>
      <c r="V51" t="s">
        <v>190</v>
      </c>
      <c r="W51">
        <v>5</v>
      </c>
    </row>
    <row r="52" spans="1:40" ht="30" x14ac:dyDescent="0.25">
      <c r="A52" s="60" t="s">
        <v>228</v>
      </c>
      <c r="B52" s="67"/>
      <c r="E52" s="107"/>
      <c r="F52" s="107"/>
      <c r="G52" s="107"/>
      <c r="H52" s="107"/>
      <c r="I52" s="107"/>
      <c r="J52" s="107"/>
      <c r="K52" s="133"/>
      <c r="L52" s="107"/>
      <c r="M52" s="107"/>
      <c r="N52" s="107"/>
      <c r="O52" s="133"/>
      <c r="R52" s="125" t="s">
        <v>170</v>
      </c>
      <c r="S52" s="168" t="s">
        <v>209</v>
      </c>
      <c r="U52" s="67" t="s">
        <v>121</v>
      </c>
      <c r="V52" t="s">
        <v>163</v>
      </c>
      <c r="W52">
        <v>3</v>
      </c>
      <c r="X52" s="179">
        <v>1</v>
      </c>
    </row>
    <row r="53" spans="1:40" ht="24" x14ac:dyDescent="0.25">
      <c r="A53" s="152" t="s">
        <v>88</v>
      </c>
      <c r="B53" s="325" t="s">
        <v>209</v>
      </c>
      <c r="D53" s="133"/>
      <c r="E53" s="107"/>
      <c r="F53" s="107"/>
      <c r="G53" s="107"/>
      <c r="H53" s="133"/>
      <c r="I53" s="107"/>
      <c r="J53" s="107"/>
      <c r="K53" s="133"/>
      <c r="L53" s="107"/>
      <c r="M53" s="107"/>
      <c r="N53" s="107"/>
      <c r="O53" s="133"/>
      <c r="R53" s="123" t="s">
        <v>146</v>
      </c>
      <c r="S53" s="168" t="s">
        <v>245</v>
      </c>
      <c r="U53" s="67" t="s">
        <v>123</v>
      </c>
      <c r="V53" t="s">
        <v>192</v>
      </c>
      <c r="W53">
        <v>7</v>
      </c>
    </row>
    <row r="54" spans="1:40" x14ac:dyDescent="0.25">
      <c r="A54" s="329" t="s">
        <v>257</v>
      </c>
      <c r="B54" s="328"/>
      <c r="C54" s="161"/>
      <c r="D54" s="133"/>
      <c r="E54" s="107"/>
      <c r="F54" s="107"/>
      <c r="G54" s="107"/>
      <c r="H54" s="107"/>
      <c r="I54" s="107"/>
      <c r="J54" s="107"/>
      <c r="K54" s="133"/>
      <c r="L54" s="107"/>
      <c r="M54" s="107"/>
      <c r="N54" s="107"/>
      <c r="O54" s="133"/>
      <c r="R54" s="123" t="s">
        <v>147</v>
      </c>
      <c r="S54" s="166"/>
      <c r="U54" s="67" t="s">
        <v>124</v>
      </c>
      <c r="V54" t="s">
        <v>162</v>
      </c>
      <c r="W54">
        <v>5</v>
      </c>
      <c r="X54" s="73">
        <v>4</v>
      </c>
    </row>
    <row r="55" spans="1:40" x14ac:dyDescent="0.25">
      <c r="A55" s="152" t="s">
        <v>250</v>
      </c>
      <c r="B55" s="326" t="s">
        <v>259</v>
      </c>
      <c r="C55" s="161"/>
      <c r="D55" s="133"/>
      <c r="E55" s="107"/>
      <c r="F55" s="107"/>
      <c r="G55" s="107"/>
      <c r="H55" s="107"/>
      <c r="I55" s="133"/>
      <c r="J55" s="107"/>
      <c r="K55" s="133"/>
      <c r="L55" s="107"/>
      <c r="M55" s="133"/>
      <c r="N55" s="107"/>
      <c r="O55" s="133"/>
      <c r="U55" s="67" t="s">
        <v>124</v>
      </c>
      <c r="V55" t="s">
        <v>235</v>
      </c>
      <c r="W55">
        <v>5</v>
      </c>
      <c r="X55" s="180">
        <v>4</v>
      </c>
    </row>
    <row r="56" spans="1:40" x14ac:dyDescent="0.25">
      <c r="A56" s="152" t="s">
        <v>260</v>
      </c>
      <c r="B56" s="326" t="s">
        <v>261</v>
      </c>
      <c r="C56" s="161"/>
      <c r="D56" s="133"/>
      <c r="E56" s="107"/>
      <c r="F56" s="107"/>
      <c r="G56" s="107"/>
      <c r="H56" s="133"/>
      <c r="I56" s="107"/>
      <c r="J56" s="107"/>
      <c r="K56" s="107"/>
      <c r="L56" s="107"/>
      <c r="M56" s="133"/>
      <c r="N56" s="107"/>
      <c r="O56" s="133"/>
      <c r="R56" s="126"/>
      <c r="S56" s="167" t="s">
        <v>44</v>
      </c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</row>
    <row r="57" spans="1:40" ht="45" x14ac:dyDescent="0.25">
      <c r="A57" s="329" t="s">
        <v>254</v>
      </c>
      <c r="B57" s="328"/>
      <c r="C57" s="159"/>
      <c r="D57" s="107"/>
      <c r="E57" s="133"/>
      <c r="F57" s="107"/>
      <c r="G57" s="107"/>
      <c r="H57" s="133"/>
      <c r="I57" s="107"/>
      <c r="J57" s="107"/>
      <c r="K57" s="133"/>
      <c r="L57" s="107"/>
      <c r="M57" s="133"/>
      <c r="N57" s="133"/>
      <c r="O57" s="107"/>
      <c r="S57" s="90" t="s">
        <v>49</v>
      </c>
      <c r="T57" s="69" t="s">
        <v>143</v>
      </c>
      <c r="U57" s="69" t="s">
        <v>144</v>
      </c>
    </row>
    <row r="58" spans="1:40" x14ac:dyDescent="0.25">
      <c r="A58" s="135" t="s">
        <v>119</v>
      </c>
      <c r="B58" s="71"/>
      <c r="C58" s="161"/>
      <c r="D58" s="150"/>
      <c r="E58" s="148"/>
      <c r="F58" s="150"/>
      <c r="G58" s="148"/>
      <c r="H58" s="148"/>
      <c r="I58" s="150"/>
      <c r="J58" s="148"/>
      <c r="K58" s="150"/>
      <c r="L58" s="148"/>
      <c r="M58" s="148"/>
      <c r="N58" s="148"/>
      <c r="O58" s="150"/>
      <c r="R58" s="125" t="s">
        <v>169</v>
      </c>
      <c r="S58" s="165" t="s">
        <v>172</v>
      </c>
      <c r="U58" t="s">
        <v>120</v>
      </c>
      <c r="V58" t="s">
        <v>186</v>
      </c>
      <c r="W58">
        <v>5</v>
      </c>
    </row>
    <row r="59" spans="1:40" ht="24" x14ac:dyDescent="0.25">
      <c r="A59" s="288" t="s">
        <v>116</v>
      </c>
      <c r="B59" s="287" t="s">
        <v>233</v>
      </c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R59" s="125" t="s">
        <v>170</v>
      </c>
      <c r="S59" s="165" t="s">
        <v>174</v>
      </c>
      <c r="U59" t="s">
        <v>125</v>
      </c>
      <c r="V59" t="s">
        <v>162</v>
      </c>
      <c r="W59">
        <v>1</v>
      </c>
      <c r="X59" s="82">
        <v>0.5</v>
      </c>
    </row>
    <row r="60" spans="1:40" ht="24" x14ac:dyDescent="0.25">
      <c r="A60" s="121" t="s">
        <v>117</v>
      </c>
      <c r="B60" s="116" t="s">
        <v>232</v>
      </c>
      <c r="R60" s="123" t="s">
        <v>146</v>
      </c>
      <c r="S60" s="166"/>
      <c r="U60" s="67" t="s">
        <v>121</v>
      </c>
      <c r="V60" t="s">
        <v>165</v>
      </c>
      <c r="W60">
        <v>20</v>
      </c>
      <c r="X60" s="178">
        <v>2</v>
      </c>
      <c r="Y60" s="178">
        <v>3</v>
      </c>
      <c r="Z60" s="178">
        <v>4</v>
      </c>
      <c r="AA60" s="178">
        <v>4</v>
      </c>
      <c r="AB60" s="178">
        <v>4</v>
      </c>
      <c r="AC60" s="178">
        <v>3</v>
      </c>
    </row>
    <row r="61" spans="1:40" ht="24" x14ac:dyDescent="0.25">
      <c r="A61" s="288" t="s">
        <v>118</v>
      </c>
      <c r="B61" s="287" t="s">
        <v>114</v>
      </c>
      <c r="R61" s="123" t="s">
        <v>147</v>
      </c>
      <c r="U61" s="67" t="s">
        <v>123</v>
      </c>
      <c r="V61" t="s">
        <v>192</v>
      </c>
      <c r="W61">
        <v>10</v>
      </c>
      <c r="AB61" s="76">
        <v>3</v>
      </c>
      <c r="AC61" s="76">
        <v>3</v>
      </c>
      <c r="AD61" s="76">
        <v>3</v>
      </c>
    </row>
    <row r="62" spans="1:40" x14ac:dyDescent="0.25">
      <c r="A62" s="293" t="s">
        <v>166</v>
      </c>
      <c r="B62" s="294" t="s">
        <v>229</v>
      </c>
      <c r="U62" s="67" t="s">
        <v>123</v>
      </c>
      <c r="V62" t="s">
        <v>247</v>
      </c>
      <c r="W62">
        <v>20</v>
      </c>
      <c r="AB62" s="181">
        <v>3</v>
      </c>
      <c r="AC62" s="181">
        <v>4</v>
      </c>
      <c r="AD62" s="181">
        <v>4</v>
      </c>
      <c r="AE62" s="181">
        <v>4</v>
      </c>
      <c r="AF62" s="181">
        <v>4</v>
      </c>
    </row>
    <row r="63" spans="1:40" x14ac:dyDescent="0.25">
      <c r="A63" s="293" t="s">
        <v>167</v>
      </c>
      <c r="B63" s="294" t="s">
        <v>230</v>
      </c>
      <c r="U63" s="67" t="s">
        <v>122</v>
      </c>
      <c r="V63" t="s">
        <v>188</v>
      </c>
      <c r="W63">
        <v>10</v>
      </c>
      <c r="AD63" s="77">
        <v>4</v>
      </c>
      <c r="AE63" s="77">
        <v>4</v>
      </c>
    </row>
    <row r="64" spans="1:40" x14ac:dyDescent="0.25">
      <c r="A64" s="293" t="s">
        <v>168</v>
      </c>
      <c r="B64" s="294" t="s">
        <v>234</v>
      </c>
      <c r="S64" s="120"/>
      <c r="U64" s="67" t="s">
        <v>124</v>
      </c>
      <c r="V64" t="s">
        <v>162</v>
      </c>
      <c r="W64">
        <v>15</v>
      </c>
      <c r="AE64" s="73">
        <v>3</v>
      </c>
      <c r="AF64" s="73">
        <v>4</v>
      </c>
      <c r="AG64" s="73">
        <v>4</v>
      </c>
      <c r="AH64" s="73">
        <v>3</v>
      </c>
      <c r="AI64" s="73">
        <v>1</v>
      </c>
      <c r="AN64"/>
    </row>
    <row r="65" spans="1:40" ht="24" x14ac:dyDescent="0.25">
      <c r="A65" s="288" t="s">
        <v>164</v>
      </c>
      <c r="B65" s="287" t="s">
        <v>231</v>
      </c>
      <c r="S65" s="120"/>
      <c r="U65" s="67" t="s">
        <v>124</v>
      </c>
      <c r="V65" t="s">
        <v>235</v>
      </c>
      <c r="W65">
        <v>15</v>
      </c>
      <c r="AG65" s="180">
        <v>4</v>
      </c>
      <c r="AH65" s="180">
        <v>4</v>
      </c>
      <c r="AI65" s="180">
        <v>4</v>
      </c>
      <c r="AN65"/>
    </row>
    <row r="66" spans="1:40" ht="30" x14ac:dyDescent="0.25">
      <c r="S66" s="129" t="s">
        <v>199</v>
      </c>
      <c r="T66" s="69" t="s">
        <v>143</v>
      </c>
      <c r="U66" s="69" t="s">
        <v>144</v>
      </c>
      <c r="AN66"/>
    </row>
    <row r="67" spans="1:40" x14ac:dyDescent="0.25">
      <c r="R67" s="125" t="s">
        <v>169</v>
      </c>
      <c r="S67" s="165" t="s">
        <v>172</v>
      </c>
      <c r="U67" t="s">
        <v>120</v>
      </c>
      <c r="V67" t="s">
        <v>186</v>
      </c>
      <c r="W67">
        <v>5</v>
      </c>
      <c r="AN67"/>
    </row>
    <row r="68" spans="1:40" x14ac:dyDescent="0.25">
      <c r="R68" s="125" t="s">
        <v>170</v>
      </c>
      <c r="S68" s="165" t="s">
        <v>200</v>
      </c>
      <c r="U68" s="122" t="s">
        <v>171</v>
      </c>
      <c r="Y68" s="81"/>
      <c r="AN68"/>
    </row>
    <row r="69" spans="1:40" x14ac:dyDescent="0.25">
      <c r="R69" s="123" t="s">
        <v>146</v>
      </c>
      <c r="U69" s="67" t="s">
        <v>123</v>
      </c>
      <c r="W69">
        <v>3</v>
      </c>
    </row>
    <row r="70" spans="1:40" x14ac:dyDescent="0.25">
      <c r="R70" s="123" t="s">
        <v>147</v>
      </c>
      <c r="U70" s="67" t="s">
        <v>122</v>
      </c>
      <c r="W70">
        <v>8</v>
      </c>
    </row>
    <row r="71" spans="1:40" x14ac:dyDescent="0.25">
      <c r="U71" s="67" t="s">
        <v>124</v>
      </c>
    </row>
    <row r="73" spans="1:40" ht="30" x14ac:dyDescent="0.25">
      <c r="S73" s="90" t="s">
        <v>54</v>
      </c>
      <c r="T73" s="69" t="s">
        <v>143</v>
      </c>
      <c r="U73" s="69" t="s">
        <v>144</v>
      </c>
      <c r="X73" s="81"/>
      <c r="Y73" s="81"/>
      <c r="Z73" s="81"/>
      <c r="AA73" s="81"/>
      <c r="AB73" s="81"/>
      <c r="AC73" s="81"/>
      <c r="AD73" s="81"/>
      <c r="AE73" s="81"/>
      <c r="AF73" s="81"/>
      <c r="AG73" s="81"/>
    </row>
    <row r="74" spans="1:40" x14ac:dyDescent="0.25">
      <c r="R74" s="125" t="s">
        <v>169</v>
      </c>
      <c r="S74" s="165" t="s">
        <v>172</v>
      </c>
      <c r="U74" t="s">
        <v>120</v>
      </c>
      <c r="V74" t="s">
        <v>186</v>
      </c>
      <c r="W74">
        <v>5</v>
      </c>
    </row>
    <row r="75" spans="1:40" x14ac:dyDescent="0.25">
      <c r="R75" s="125" t="s">
        <v>170</v>
      </c>
      <c r="S75" s="165" t="s">
        <v>173</v>
      </c>
      <c r="U75" t="s">
        <v>125</v>
      </c>
      <c r="V75" t="s">
        <v>162</v>
      </c>
      <c r="W75">
        <v>5</v>
      </c>
      <c r="AF75" s="82">
        <v>2</v>
      </c>
      <c r="AG75" s="82">
        <v>2</v>
      </c>
    </row>
    <row r="76" spans="1:40" x14ac:dyDescent="0.25">
      <c r="R76" s="123" t="s">
        <v>146</v>
      </c>
      <c r="S76" s="166"/>
      <c r="U76" s="67" t="s">
        <v>121</v>
      </c>
      <c r="V76" t="s">
        <v>165</v>
      </c>
      <c r="W76">
        <v>5</v>
      </c>
      <c r="AF76" s="178">
        <v>2</v>
      </c>
      <c r="AG76" s="178">
        <v>2</v>
      </c>
    </row>
    <row r="77" spans="1:40" x14ac:dyDescent="0.25">
      <c r="R77" s="123" t="s">
        <v>147</v>
      </c>
      <c r="S77" s="166"/>
      <c r="U77" s="67"/>
    </row>
    <row r="79" spans="1:40" ht="30" x14ac:dyDescent="0.25">
      <c r="S79" s="90" t="s">
        <v>184</v>
      </c>
      <c r="T79" s="69" t="s">
        <v>143</v>
      </c>
      <c r="U79" s="69" t="s">
        <v>144</v>
      </c>
    </row>
    <row r="80" spans="1:40" x14ac:dyDescent="0.25">
      <c r="R80" s="125" t="s">
        <v>169</v>
      </c>
      <c r="S80" s="165" t="s">
        <v>172</v>
      </c>
      <c r="U80" t="s">
        <v>120</v>
      </c>
      <c r="V80" t="s">
        <v>186</v>
      </c>
      <c r="W80">
        <v>3</v>
      </c>
    </row>
    <row r="81" spans="18:34" x14ac:dyDescent="0.25">
      <c r="R81" s="125" t="s">
        <v>170</v>
      </c>
      <c r="S81" s="165" t="s">
        <v>201</v>
      </c>
      <c r="U81" t="s">
        <v>125</v>
      </c>
      <c r="V81" t="s">
        <v>162</v>
      </c>
      <c r="W81">
        <v>5</v>
      </c>
      <c r="AF81" s="82">
        <v>2</v>
      </c>
      <c r="AG81" s="82">
        <v>2</v>
      </c>
    </row>
    <row r="82" spans="18:34" x14ac:dyDescent="0.25">
      <c r="R82" s="123" t="s">
        <v>146</v>
      </c>
      <c r="S82" s="165" t="s">
        <v>175</v>
      </c>
    </row>
    <row r="83" spans="18:34" x14ac:dyDescent="0.25">
      <c r="R83" s="123" t="s">
        <v>147</v>
      </c>
      <c r="S83" s="166"/>
      <c r="U83" s="67"/>
    </row>
    <row r="85" spans="18:34" x14ac:dyDescent="0.25">
      <c r="R85" s="128"/>
      <c r="S85" s="164" t="s">
        <v>161</v>
      </c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</row>
    <row r="86" spans="18:34" ht="30" x14ac:dyDescent="0.25">
      <c r="R86" s="126"/>
      <c r="S86" s="167" t="s">
        <v>115</v>
      </c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</row>
    <row r="87" spans="18:34" x14ac:dyDescent="0.25">
      <c r="R87" s="125" t="s">
        <v>170</v>
      </c>
      <c r="U87" t="s">
        <v>120</v>
      </c>
      <c r="W87">
        <v>0.5</v>
      </c>
    </row>
    <row r="88" spans="18:34" x14ac:dyDescent="0.25">
      <c r="R88" s="123" t="s">
        <v>146</v>
      </c>
      <c r="T88" s="105"/>
      <c r="U88" s="67"/>
    </row>
    <row r="89" spans="18:34" x14ac:dyDescent="0.25">
      <c r="R89" s="123" t="s">
        <v>147</v>
      </c>
      <c r="S89" s="165" t="s">
        <v>179</v>
      </c>
      <c r="T89" s="105"/>
      <c r="U89" s="67" t="s">
        <v>124</v>
      </c>
      <c r="V89" t="s">
        <v>193</v>
      </c>
      <c r="W89" s="81">
        <v>1</v>
      </c>
      <c r="Y89" s="180">
        <v>1</v>
      </c>
    </row>
    <row r="90" spans="18:34" ht="30" x14ac:dyDescent="0.25">
      <c r="R90" s="126"/>
      <c r="S90" s="167" t="s">
        <v>116</v>
      </c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</row>
    <row r="91" spans="18:34" x14ac:dyDescent="0.25">
      <c r="R91" s="125" t="s">
        <v>170</v>
      </c>
      <c r="U91" t="s">
        <v>120</v>
      </c>
      <c r="W91" s="81">
        <v>0.5</v>
      </c>
    </row>
    <row r="92" spans="18:34" x14ac:dyDescent="0.25">
      <c r="R92" s="123" t="s">
        <v>146</v>
      </c>
      <c r="U92" s="67" t="s">
        <v>123</v>
      </c>
      <c r="W92">
        <v>1</v>
      </c>
      <c r="X92" s="76">
        <v>1</v>
      </c>
    </row>
    <row r="93" spans="18:34" x14ac:dyDescent="0.25">
      <c r="R93" s="123" t="s">
        <v>147</v>
      </c>
      <c r="S93" s="165" t="s">
        <v>180</v>
      </c>
      <c r="U93" s="67" t="s">
        <v>124</v>
      </c>
      <c r="V93" t="s">
        <v>193</v>
      </c>
      <c r="W93" s="81">
        <v>0.5</v>
      </c>
      <c r="Y93" s="180">
        <v>0.5</v>
      </c>
    </row>
    <row r="94" spans="18:34" ht="45" x14ac:dyDescent="0.25">
      <c r="R94" s="126"/>
      <c r="S94" s="167" t="s">
        <v>117</v>
      </c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</row>
    <row r="95" spans="18:34" x14ac:dyDescent="0.25">
      <c r="R95" s="125" t="s">
        <v>170</v>
      </c>
      <c r="U95" t="s">
        <v>120</v>
      </c>
      <c r="W95" s="81">
        <v>0.5</v>
      </c>
    </row>
    <row r="96" spans="18:34" x14ac:dyDescent="0.25">
      <c r="R96" s="123" t="s">
        <v>146</v>
      </c>
      <c r="U96" s="67" t="s">
        <v>121</v>
      </c>
      <c r="V96" t="s">
        <v>163</v>
      </c>
      <c r="W96" s="81">
        <v>3</v>
      </c>
      <c r="AF96" s="179">
        <v>2</v>
      </c>
      <c r="AG96" s="179">
        <v>1</v>
      </c>
    </row>
    <row r="97" spans="18:38" x14ac:dyDescent="0.25">
      <c r="R97" s="123" t="s">
        <v>147</v>
      </c>
      <c r="S97" s="165" t="s">
        <v>181</v>
      </c>
      <c r="U97" s="67" t="s">
        <v>123</v>
      </c>
      <c r="W97">
        <v>0.2</v>
      </c>
      <c r="AG97" s="76">
        <v>0.2</v>
      </c>
    </row>
    <row r="98" spans="18:38" x14ac:dyDescent="0.25">
      <c r="S98" s="165"/>
      <c r="U98" s="67" t="s">
        <v>124</v>
      </c>
      <c r="W98" s="81">
        <v>0.2</v>
      </c>
      <c r="AH98" s="73">
        <v>0.2</v>
      </c>
    </row>
    <row r="99" spans="18:38" x14ac:dyDescent="0.25">
      <c r="R99" s="126"/>
      <c r="S99" s="118" t="s">
        <v>166</v>
      </c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</row>
    <row r="100" spans="18:38" x14ac:dyDescent="0.25">
      <c r="R100" s="125" t="s">
        <v>170</v>
      </c>
      <c r="U100" t="s">
        <v>120</v>
      </c>
      <c r="W100">
        <v>4</v>
      </c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</row>
    <row r="101" spans="18:38" x14ac:dyDescent="0.25">
      <c r="R101" s="123" t="s">
        <v>146</v>
      </c>
      <c r="U101" s="67" t="s">
        <v>121</v>
      </c>
      <c r="W101" s="81">
        <v>1</v>
      </c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</row>
    <row r="102" spans="18:38" x14ac:dyDescent="0.25">
      <c r="R102" s="123" t="s">
        <v>147</v>
      </c>
      <c r="U102" s="67" t="s">
        <v>122</v>
      </c>
      <c r="V102" t="s">
        <v>188</v>
      </c>
      <c r="W102" s="81">
        <v>8</v>
      </c>
      <c r="X102" s="77">
        <v>4</v>
      </c>
      <c r="Y102" s="77">
        <v>2</v>
      </c>
      <c r="Z102" s="77">
        <v>4</v>
      </c>
      <c r="AA102" s="81"/>
      <c r="AB102" s="81"/>
      <c r="AC102" s="81"/>
      <c r="AD102" s="81"/>
      <c r="AE102" s="81"/>
      <c r="AF102" s="81"/>
      <c r="AG102" s="81"/>
    </row>
    <row r="103" spans="18:38" x14ac:dyDescent="0.25">
      <c r="U103" s="67" t="s">
        <v>123</v>
      </c>
      <c r="V103" t="s">
        <v>244</v>
      </c>
      <c r="W103">
        <v>1</v>
      </c>
      <c r="X103" s="181">
        <v>1</v>
      </c>
      <c r="Y103" s="81"/>
      <c r="Z103" s="81"/>
      <c r="AA103" s="81"/>
      <c r="AB103" s="81"/>
      <c r="AC103" s="81"/>
      <c r="AD103" s="81"/>
      <c r="AE103" s="81"/>
      <c r="AF103" s="81"/>
      <c r="AG103" s="81"/>
    </row>
    <row r="104" spans="18:38" x14ac:dyDescent="0.25">
      <c r="S104" s="106"/>
      <c r="U104" s="67" t="s">
        <v>124</v>
      </c>
      <c r="V104" t="s">
        <v>193</v>
      </c>
      <c r="W104" s="81">
        <v>10</v>
      </c>
      <c r="X104" s="81"/>
      <c r="Y104" s="180">
        <v>3</v>
      </c>
      <c r="Z104" s="180">
        <v>4</v>
      </c>
      <c r="AA104" s="180">
        <v>3</v>
      </c>
      <c r="AB104" s="81"/>
      <c r="AC104" s="81"/>
      <c r="AD104" s="81"/>
      <c r="AE104" s="81"/>
      <c r="AF104" s="81"/>
      <c r="AG104" s="81"/>
    </row>
    <row r="105" spans="18:38" x14ac:dyDescent="0.25">
      <c r="R105" s="126"/>
      <c r="S105" s="118" t="s">
        <v>167</v>
      </c>
      <c r="T105" s="76"/>
      <c r="U105" s="111"/>
      <c r="V105" s="111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</row>
    <row r="106" spans="18:38" x14ac:dyDescent="0.25">
      <c r="R106" s="125" t="s">
        <v>170</v>
      </c>
      <c r="U106" t="s">
        <v>120</v>
      </c>
      <c r="W106" s="81">
        <v>3</v>
      </c>
      <c r="AG106" s="107"/>
      <c r="AH106" s="107"/>
    </row>
    <row r="107" spans="18:38" x14ac:dyDescent="0.25">
      <c r="R107" s="123" t="s">
        <v>146</v>
      </c>
      <c r="U107" s="67" t="s">
        <v>121</v>
      </c>
      <c r="W107">
        <v>1</v>
      </c>
      <c r="AG107" s="107"/>
      <c r="AH107" s="107"/>
    </row>
    <row r="108" spans="18:38" x14ac:dyDescent="0.25">
      <c r="R108" s="123" t="s">
        <v>147</v>
      </c>
      <c r="U108" s="67" t="s">
        <v>122</v>
      </c>
      <c r="V108" t="s">
        <v>188</v>
      </c>
      <c r="W108">
        <v>4</v>
      </c>
      <c r="Z108" s="81"/>
      <c r="AA108" s="77">
        <v>3</v>
      </c>
      <c r="AB108" s="77">
        <v>1</v>
      </c>
      <c r="AG108" s="107"/>
      <c r="AH108" s="107"/>
    </row>
    <row r="109" spans="18:38" x14ac:dyDescent="0.25">
      <c r="U109" s="67" t="s">
        <v>124</v>
      </c>
      <c r="V109" t="s">
        <v>193</v>
      </c>
      <c r="W109">
        <v>4</v>
      </c>
      <c r="AA109" s="180">
        <v>1</v>
      </c>
      <c r="AB109" s="180">
        <v>3</v>
      </c>
      <c r="AJ109" s="113"/>
      <c r="AK109" s="113"/>
      <c r="AL109" s="113"/>
    </row>
    <row r="110" spans="18:38" x14ac:dyDescent="0.25">
      <c r="R110" s="126"/>
      <c r="S110" s="169" t="s">
        <v>168</v>
      </c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J110" s="114"/>
      <c r="AK110" s="115"/>
      <c r="AL110" s="114"/>
    </row>
    <row r="111" spans="18:38" x14ac:dyDescent="0.25">
      <c r="R111" s="125" t="s">
        <v>170</v>
      </c>
      <c r="U111" t="s">
        <v>120</v>
      </c>
      <c r="W111">
        <v>3</v>
      </c>
      <c r="AJ111" s="81"/>
      <c r="AK111" s="81"/>
      <c r="AL111" s="81"/>
    </row>
    <row r="112" spans="18:38" x14ac:dyDescent="0.25">
      <c r="R112" s="123" t="s">
        <v>146</v>
      </c>
      <c r="U112" s="67" t="s">
        <v>121</v>
      </c>
      <c r="V112" t="s">
        <v>163</v>
      </c>
      <c r="W112">
        <v>1</v>
      </c>
      <c r="AB112" s="179">
        <v>1</v>
      </c>
      <c r="AJ112" s="81"/>
      <c r="AK112" s="81"/>
      <c r="AL112" s="81"/>
    </row>
    <row r="113" spans="18:38" x14ac:dyDescent="0.25">
      <c r="R113" s="123" t="s">
        <v>147</v>
      </c>
      <c r="U113" s="67" t="s">
        <v>122</v>
      </c>
      <c r="V113" t="s">
        <v>188</v>
      </c>
      <c r="W113">
        <v>3</v>
      </c>
      <c r="AB113" s="182">
        <v>3</v>
      </c>
      <c r="AJ113" s="81"/>
      <c r="AK113" s="81"/>
      <c r="AL113" s="81"/>
    </row>
    <row r="114" spans="18:38" x14ac:dyDescent="0.25">
      <c r="U114" s="67" t="s">
        <v>123</v>
      </c>
      <c r="V114" t="s">
        <v>189</v>
      </c>
      <c r="W114">
        <v>1</v>
      </c>
      <c r="AB114" s="181">
        <v>1</v>
      </c>
      <c r="AJ114" s="81"/>
      <c r="AK114" s="116"/>
      <c r="AL114" s="81"/>
    </row>
    <row r="115" spans="18:38" x14ac:dyDescent="0.25">
      <c r="U115" s="67" t="s">
        <v>124</v>
      </c>
      <c r="V115" t="s">
        <v>193</v>
      </c>
      <c r="W115">
        <v>4</v>
      </c>
      <c r="AC115" s="180">
        <v>4</v>
      </c>
    </row>
    <row r="116" spans="18:38" ht="30" x14ac:dyDescent="0.25">
      <c r="R116" s="126"/>
      <c r="S116" s="167" t="s">
        <v>164</v>
      </c>
      <c r="T116" s="108" t="s">
        <v>126</v>
      </c>
      <c r="U116" s="109"/>
      <c r="V116" s="109"/>
      <c r="W116" s="76"/>
      <c r="X116" s="76"/>
      <c r="Y116" s="76"/>
      <c r="Z116" s="76"/>
      <c r="AA116" s="76"/>
      <c r="AB116" s="76"/>
      <c r="AC116" s="110"/>
      <c r="AD116" s="110"/>
      <c r="AE116" s="110"/>
      <c r="AF116" s="110"/>
      <c r="AG116" s="110"/>
      <c r="AH116" s="110"/>
    </row>
    <row r="117" spans="18:38" x14ac:dyDescent="0.25">
      <c r="R117" s="125" t="s">
        <v>170</v>
      </c>
      <c r="U117" t="s">
        <v>120</v>
      </c>
      <c r="W117">
        <v>1</v>
      </c>
      <c r="AC117" s="107"/>
      <c r="AD117" s="107"/>
      <c r="AE117" s="107"/>
      <c r="AF117" s="107"/>
      <c r="AG117" s="107"/>
      <c r="AH117" s="107"/>
    </row>
    <row r="118" spans="18:38" x14ac:dyDescent="0.25">
      <c r="R118" s="123" t="s">
        <v>146</v>
      </c>
      <c r="U118" s="67" t="s">
        <v>124</v>
      </c>
      <c r="V118" t="s">
        <v>162</v>
      </c>
      <c r="W118">
        <v>1</v>
      </c>
      <c r="AC118" s="107"/>
      <c r="AD118" s="107"/>
      <c r="AE118" s="107"/>
      <c r="AF118" s="107"/>
      <c r="AG118" s="107"/>
      <c r="AH118" s="107"/>
    </row>
    <row r="119" spans="18:38" x14ac:dyDescent="0.25">
      <c r="R119" s="123" t="s">
        <v>147</v>
      </c>
      <c r="U119" s="67"/>
      <c r="AC119" s="107"/>
      <c r="AD119" s="107"/>
      <c r="AE119" s="107"/>
      <c r="AF119" s="107"/>
      <c r="AG119" s="107"/>
      <c r="AH119" s="107"/>
    </row>
    <row r="121" spans="18:38" x14ac:dyDescent="0.25">
      <c r="AI121" s="107"/>
      <c r="AJ121" s="107"/>
    </row>
    <row r="122" spans="18:38" x14ac:dyDescent="0.25">
      <c r="AI122" s="107"/>
      <c r="AJ122" s="107"/>
    </row>
    <row r="123" spans="18:38" x14ac:dyDescent="0.25">
      <c r="AI123" s="107"/>
      <c r="AJ123" s="107"/>
    </row>
    <row r="124" spans="18:38" x14ac:dyDescent="0.25">
      <c r="AI124" s="107"/>
      <c r="AJ124" s="107"/>
    </row>
    <row r="128" spans="18:38" ht="45" x14ac:dyDescent="0.25">
      <c r="R128" s="90" t="s">
        <v>112</v>
      </c>
      <c r="S128" s="170" t="s">
        <v>120</v>
      </c>
      <c r="T128" s="86" t="s">
        <v>125</v>
      </c>
      <c r="U128" s="87" t="s">
        <v>121</v>
      </c>
      <c r="V128" s="88" t="s">
        <v>122</v>
      </c>
      <c r="W128" s="68" t="s">
        <v>123</v>
      </c>
      <c r="X128" s="89" t="s">
        <v>124</v>
      </c>
      <c r="Z128" s="90" t="s">
        <v>112</v>
      </c>
      <c r="AA128" s="85" t="s">
        <v>120</v>
      </c>
      <c r="AB128" s="86" t="s">
        <v>125</v>
      </c>
      <c r="AC128" s="87" t="s">
        <v>121</v>
      </c>
      <c r="AD128" s="88" t="s">
        <v>122</v>
      </c>
      <c r="AE128" s="68" t="s">
        <v>123</v>
      </c>
      <c r="AF128" s="89" t="s">
        <v>124</v>
      </c>
    </row>
    <row r="129" spans="18:32" x14ac:dyDescent="0.25">
      <c r="R129" s="84" t="s">
        <v>127</v>
      </c>
      <c r="S129" s="171">
        <f>1*$S$145</f>
        <v>8</v>
      </c>
      <c r="T129" s="83"/>
      <c r="U129" s="80"/>
      <c r="V129" s="78"/>
      <c r="W129" s="38"/>
      <c r="X129" s="75"/>
      <c r="Z129" s="84" t="s">
        <v>127</v>
      </c>
      <c r="AA129" s="84">
        <f>S129*5</f>
        <v>40</v>
      </c>
    </row>
    <row r="130" spans="18:32" x14ac:dyDescent="0.25">
      <c r="R130" s="84" t="s">
        <v>128</v>
      </c>
      <c r="S130" s="171">
        <f>1*$S$145</f>
        <v>8</v>
      </c>
      <c r="T130" s="83"/>
      <c r="U130" s="80"/>
      <c r="V130" s="78"/>
      <c r="W130" s="38"/>
      <c r="X130" s="75"/>
      <c r="Z130" s="84" t="s">
        <v>128</v>
      </c>
      <c r="AA130" s="84">
        <f>S130*5</f>
        <v>40</v>
      </c>
    </row>
    <row r="131" spans="18:32" x14ac:dyDescent="0.25">
      <c r="R131" s="82" t="s">
        <v>129</v>
      </c>
      <c r="S131" s="172"/>
      <c r="T131" s="83">
        <f>1*$S$145</f>
        <v>8</v>
      </c>
      <c r="U131" s="80"/>
      <c r="V131" s="78"/>
      <c r="W131" s="38"/>
      <c r="X131" s="75"/>
      <c r="Z131" s="82" t="s">
        <v>129</v>
      </c>
      <c r="AB131" s="82">
        <f>T131*5</f>
        <v>40</v>
      </c>
    </row>
    <row r="132" spans="18:32" x14ac:dyDescent="0.25">
      <c r="R132" s="79" t="s">
        <v>130</v>
      </c>
      <c r="S132" s="173"/>
      <c r="T132" s="80"/>
      <c r="U132" s="80">
        <f>0.5*$S$145</f>
        <v>4</v>
      </c>
      <c r="V132" s="78"/>
      <c r="W132" s="38"/>
      <c r="X132" s="75"/>
      <c r="Z132" s="79" t="s">
        <v>130</v>
      </c>
      <c r="AC132" s="79">
        <f>U132*5</f>
        <v>20</v>
      </c>
    </row>
    <row r="133" spans="18:32" x14ac:dyDescent="0.25">
      <c r="R133" s="79" t="s">
        <v>131</v>
      </c>
      <c r="S133" s="173"/>
      <c r="T133" s="80"/>
      <c r="U133" s="80">
        <f>1*$S$145</f>
        <v>8</v>
      </c>
      <c r="V133" s="78"/>
      <c r="W133" s="38"/>
      <c r="X133" s="75"/>
      <c r="Z133" s="79" t="s">
        <v>131</v>
      </c>
      <c r="AC133" s="79">
        <f>U133*5</f>
        <v>40</v>
      </c>
    </row>
    <row r="134" spans="18:32" x14ac:dyDescent="0.25">
      <c r="R134" s="79" t="s">
        <v>132</v>
      </c>
      <c r="S134" s="173"/>
      <c r="T134" s="80"/>
      <c r="U134" s="80">
        <f>1*$S$145</f>
        <v>8</v>
      </c>
      <c r="V134" s="78"/>
      <c r="W134" s="38"/>
      <c r="X134" s="75"/>
      <c r="Z134" s="79" t="s">
        <v>132</v>
      </c>
      <c r="AC134" s="79">
        <f>U134*5</f>
        <v>40</v>
      </c>
    </row>
    <row r="135" spans="18:32" x14ac:dyDescent="0.25">
      <c r="R135" s="77" t="s">
        <v>135</v>
      </c>
      <c r="S135" s="174"/>
      <c r="T135" s="78"/>
      <c r="U135" s="78"/>
      <c r="V135" s="78">
        <f>0.7*$S$145</f>
        <v>5.6</v>
      </c>
      <c r="W135" s="38"/>
      <c r="X135" s="75"/>
      <c r="Z135" s="77" t="s">
        <v>135</v>
      </c>
      <c r="AD135" s="77">
        <f>V135*5</f>
        <v>28</v>
      </c>
    </row>
    <row r="136" spans="18:32" x14ac:dyDescent="0.25">
      <c r="R136" s="77" t="s">
        <v>136</v>
      </c>
      <c r="S136" s="174"/>
      <c r="T136" s="78"/>
      <c r="U136" s="78"/>
      <c r="V136" s="78">
        <f>1*$S$145</f>
        <v>8</v>
      </c>
      <c r="W136" s="38"/>
      <c r="X136" s="75"/>
      <c r="Z136" s="77" t="s">
        <v>136</v>
      </c>
      <c r="AD136" s="77">
        <f>V136*5</f>
        <v>40</v>
      </c>
    </row>
    <row r="137" spans="18:32" x14ac:dyDescent="0.25">
      <c r="R137" s="76" t="s">
        <v>133</v>
      </c>
      <c r="S137" s="175"/>
      <c r="T137" s="38"/>
      <c r="U137" s="38"/>
      <c r="V137" s="38"/>
      <c r="W137" s="38">
        <f>0.7*$S$145</f>
        <v>5.6</v>
      </c>
      <c r="X137" s="75"/>
      <c r="Z137" s="76" t="s">
        <v>133</v>
      </c>
      <c r="AE137" s="76">
        <f>W137*5</f>
        <v>28</v>
      </c>
    </row>
    <row r="138" spans="18:32" x14ac:dyDescent="0.25">
      <c r="R138" s="76" t="s">
        <v>134</v>
      </c>
      <c r="S138" s="175"/>
      <c r="T138" s="38"/>
      <c r="U138" s="38"/>
      <c r="V138" s="38"/>
      <c r="W138" s="38">
        <f>1*$S$145</f>
        <v>8</v>
      </c>
      <c r="X138" s="75"/>
      <c r="Z138" s="76" t="s">
        <v>134</v>
      </c>
      <c r="AE138" s="76">
        <f>W138*5</f>
        <v>40</v>
      </c>
    </row>
    <row r="139" spans="18:32" x14ac:dyDescent="0.25">
      <c r="R139" s="73" t="s">
        <v>137</v>
      </c>
      <c r="S139" s="176"/>
      <c r="T139" s="74"/>
      <c r="U139" s="74"/>
      <c r="V139" s="74"/>
      <c r="W139" s="74"/>
      <c r="X139" s="75">
        <f>0.5*$S$145</f>
        <v>4</v>
      </c>
      <c r="Z139" s="73" t="s">
        <v>137</v>
      </c>
      <c r="AF139" s="73">
        <f>X139*5</f>
        <v>20</v>
      </c>
    </row>
    <row r="140" spans="18:32" x14ac:dyDescent="0.25">
      <c r="R140" s="73" t="s">
        <v>138</v>
      </c>
      <c r="S140" s="176"/>
      <c r="T140" s="74"/>
      <c r="U140" s="74"/>
      <c r="V140" s="74"/>
      <c r="W140" s="74"/>
      <c r="X140" s="75">
        <f>1*$S$145</f>
        <v>8</v>
      </c>
      <c r="Z140" s="73" t="s">
        <v>138</v>
      </c>
      <c r="AF140" s="73">
        <f>X140*5</f>
        <v>40</v>
      </c>
    </row>
    <row r="141" spans="18:32" x14ac:dyDescent="0.25">
      <c r="R141" s="73" t="s">
        <v>139</v>
      </c>
      <c r="S141" s="176"/>
      <c r="T141" s="74"/>
      <c r="U141" s="74"/>
      <c r="V141" s="74"/>
      <c r="W141" s="74"/>
      <c r="X141" s="75">
        <f>1*$S$145</f>
        <v>8</v>
      </c>
      <c r="Z141" s="73" t="s">
        <v>139</v>
      </c>
      <c r="AF141" s="73">
        <f>X141*5</f>
        <v>40</v>
      </c>
    </row>
    <row r="143" spans="18:32" x14ac:dyDescent="0.25">
      <c r="R143"/>
      <c r="T143" s="61"/>
      <c r="U143" s="61"/>
      <c r="V143" s="61"/>
      <c r="W143" s="61"/>
      <c r="X143" s="62"/>
    </row>
    <row r="144" spans="18:32" ht="30" x14ac:dyDescent="0.25">
      <c r="R144" s="60" t="s">
        <v>140</v>
      </c>
      <c r="S144" s="177" t="s">
        <v>158</v>
      </c>
      <c r="T144" s="93" t="s">
        <v>159</v>
      </c>
      <c r="U144" s="61"/>
      <c r="V144" s="61"/>
      <c r="W144" s="61"/>
      <c r="X144" s="62"/>
    </row>
    <row r="145" spans="18:24" x14ac:dyDescent="0.25">
      <c r="R145" t="s">
        <v>141</v>
      </c>
      <c r="S145" s="163">
        <v>8</v>
      </c>
      <c r="T145" s="61">
        <f>S145*5</f>
        <v>40</v>
      </c>
      <c r="U145" s="61"/>
      <c r="V145" s="61"/>
      <c r="W145" s="61"/>
      <c r="X145" s="62"/>
    </row>
    <row r="146" spans="18:24" x14ac:dyDescent="0.25">
      <c r="R146" t="s">
        <v>142</v>
      </c>
      <c r="S146" s="163">
        <v>3</v>
      </c>
      <c r="T146" s="61">
        <f>S146*5</f>
        <v>15</v>
      </c>
      <c r="U146" s="61"/>
      <c r="V146" s="61"/>
      <c r="W146" s="61"/>
      <c r="X146" s="62"/>
    </row>
  </sheetData>
  <mergeCells count="1">
    <mergeCell ref="F2:G2"/>
  </mergeCells>
  <phoneticPr fontId="22" type="noConversion"/>
  <hyperlinks>
    <hyperlink ref="S89" r:id="rId1" display="https://cko-jira.megafon.ru/browse/LK-24967" xr:uid="{56AEC3AE-125A-4444-8F05-825570D00479}"/>
    <hyperlink ref="S93" r:id="rId2" display="https://cko-jira.megafon.ru/browse/LK-25917" xr:uid="{909071A5-D607-4BFE-9551-126125AF2075}"/>
    <hyperlink ref="S97" r:id="rId3" display="https://cko-jira.megafon.ru/browse/LK-25911" xr:uid="{76905ECC-F020-472A-A109-9114E65CD6B0}"/>
    <hyperlink ref="S45" r:id="rId4" display="https://jira.megafon.ru/browse/B2CPROD-91" xr:uid="{92455DF3-D482-487B-95C3-5C0E827A3205}"/>
    <hyperlink ref="S46" r:id="rId5" display="https://jira.megafon.ru/browse/B2CPROD-97" xr:uid="{FCE4DD41-C821-4D46-8A84-16CEF40A81D9}"/>
    <hyperlink ref="S59" r:id="rId6" display="https://jira.megafon.ru/browse/B2CPROD-285" xr:uid="{22E98AAF-432E-403F-8D0C-60F94C4BEC99}"/>
    <hyperlink ref="S75" r:id="rId7" display="https://jira.megafon.ru/browse/B2CPROD-287" xr:uid="{548627AC-09A6-4EEF-BE09-28B92B79577D}"/>
    <hyperlink ref="S82" r:id="rId8" display="https://jira.megafon.ru/browse/CKO-54695" xr:uid="{4BE6499E-00FB-437F-983D-7EBAB727C9D2}"/>
    <hyperlink ref="S58" r:id="rId9" display="https://jira.megafon.ru/browse/B2CPROD-276" xr:uid="{ADEDD484-D357-462B-9BD8-881CE0EB44BA}"/>
    <hyperlink ref="S67" r:id="rId10" display="https://jira.megafon.ru/browse/B2CPROD-276" xr:uid="{05FBC5C7-4D60-4932-829C-A252BA99F93E}"/>
    <hyperlink ref="S74" r:id="rId11" display="https://jira.megafon.ru/browse/B2CPROD-276" xr:uid="{D32A0C4E-5B71-4576-AD44-3EECA73ED589}"/>
    <hyperlink ref="S80" r:id="rId12" display="https://jira.megafon.ru/browse/B2CPROD-276" xr:uid="{E2457B32-4716-4C66-A327-2DC5D69CFE93}"/>
    <hyperlink ref="S22" r:id="rId13" xr:uid="{524155DD-A84D-45A7-96F7-9534FFAB44EB}"/>
    <hyperlink ref="S51" r:id="rId14" display="https://jira.megafon.ru/browse/B2CPROD-494" xr:uid="{EC1B29FF-BB13-430F-BC70-E4C2A15547FA}"/>
    <hyperlink ref="S68" r:id="rId15" display="https://jira.megafon.ru/browse/B2CPROD-789" xr:uid="{73BFB378-4BF8-4AFB-A510-F7D4F053D237}"/>
    <hyperlink ref="S81" r:id="rId16" display="https://jira.megafon.ru/browse/B2CPROD-301" xr:uid="{BC34FECB-98B4-4915-AB81-60662DBEF107}"/>
    <hyperlink ref="S21" r:id="rId17" xr:uid="{8CB63E92-435C-420F-828C-99BB1F6E7242}"/>
    <hyperlink ref="S33" r:id="rId18" xr:uid="{D0299405-1E57-4EBA-BA9D-C8E785DDD58D}"/>
    <hyperlink ref="S39" r:id="rId19" xr:uid="{E2782428-244F-4509-8565-E00DD3ED8987}"/>
    <hyperlink ref="S28" r:id="rId20" xr:uid="{1D503D3F-6601-4A36-AD98-CAE8D0484FA8}"/>
    <hyperlink ref="S34" r:id="rId21" xr:uid="{E763E472-05D7-4D34-929F-0B13CDFDA8D0}"/>
    <hyperlink ref="S40" r:id="rId22" xr:uid="{BDB8A6DD-159F-4740-B8FA-B98129FB5752}"/>
    <hyperlink ref="S52" r:id="rId23" xr:uid="{33C5FB6A-C90F-42E5-976A-F64DA26C0A74}"/>
    <hyperlink ref="S6" r:id="rId24" display="https://jira.megafon.ru/browse/B2CPROD-111" xr:uid="{EF2CE6D8-17CF-4E3C-ACBC-917B83757AF3}"/>
    <hyperlink ref="S7" r:id="rId25" display="https://jira.megafon.ru/browse/B2CPROD-114" xr:uid="{B0815ACB-F3D7-49E4-95F8-2D014273F1B4}"/>
    <hyperlink ref="S15" r:id="rId26" xr:uid="{A9E819C7-F376-4B05-B495-E49E317937F1}"/>
    <hyperlink ref="B39" r:id="rId27" xr:uid="{C8F9D522-ECEF-4FF4-9EB8-8D46A36656CD}"/>
    <hyperlink ref="B40" r:id="rId28" display="https://jira.megafon.ru/browse/B2CPROD-114" xr:uid="{B31C602B-F768-4C0A-9C2C-BCBE3BC6BAC6}"/>
    <hyperlink ref="B44" r:id="rId29" display="https://jira.megafon.ru/browse/B2CPROD-287" xr:uid="{587146BB-2BC4-47C8-B75B-698A34D5EF91}"/>
    <hyperlink ref="B45" r:id="rId30" display="https://jira.megafon.ru/browse/B2CPROD-301" xr:uid="{B91CC365-F1D1-421E-918B-7D9BE8C07C68}"/>
    <hyperlink ref="B47" r:id="rId31" xr:uid="{79F5131B-7635-47F7-B2DA-C696C289A18F}"/>
    <hyperlink ref="B43" r:id="rId32" display="https://jira.megafon.ru/browse/B2CPROD-789" xr:uid="{38AC3614-62EF-4C90-ABC9-E392BB4C695F}"/>
    <hyperlink ref="B42" r:id="rId33" display="https://jira.megafon.ru/browse/B2CPROD-285" xr:uid="{54055765-12A6-4A51-B6D5-44934A45740D}"/>
    <hyperlink ref="B48" r:id="rId34" xr:uid="{092187D9-B074-4EE3-8E46-FC432210E72C}"/>
    <hyperlink ref="B49" r:id="rId35" xr:uid="{ABB97676-5AC4-41F8-B55D-B99EA58DE945}"/>
    <hyperlink ref="B50" r:id="rId36" xr:uid="{88475FB6-5280-4CC7-AEAC-12C1C5953CD3}"/>
    <hyperlink ref="B51" r:id="rId37" display="https://jira.megafon.ru/browse/B2CPROD-97" xr:uid="{755E4697-14A7-49A0-AB73-44FBDACAF076}"/>
    <hyperlink ref="B53" r:id="rId38" xr:uid="{278E8C83-BBE5-4C18-AAFF-0CFC7A3A4DF2}"/>
    <hyperlink ref="C28" r:id="rId39" xr:uid="{244886BF-B5C3-4122-9759-C48997AB0752}"/>
    <hyperlink ref="C29" r:id="rId40" xr:uid="{38A30756-36E5-4ADE-9702-B1133ADED39D}"/>
    <hyperlink ref="C31" r:id="rId41" xr:uid="{A425580F-4DCC-470F-9B51-87D2B4E4A487}"/>
    <hyperlink ref="C26" r:id="rId42" xr:uid="{350F96D0-F7D6-4EB6-B657-FBF56FDFADEC}"/>
    <hyperlink ref="C25" r:id="rId43" xr:uid="{BBEF0F8B-D9DD-4678-B1B4-7C014018186A}"/>
    <hyperlink ref="C27" r:id="rId44" xr:uid="{B563110E-8CFA-4492-B8AD-BADAED5ADE44}"/>
    <hyperlink ref="C30" r:id="rId45" xr:uid="{6E2629D8-8FB7-4BC1-A742-B0C4EA44FBA1}"/>
    <hyperlink ref="S53" r:id="rId46" xr:uid="{05008930-4AD1-45D2-BBDF-944CFBDE0E57}"/>
    <hyperlink ref="S47" r:id="rId47" xr:uid="{93F13266-21B1-4178-8BBC-CA80756047FB}"/>
    <hyperlink ref="S29" r:id="rId48" xr:uid="{8A172DA9-0E51-44D3-983F-A9C33070285F}"/>
    <hyperlink ref="B55" r:id="rId49" xr:uid="{9FE14BE1-B6A8-4538-A352-D2E2A1CAA284}"/>
    <hyperlink ref="B56" r:id="rId50" xr:uid="{7F707C6C-F7F1-465D-8C9C-918186756F11}"/>
    <hyperlink ref="B62" r:id="rId51" xr:uid="{88F6609C-D506-4C50-A402-4C50DB4E209D}"/>
    <hyperlink ref="B63" r:id="rId52" xr:uid="{16BF04DA-A2BA-4818-82DB-4DDF3E8E0BB7}"/>
    <hyperlink ref="B65" r:id="rId53" xr:uid="{F8532216-3848-46FC-9AB6-17D5B0ABD35D}"/>
    <hyperlink ref="B60" r:id="rId54" xr:uid="{9872DE56-CE18-45BC-9D65-4F094F2E0F94}"/>
    <hyperlink ref="B59" r:id="rId55" xr:uid="{D076BBD9-A0C7-4CE6-B3BE-01460900E6A9}"/>
    <hyperlink ref="B61" r:id="rId56" xr:uid="{1EDD3E1F-264C-4609-A3EF-A216D4C35A29}"/>
    <hyperlink ref="B64" r:id="rId57" xr:uid="{919E7779-F8B1-4202-BCE5-9585E8F0A224}"/>
  </hyperlinks>
  <pageMargins left="0.7" right="0.7" top="0.75" bottom="0.75" header="0.3" footer="0.3"/>
  <pageSetup paperSize="9" orientation="portrait" r:id="rId58"/>
  <legacyDrawing r:id="rId5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B4FE-B83D-42DA-AE4D-24F46BC86255}">
  <dimension ref="A1:O81"/>
  <sheetViews>
    <sheetView topLeftCell="A40" workbookViewId="0">
      <selection activeCell="F8" sqref="F8"/>
    </sheetView>
  </sheetViews>
  <sheetFormatPr defaultRowHeight="15" x14ac:dyDescent="0.25"/>
  <cols>
    <col min="1" max="1" width="9.85546875" customWidth="1"/>
    <col min="2" max="2" width="31.28515625" customWidth="1"/>
  </cols>
  <sheetData>
    <row r="1" spans="1:15" ht="23.25" x14ac:dyDescent="0.35">
      <c r="A1" s="190" t="s">
        <v>213</v>
      </c>
      <c r="B1" s="162"/>
      <c r="C1" s="183"/>
      <c r="D1" s="244" t="s">
        <v>145</v>
      </c>
      <c r="E1" s="245"/>
      <c r="F1" s="246"/>
      <c r="G1" s="247" t="s">
        <v>151</v>
      </c>
      <c r="H1" s="248"/>
      <c r="I1" s="248"/>
      <c r="J1" s="249"/>
      <c r="K1" s="253" t="s">
        <v>152</v>
      </c>
      <c r="L1" s="233"/>
      <c r="M1" s="234"/>
      <c r="N1" s="234"/>
      <c r="O1" s="235"/>
    </row>
    <row r="2" spans="1:15" x14ac:dyDescent="0.25">
      <c r="A2" s="184"/>
      <c r="B2" s="163"/>
      <c r="C2" s="254" t="s">
        <v>241</v>
      </c>
      <c r="D2" s="223">
        <v>5</v>
      </c>
      <c r="E2" s="224">
        <v>5</v>
      </c>
      <c r="F2" s="225">
        <v>5</v>
      </c>
      <c r="G2" s="200">
        <v>5</v>
      </c>
      <c r="H2" s="191">
        <v>5</v>
      </c>
      <c r="I2" s="191">
        <v>5</v>
      </c>
      <c r="J2" s="201">
        <v>4</v>
      </c>
      <c r="K2" s="237">
        <v>5</v>
      </c>
      <c r="L2" s="236">
        <v>4</v>
      </c>
      <c r="M2" s="237">
        <v>5</v>
      </c>
      <c r="N2" s="237">
        <v>5</v>
      </c>
      <c r="O2" s="238">
        <v>5</v>
      </c>
    </row>
    <row r="3" spans="1:15" x14ac:dyDescent="0.25">
      <c r="A3" s="184"/>
      <c r="B3" s="163"/>
      <c r="C3" s="60" t="s">
        <v>242</v>
      </c>
      <c r="D3" s="226" t="s">
        <v>148</v>
      </c>
      <c r="E3" s="227" t="s">
        <v>149</v>
      </c>
      <c r="F3" s="228" t="s">
        <v>150</v>
      </c>
      <c r="G3" s="202" t="s">
        <v>153</v>
      </c>
      <c r="H3" s="192" t="s">
        <v>154</v>
      </c>
      <c r="I3" s="192" t="s">
        <v>155</v>
      </c>
      <c r="J3" s="203" t="s">
        <v>156</v>
      </c>
      <c r="K3" s="239" t="s">
        <v>153</v>
      </c>
      <c r="L3" s="239" t="s">
        <v>154</v>
      </c>
      <c r="M3" s="239" t="s">
        <v>155</v>
      </c>
      <c r="N3" s="239" t="s">
        <v>156</v>
      </c>
      <c r="O3" s="240" t="s">
        <v>157</v>
      </c>
    </row>
    <row r="4" spans="1:15" x14ac:dyDescent="0.25">
      <c r="A4" s="185"/>
      <c r="B4" s="164" t="s">
        <v>160</v>
      </c>
      <c r="C4" s="72"/>
      <c r="D4" s="204"/>
      <c r="E4" s="193"/>
      <c r="F4" s="205"/>
      <c r="G4" s="204"/>
      <c r="H4" s="193"/>
      <c r="I4" s="193"/>
      <c r="J4" s="205"/>
      <c r="K4" s="193"/>
      <c r="L4" s="193"/>
      <c r="M4" s="193"/>
      <c r="N4" s="193"/>
      <c r="O4" s="205"/>
    </row>
    <row r="5" spans="1:15" ht="45" x14ac:dyDescent="0.25">
      <c r="A5" s="184"/>
      <c r="B5" s="120" t="s">
        <v>212</v>
      </c>
      <c r="C5" s="60" t="s">
        <v>144</v>
      </c>
      <c r="D5" s="206"/>
      <c r="E5" s="160"/>
      <c r="F5" s="207"/>
      <c r="G5" s="206"/>
      <c r="H5" s="160"/>
      <c r="I5" s="160"/>
      <c r="J5" s="207"/>
      <c r="K5" s="160"/>
      <c r="L5" s="160"/>
      <c r="M5" s="160"/>
      <c r="N5" s="160"/>
      <c r="O5" s="207"/>
    </row>
    <row r="6" spans="1:15" ht="24.75" x14ac:dyDescent="0.25">
      <c r="A6" s="186" t="s">
        <v>169</v>
      </c>
      <c r="B6" s="165"/>
      <c r="C6" s="187" t="s">
        <v>125</v>
      </c>
      <c r="D6" s="206"/>
      <c r="E6" s="160"/>
      <c r="F6" s="207"/>
      <c r="G6" s="206"/>
      <c r="H6" s="194">
        <v>1</v>
      </c>
      <c r="I6" s="194">
        <v>2</v>
      </c>
      <c r="J6" s="207"/>
      <c r="K6" s="160"/>
      <c r="L6" s="160"/>
      <c r="M6" s="160"/>
      <c r="N6" s="160"/>
      <c r="O6" s="207"/>
    </row>
    <row r="7" spans="1:15" ht="30" x14ac:dyDescent="0.25">
      <c r="A7" s="186" t="s">
        <v>170</v>
      </c>
      <c r="B7" s="165" t="s">
        <v>220</v>
      </c>
      <c r="C7" s="187" t="s">
        <v>121</v>
      </c>
      <c r="D7" s="218"/>
      <c r="E7" s="195">
        <v>1</v>
      </c>
      <c r="F7" s="219">
        <v>1</v>
      </c>
      <c r="G7" s="208">
        <v>1</v>
      </c>
      <c r="H7" s="195">
        <v>1</v>
      </c>
      <c r="I7" s="195">
        <v>1</v>
      </c>
      <c r="J7" s="219">
        <v>1</v>
      </c>
      <c r="K7" s="195">
        <v>1</v>
      </c>
      <c r="L7" s="160"/>
      <c r="M7" s="160"/>
      <c r="N7" s="160"/>
      <c r="O7" s="207"/>
    </row>
    <row r="8" spans="1:15" x14ac:dyDescent="0.25">
      <c r="A8" s="184"/>
      <c r="B8" s="166"/>
      <c r="D8" s="251"/>
      <c r="E8" s="148"/>
      <c r="F8" s="252"/>
      <c r="G8" s="251"/>
      <c r="H8" s="148"/>
      <c r="I8" s="148"/>
      <c r="J8" s="209"/>
      <c r="K8" s="160"/>
      <c r="L8" s="160"/>
      <c r="M8" s="160"/>
      <c r="N8" s="160"/>
      <c r="O8" s="207"/>
    </row>
    <row r="9" spans="1:15" ht="45" x14ac:dyDescent="0.25">
      <c r="A9" s="184"/>
      <c r="B9" s="120" t="s">
        <v>203</v>
      </c>
      <c r="C9" s="60" t="s">
        <v>144</v>
      </c>
      <c r="D9" s="206"/>
      <c r="E9" s="160"/>
      <c r="F9" s="207"/>
      <c r="G9" s="206"/>
      <c r="H9" s="160"/>
      <c r="I9" s="160"/>
      <c r="J9" s="207"/>
      <c r="K9" s="160"/>
      <c r="L9" s="160"/>
      <c r="M9" s="160"/>
      <c r="N9" s="160"/>
      <c r="O9" s="207"/>
    </row>
    <row r="10" spans="1:15" ht="24.75" x14ac:dyDescent="0.25">
      <c r="A10" s="186" t="s">
        <v>169</v>
      </c>
      <c r="B10" s="165" t="s">
        <v>176</v>
      </c>
      <c r="C10" s="61" t="s">
        <v>125</v>
      </c>
      <c r="D10" s="212">
        <v>0.5</v>
      </c>
      <c r="E10" s="194">
        <v>0.5</v>
      </c>
      <c r="F10" s="207"/>
      <c r="G10" s="206"/>
      <c r="H10" s="160"/>
      <c r="I10" s="160"/>
      <c r="J10" s="207"/>
      <c r="K10" s="160"/>
      <c r="L10" s="160"/>
      <c r="M10" s="160"/>
      <c r="N10" s="160"/>
      <c r="O10" s="207"/>
    </row>
    <row r="11" spans="1:15" ht="24.75" x14ac:dyDescent="0.25">
      <c r="A11" s="186" t="s">
        <v>170</v>
      </c>
      <c r="B11" s="165" t="s">
        <v>202</v>
      </c>
      <c r="C11" s="187" t="s">
        <v>121</v>
      </c>
      <c r="D11" s="208">
        <v>2</v>
      </c>
      <c r="E11" s="160"/>
      <c r="F11" s="207"/>
      <c r="G11" s="206"/>
      <c r="H11" s="160"/>
      <c r="I11" s="160"/>
      <c r="J11" s="207"/>
      <c r="K11" s="160"/>
      <c r="L11" s="160"/>
      <c r="M11" s="160"/>
      <c r="N11" s="160"/>
      <c r="O11" s="207"/>
    </row>
    <row r="12" spans="1:15" x14ac:dyDescent="0.25">
      <c r="A12" s="184"/>
      <c r="B12" s="163"/>
      <c r="C12" s="187" t="s">
        <v>123</v>
      </c>
      <c r="D12" s="210">
        <v>2</v>
      </c>
      <c r="E12" s="160"/>
      <c r="F12" s="207"/>
      <c r="G12" s="206"/>
      <c r="H12" s="160"/>
      <c r="I12" s="160"/>
      <c r="J12" s="207"/>
      <c r="K12" s="160"/>
      <c r="L12" s="160"/>
      <c r="M12" s="160"/>
      <c r="N12" s="160"/>
      <c r="O12" s="207"/>
    </row>
    <row r="13" spans="1:15" x14ac:dyDescent="0.25">
      <c r="A13" s="184"/>
      <c r="B13" s="163"/>
      <c r="C13" s="187" t="s">
        <v>122</v>
      </c>
      <c r="D13" s="206"/>
      <c r="E13" s="229">
        <v>2</v>
      </c>
      <c r="F13" s="207"/>
      <c r="G13" s="206"/>
      <c r="H13" s="160"/>
      <c r="I13" s="160"/>
      <c r="J13" s="207"/>
      <c r="K13" s="160"/>
      <c r="L13" s="160"/>
      <c r="M13" s="160"/>
      <c r="N13" s="160"/>
      <c r="O13" s="207"/>
    </row>
    <row r="14" spans="1:15" x14ac:dyDescent="0.25">
      <c r="A14" s="184"/>
      <c r="B14" s="163"/>
      <c r="C14" s="187" t="s">
        <v>124</v>
      </c>
      <c r="D14" s="206"/>
      <c r="E14" s="230">
        <v>4</v>
      </c>
      <c r="F14" s="207"/>
      <c r="G14" s="206"/>
      <c r="H14" s="160"/>
      <c r="I14" s="160"/>
      <c r="J14" s="207"/>
      <c r="K14" s="160"/>
      <c r="L14" s="160"/>
      <c r="M14" s="160"/>
      <c r="N14" s="160"/>
      <c r="O14" s="207"/>
    </row>
    <row r="15" spans="1:15" x14ac:dyDescent="0.25">
      <c r="A15" s="184"/>
      <c r="B15" s="163"/>
      <c r="D15" s="251"/>
      <c r="E15" s="148"/>
      <c r="F15" s="207"/>
      <c r="G15" s="206"/>
      <c r="H15" s="160"/>
      <c r="I15" s="160"/>
      <c r="J15" s="207"/>
      <c r="K15" s="160"/>
      <c r="L15" s="160"/>
      <c r="M15" s="160"/>
      <c r="N15" s="160"/>
      <c r="O15" s="207"/>
    </row>
    <row r="16" spans="1:15" x14ac:dyDescent="0.25">
      <c r="A16" s="188"/>
      <c r="B16" s="167" t="s">
        <v>211</v>
      </c>
      <c r="C16" s="38"/>
      <c r="D16" s="210"/>
      <c r="E16" s="196"/>
      <c r="F16" s="211"/>
      <c r="G16" s="210"/>
      <c r="H16" s="196"/>
      <c r="I16" s="196"/>
      <c r="J16" s="211"/>
      <c r="K16" s="196"/>
      <c r="L16" s="196"/>
      <c r="M16" s="196"/>
      <c r="N16" s="196"/>
      <c r="O16" s="211"/>
    </row>
    <row r="17" spans="1:15" ht="45" x14ac:dyDescent="0.25">
      <c r="A17" s="184"/>
      <c r="B17" s="90" t="s">
        <v>73</v>
      </c>
      <c r="C17" s="60" t="s">
        <v>144</v>
      </c>
      <c r="D17" s="206"/>
      <c r="E17" s="160"/>
      <c r="F17" s="207"/>
      <c r="G17" s="206"/>
      <c r="H17" s="160"/>
      <c r="I17" s="160"/>
      <c r="J17" s="207"/>
      <c r="K17" s="160"/>
      <c r="L17" s="160"/>
      <c r="M17" s="160"/>
      <c r="N17" s="160"/>
      <c r="O17" s="207"/>
    </row>
    <row r="18" spans="1:15" ht="30" x14ac:dyDescent="0.25">
      <c r="A18" s="186" t="s">
        <v>169</v>
      </c>
      <c r="B18" s="165" t="s">
        <v>204</v>
      </c>
      <c r="C18" s="61" t="s">
        <v>125</v>
      </c>
      <c r="D18" s="212">
        <v>3</v>
      </c>
      <c r="E18" s="194">
        <v>3</v>
      </c>
      <c r="F18" s="215">
        <v>2</v>
      </c>
      <c r="G18" s="212">
        <v>1</v>
      </c>
      <c r="H18" s="160"/>
      <c r="I18" s="160"/>
      <c r="J18" s="207"/>
      <c r="K18" s="160"/>
      <c r="L18" s="160"/>
      <c r="M18" s="160"/>
      <c r="N18" s="160"/>
      <c r="O18" s="207"/>
    </row>
    <row r="19" spans="1:15" ht="30" x14ac:dyDescent="0.25">
      <c r="A19" s="186" t="s">
        <v>170</v>
      </c>
      <c r="B19" s="165" t="s">
        <v>205</v>
      </c>
      <c r="C19" s="61" t="s">
        <v>185</v>
      </c>
      <c r="D19" s="206"/>
      <c r="E19" s="160"/>
      <c r="F19" s="207"/>
      <c r="G19" s="206"/>
      <c r="H19" s="160"/>
      <c r="I19" s="160"/>
      <c r="J19" s="207"/>
      <c r="K19" s="160"/>
      <c r="L19" s="160"/>
      <c r="M19" s="160"/>
      <c r="N19" s="160"/>
      <c r="O19" s="207"/>
    </row>
    <row r="20" spans="1:15" x14ac:dyDescent="0.25">
      <c r="A20" s="184" t="s">
        <v>146</v>
      </c>
      <c r="B20" s="165"/>
      <c r="C20" s="187" t="s">
        <v>121</v>
      </c>
      <c r="D20" s="213">
        <v>2</v>
      </c>
      <c r="E20" s="198">
        <v>2</v>
      </c>
      <c r="F20" s="214">
        <v>2</v>
      </c>
      <c r="G20" s="213">
        <v>2</v>
      </c>
      <c r="H20" s="160"/>
      <c r="I20" s="160"/>
      <c r="J20" s="207"/>
      <c r="K20" s="160"/>
      <c r="L20" s="160"/>
      <c r="M20" s="160"/>
      <c r="N20" s="160"/>
      <c r="O20" s="207"/>
    </row>
    <row r="21" spans="1:15" x14ac:dyDescent="0.25">
      <c r="A21" s="184" t="s">
        <v>147</v>
      </c>
      <c r="B21" s="166"/>
      <c r="D21" s="251"/>
      <c r="E21" s="148"/>
      <c r="F21" s="252"/>
      <c r="G21" s="251"/>
      <c r="H21" s="197"/>
      <c r="I21" s="197"/>
      <c r="J21" s="209"/>
      <c r="K21" s="160"/>
      <c r="L21" s="160"/>
      <c r="M21" s="160"/>
      <c r="N21" s="160"/>
      <c r="O21" s="207"/>
    </row>
    <row r="22" spans="1:15" ht="60" x14ac:dyDescent="0.25">
      <c r="A22" s="184"/>
      <c r="B22" s="90" t="s">
        <v>77</v>
      </c>
      <c r="C22" s="60" t="s">
        <v>144</v>
      </c>
      <c r="D22" s="206"/>
      <c r="E22" s="160"/>
      <c r="F22" s="207"/>
      <c r="G22" s="206"/>
      <c r="H22" s="160"/>
      <c r="I22" s="160"/>
      <c r="J22" s="207"/>
      <c r="K22" s="160"/>
      <c r="L22" s="160"/>
      <c r="M22" s="160"/>
      <c r="N22" s="160"/>
      <c r="O22" s="207"/>
    </row>
    <row r="23" spans="1:15" ht="30" x14ac:dyDescent="0.25">
      <c r="A23" s="186" t="s">
        <v>169</v>
      </c>
      <c r="B23" s="165" t="s">
        <v>204</v>
      </c>
      <c r="C23" s="61" t="s">
        <v>125</v>
      </c>
      <c r="D23" s="206"/>
      <c r="E23" s="160"/>
      <c r="F23" s="207"/>
      <c r="G23" s="206"/>
      <c r="H23" s="194">
        <v>2</v>
      </c>
      <c r="I23" s="194">
        <v>1</v>
      </c>
      <c r="J23" s="207"/>
      <c r="K23" s="160"/>
      <c r="L23" s="160"/>
      <c r="M23" s="160"/>
      <c r="N23" s="160"/>
      <c r="O23" s="207"/>
    </row>
    <row r="24" spans="1:15" ht="30" x14ac:dyDescent="0.25">
      <c r="A24" s="186" t="s">
        <v>170</v>
      </c>
      <c r="B24" s="168" t="s">
        <v>206</v>
      </c>
      <c r="C24" s="187" t="s">
        <v>121</v>
      </c>
      <c r="D24" s="206"/>
      <c r="E24" s="160"/>
      <c r="F24" s="214">
        <v>1</v>
      </c>
      <c r="G24" s="213">
        <v>2</v>
      </c>
      <c r="H24" s="198">
        <v>2</v>
      </c>
      <c r="I24" s="198">
        <v>2</v>
      </c>
      <c r="J24" s="207"/>
      <c r="K24" s="160"/>
      <c r="L24" s="160"/>
      <c r="M24" s="160"/>
      <c r="N24" s="160"/>
      <c r="O24" s="207"/>
    </row>
    <row r="25" spans="1:15" x14ac:dyDescent="0.25">
      <c r="A25" s="184" t="s">
        <v>146</v>
      </c>
      <c r="B25" s="165"/>
      <c r="D25" s="251"/>
      <c r="E25" s="148"/>
      <c r="F25" s="252"/>
      <c r="G25" s="251"/>
      <c r="H25" s="148"/>
      <c r="I25" s="148"/>
      <c r="J25" s="207"/>
      <c r="K25" s="160"/>
      <c r="L25" s="160"/>
      <c r="M25" s="160"/>
      <c r="N25" s="160"/>
      <c r="O25" s="207"/>
    </row>
    <row r="26" spans="1:15" x14ac:dyDescent="0.25">
      <c r="A26" s="184" t="s">
        <v>147</v>
      </c>
      <c r="B26" s="166"/>
      <c r="C26" s="187"/>
      <c r="D26" s="206"/>
      <c r="E26" s="160"/>
      <c r="F26" s="207"/>
      <c r="G26" s="206"/>
      <c r="H26" s="160"/>
      <c r="I26" s="160"/>
      <c r="J26" s="207"/>
      <c r="K26" s="160"/>
      <c r="L26" s="160"/>
      <c r="M26" s="160"/>
      <c r="N26" s="160"/>
      <c r="O26" s="207"/>
    </row>
    <row r="27" spans="1:15" x14ac:dyDescent="0.25">
      <c r="A27" s="184"/>
      <c r="B27" s="163"/>
      <c r="C27" s="61"/>
      <c r="D27" s="206"/>
      <c r="E27" s="160"/>
      <c r="F27" s="207"/>
      <c r="G27" s="206"/>
      <c r="H27" s="160"/>
      <c r="I27" s="160"/>
      <c r="J27" s="207"/>
      <c r="K27" s="160"/>
      <c r="L27" s="160"/>
      <c r="M27" s="160"/>
      <c r="N27" s="160"/>
      <c r="O27" s="207"/>
    </row>
    <row r="28" spans="1:15" ht="30" x14ac:dyDescent="0.25">
      <c r="A28" s="184"/>
      <c r="B28" s="90" t="s">
        <v>80</v>
      </c>
      <c r="C28" s="60" t="s">
        <v>144</v>
      </c>
      <c r="D28" s="206"/>
      <c r="E28" s="160"/>
      <c r="F28" s="207"/>
      <c r="G28" s="206"/>
      <c r="H28" s="160"/>
      <c r="I28" s="160"/>
      <c r="J28" s="207"/>
      <c r="K28" s="160"/>
      <c r="L28" s="160"/>
      <c r="M28" s="160"/>
      <c r="N28" s="160"/>
      <c r="O28" s="207"/>
    </row>
    <row r="29" spans="1:15" ht="30" x14ac:dyDescent="0.25">
      <c r="A29" s="186" t="s">
        <v>169</v>
      </c>
      <c r="B29" s="165" t="s">
        <v>204</v>
      </c>
      <c r="C29" s="61" t="s">
        <v>125</v>
      </c>
      <c r="D29" s="212">
        <v>1</v>
      </c>
      <c r="E29" s="194">
        <v>1</v>
      </c>
      <c r="F29" s="207"/>
      <c r="G29" s="206"/>
      <c r="H29" s="160"/>
      <c r="I29" s="160"/>
      <c r="J29" s="207"/>
      <c r="K29" s="160"/>
      <c r="L29" s="160"/>
      <c r="M29" s="160"/>
      <c r="N29" s="160"/>
      <c r="O29" s="207"/>
    </row>
    <row r="30" spans="1:15" ht="30" x14ac:dyDescent="0.25">
      <c r="A30" s="186" t="s">
        <v>170</v>
      </c>
      <c r="B30" s="168" t="s">
        <v>207</v>
      </c>
      <c r="C30" s="187" t="s">
        <v>121</v>
      </c>
      <c r="D30" s="206"/>
      <c r="E30" s="160"/>
      <c r="F30" s="207"/>
      <c r="G30" s="206"/>
      <c r="H30" s="198">
        <v>1</v>
      </c>
      <c r="I30" s="198">
        <v>2</v>
      </c>
      <c r="J30" s="214">
        <v>2</v>
      </c>
      <c r="K30" s="198">
        <v>2</v>
      </c>
      <c r="L30" s="160"/>
      <c r="M30" s="160"/>
      <c r="N30" s="160"/>
      <c r="O30" s="207"/>
    </row>
    <row r="31" spans="1:15" x14ac:dyDescent="0.25">
      <c r="A31" s="184" t="s">
        <v>146</v>
      </c>
      <c r="B31" s="165"/>
      <c r="D31" s="251"/>
      <c r="E31" s="148"/>
      <c r="F31" s="252"/>
      <c r="G31" s="251"/>
      <c r="H31" s="148"/>
      <c r="I31" s="148"/>
      <c r="J31" s="252"/>
      <c r="L31" s="160"/>
      <c r="M31" s="160"/>
      <c r="N31" s="160"/>
      <c r="O31" s="207"/>
    </row>
    <row r="32" spans="1:15" x14ac:dyDescent="0.25">
      <c r="A32" s="184" t="s">
        <v>147</v>
      </c>
      <c r="B32" s="166"/>
      <c r="C32" s="187"/>
      <c r="D32" s="206"/>
      <c r="E32" s="160"/>
      <c r="F32" s="207"/>
      <c r="G32" s="206"/>
      <c r="H32" s="160"/>
      <c r="I32" s="160"/>
      <c r="J32" s="207"/>
      <c r="K32" s="160"/>
      <c r="L32" s="160"/>
      <c r="M32" s="160"/>
      <c r="N32" s="160"/>
      <c r="O32" s="207"/>
    </row>
    <row r="33" spans="1:15" x14ac:dyDescent="0.25">
      <c r="A33" s="184"/>
      <c r="B33" s="163"/>
      <c r="C33" s="187"/>
      <c r="D33" s="206"/>
      <c r="E33" s="160"/>
      <c r="F33" s="207"/>
      <c r="G33" s="206"/>
      <c r="H33" s="160"/>
      <c r="I33" s="160"/>
      <c r="J33" s="207"/>
      <c r="K33" s="160"/>
      <c r="L33" s="160"/>
      <c r="M33" s="160"/>
      <c r="N33" s="160"/>
      <c r="O33" s="207"/>
    </row>
    <row r="34" spans="1:15" ht="30" x14ac:dyDescent="0.25">
      <c r="A34" s="184"/>
      <c r="B34" s="90" t="s">
        <v>83</v>
      </c>
      <c r="C34" s="60" t="s">
        <v>144</v>
      </c>
      <c r="D34" s="206"/>
      <c r="E34" s="160"/>
      <c r="F34" s="207"/>
      <c r="G34" s="206"/>
      <c r="H34" s="160"/>
      <c r="I34" s="160"/>
      <c r="J34" s="207"/>
      <c r="K34" s="160"/>
      <c r="L34" s="160"/>
      <c r="M34" s="160"/>
      <c r="N34" s="160"/>
      <c r="O34" s="207"/>
    </row>
    <row r="35" spans="1:15" ht="30" x14ac:dyDescent="0.25">
      <c r="A35" s="186" t="s">
        <v>169</v>
      </c>
      <c r="B35" s="165" t="s">
        <v>204</v>
      </c>
      <c r="C35" s="61" t="s">
        <v>125</v>
      </c>
      <c r="D35" s="206"/>
      <c r="E35" s="160"/>
      <c r="F35" s="215">
        <v>2</v>
      </c>
      <c r="G35" s="212">
        <v>2</v>
      </c>
      <c r="H35" s="160"/>
      <c r="I35" s="160"/>
      <c r="J35" s="207"/>
      <c r="K35" s="160"/>
      <c r="L35" s="160"/>
      <c r="M35" s="160"/>
      <c r="N35" s="160"/>
      <c r="O35" s="207"/>
    </row>
    <row r="36" spans="1:15" ht="30" x14ac:dyDescent="0.25">
      <c r="A36" s="186" t="s">
        <v>170</v>
      </c>
      <c r="B36" s="168" t="s">
        <v>208</v>
      </c>
      <c r="C36" s="187" t="s">
        <v>121</v>
      </c>
      <c r="D36" s="206"/>
      <c r="E36" s="198">
        <v>2</v>
      </c>
      <c r="F36" s="214">
        <v>2</v>
      </c>
      <c r="G36" s="206"/>
      <c r="H36" s="160"/>
      <c r="I36" s="160"/>
      <c r="J36" s="207"/>
      <c r="K36" s="160"/>
      <c r="L36" s="160"/>
      <c r="M36" s="160"/>
      <c r="N36" s="160"/>
      <c r="O36" s="207"/>
    </row>
    <row r="37" spans="1:15" x14ac:dyDescent="0.25">
      <c r="A37" s="184" t="s">
        <v>146</v>
      </c>
      <c r="B37" s="165"/>
      <c r="D37" s="251"/>
      <c r="E37" s="148"/>
      <c r="F37" s="252"/>
      <c r="G37" s="251"/>
      <c r="H37" s="160"/>
      <c r="I37" s="160"/>
      <c r="J37" s="207"/>
      <c r="K37" s="160"/>
      <c r="L37" s="160"/>
      <c r="M37" s="160"/>
      <c r="N37" s="160"/>
      <c r="O37" s="207"/>
    </row>
    <row r="38" spans="1:15" x14ac:dyDescent="0.25">
      <c r="A38" s="184" t="s">
        <v>147</v>
      </c>
      <c r="B38" s="166"/>
      <c r="C38" s="61"/>
      <c r="D38" s="206"/>
      <c r="E38" s="160"/>
      <c r="F38" s="207"/>
      <c r="G38" s="206"/>
      <c r="H38" s="160"/>
      <c r="I38" s="160"/>
      <c r="J38" s="207"/>
      <c r="K38" s="160"/>
      <c r="L38" s="160"/>
      <c r="M38" s="160"/>
      <c r="N38" s="160"/>
      <c r="O38" s="207"/>
    </row>
    <row r="39" spans="1:15" x14ac:dyDescent="0.25">
      <c r="A39" s="184"/>
      <c r="B39" s="163"/>
      <c r="C39" s="187"/>
      <c r="D39" s="206"/>
      <c r="E39" s="160"/>
      <c r="F39" s="207"/>
      <c r="G39" s="206"/>
      <c r="H39" s="160"/>
      <c r="I39" s="160"/>
      <c r="J39" s="207"/>
      <c r="K39" s="160"/>
      <c r="L39" s="160"/>
      <c r="M39" s="160"/>
      <c r="N39" s="160"/>
      <c r="O39" s="207"/>
    </row>
    <row r="40" spans="1:15" ht="45" x14ac:dyDescent="0.25">
      <c r="A40" s="184"/>
      <c r="B40" s="120" t="s">
        <v>13</v>
      </c>
      <c r="C40" s="120" t="s">
        <v>144</v>
      </c>
      <c r="D40" s="206"/>
      <c r="E40" s="160"/>
      <c r="F40" s="207"/>
      <c r="G40" s="206"/>
      <c r="H40" s="160"/>
      <c r="I40" s="160"/>
      <c r="J40" s="207"/>
      <c r="K40" s="160"/>
      <c r="L40" s="160"/>
      <c r="M40" s="160"/>
      <c r="N40" s="160"/>
      <c r="O40" s="207"/>
    </row>
    <row r="41" spans="1:15" ht="24.75" x14ac:dyDescent="0.25">
      <c r="A41" s="186" t="s">
        <v>169</v>
      </c>
      <c r="B41" s="165" t="s">
        <v>177</v>
      </c>
      <c r="C41" s="61" t="s">
        <v>125</v>
      </c>
      <c r="D41" s="206"/>
      <c r="E41" s="160"/>
      <c r="F41" s="207"/>
      <c r="G41" s="206"/>
      <c r="H41" s="160"/>
      <c r="I41" s="160"/>
      <c r="J41" s="215">
        <v>1</v>
      </c>
      <c r="K41" s="194">
        <v>2</v>
      </c>
      <c r="L41" s="194">
        <v>2</v>
      </c>
      <c r="M41" s="160"/>
      <c r="N41" s="160"/>
      <c r="O41" s="207"/>
    </row>
    <row r="42" spans="1:15" ht="24.75" x14ac:dyDescent="0.25">
      <c r="A42" s="186" t="s">
        <v>170</v>
      </c>
      <c r="B42" s="165" t="s">
        <v>178</v>
      </c>
      <c r="C42" s="187" t="s">
        <v>121</v>
      </c>
      <c r="D42" s="206"/>
      <c r="E42" s="160"/>
      <c r="F42" s="207"/>
      <c r="G42" s="206"/>
      <c r="H42" s="160"/>
      <c r="I42" s="160"/>
      <c r="J42" s="214">
        <v>2</v>
      </c>
      <c r="K42" s="198">
        <v>2</v>
      </c>
      <c r="L42" s="198">
        <v>2</v>
      </c>
      <c r="M42" s="198">
        <v>2</v>
      </c>
      <c r="N42" s="160"/>
      <c r="O42" s="207"/>
    </row>
    <row r="43" spans="1:15" x14ac:dyDescent="0.25">
      <c r="A43" s="184" t="s">
        <v>146</v>
      </c>
      <c r="B43" s="166"/>
      <c r="D43" s="251"/>
      <c r="E43" s="148"/>
      <c r="F43" s="252"/>
      <c r="G43" s="251"/>
      <c r="H43" s="148"/>
      <c r="I43" s="148"/>
      <c r="J43" s="252"/>
      <c r="N43" s="160"/>
      <c r="O43" s="207"/>
    </row>
    <row r="44" spans="1:15" x14ac:dyDescent="0.25">
      <c r="A44" s="184" t="s">
        <v>147</v>
      </c>
      <c r="B44" s="166"/>
      <c r="C44" s="187"/>
      <c r="D44" s="206"/>
      <c r="E44" s="160"/>
      <c r="F44" s="207"/>
      <c r="G44" s="206"/>
      <c r="H44" s="160"/>
      <c r="I44" s="160"/>
      <c r="J44" s="207"/>
      <c r="K44" s="160"/>
      <c r="L44" s="160"/>
      <c r="M44" s="160"/>
      <c r="N44" s="160"/>
      <c r="O44" s="207"/>
    </row>
    <row r="45" spans="1:15" x14ac:dyDescent="0.25">
      <c r="A45" s="184"/>
      <c r="B45" s="166"/>
      <c r="C45" s="187"/>
      <c r="D45" s="206"/>
      <c r="E45" s="160"/>
      <c r="F45" s="207"/>
      <c r="G45" s="206"/>
      <c r="H45" s="160"/>
      <c r="I45" s="160"/>
      <c r="J45" s="207"/>
      <c r="K45" s="160"/>
      <c r="L45" s="160"/>
      <c r="M45" s="160"/>
      <c r="N45" s="160"/>
      <c r="O45" s="207"/>
    </row>
    <row r="46" spans="1:15" ht="45" x14ac:dyDescent="0.25">
      <c r="A46" s="184"/>
      <c r="B46" s="90" t="s">
        <v>88</v>
      </c>
      <c r="C46" s="60" t="s">
        <v>144</v>
      </c>
      <c r="D46" s="206"/>
      <c r="E46" s="160"/>
      <c r="F46" s="207"/>
      <c r="G46" s="206"/>
      <c r="H46" s="160"/>
      <c r="I46" s="160"/>
      <c r="J46" s="207"/>
      <c r="K46" s="160"/>
      <c r="L46" s="160"/>
      <c r="M46" s="160"/>
      <c r="N46" s="160"/>
      <c r="O46" s="207"/>
    </row>
    <row r="47" spans="1:15" ht="24.75" x14ac:dyDescent="0.25">
      <c r="A47" s="186" t="s">
        <v>169</v>
      </c>
      <c r="B47" s="165" t="s">
        <v>183</v>
      </c>
      <c r="C47" s="187" t="s">
        <v>121</v>
      </c>
      <c r="D47" s="213">
        <v>1</v>
      </c>
      <c r="E47" s="160"/>
      <c r="F47" s="207"/>
      <c r="G47" s="206"/>
      <c r="H47" s="160"/>
      <c r="I47" s="160"/>
      <c r="J47" s="207"/>
      <c r="K47" s="160"/>
      <c r="L47" s="160"/>
      <c r="M47" s="160"/>
      <c r="N47" s="160"/>
      <c r="O47" s="207"/>
    </row>
    <row r="48" spans="1:15" ht="30" x14ac:dyDescent="0.25">
      <c r="A48" s="186" t="s">
        <v>170</v>
      </c>
      <c r="B48" s="168" t="s">
        <v>209</v>
      </c>
      <c r="C48" s="187" t="s">
        <v>123</v>
      </c>
      <c r="D48" s="206"/>
      <c r="E48" s="160"/>
      <c r="F48" s="207"/>
      <c r="G48" s="206"/>
      <c r="H48" s="160"/>
      <c r="I48" s="160"/>
      <c r="J48" s="207"/>
      <c r="K48" s="160"/>
      <c r="L48" s="160"/>
      <c r="M48" s="160"/>
      <c r="N48" s="160"/>
      <c r="O48" s="207"/>
    </row>
    <row r="49" spans="1:15" x14ac:dyDescent="0.25">
      <c r="A49" s="184" t="s">
        <v>146</v>
      </c>
      <c r="B49" s="163"/>
      <c r="C49" s="187" t="s">
        <v>124</v>
      </c>
      <c r="D49" s="231">
        <v>4</v>
      </c>
      <c r="E49" s="160"/>
      <c r="F49" s="207"/>
      <c r="G49" s="206"/>
      <c r="H49" s="160"/>
      <c r="I49" s="160"/>
      <c r="J49" s="207"/>
      <c r="K49" s="160"/>
      <c r="L49" s="160"/>
      <c r="M49" s="160"/>
      <c r="N49" s="160"/>
      <c r="O49" s="207"/>
    </row>
    <row r="50" spans="1:15" x14ac:dyDescent="0.25">
      <c r="A50" s="184" t="s">
        <v>147</v>
      </c>
      <c r="B50" s="166"/>
      <c r="C50" s="187" t="s">
        <v>124</v>
      </c>
      <c r="D50" s="232">
        <v>4</v>
      </c>
      <c r="E50" s="160"/>
      <c r="F50" s="207"/>
      <c r="G50" s="206"/>
      <c r="H50" s="160"/>
      <c r="I50" s="160"/>
      <c r="J50" s="207"/>
      <c r="K50" s="160"/>
      <c r="L50" s="160"/>
      <c r="M50" s="160"/>
      <c r="N50" s="160"/>
      <c r="O50" s="207"/>
    </row>
    <row r="51" spans="1:15" x14ac:dyDescent="0.25">
      <c r="A51" s="184"/>
      <c r="B51" s="163"/>
      <c r="D51" s="251"/>
      <c r="E51" s="160"/>
      <c r="F51" s="207"/>
      <c r="G51" s="206"/>
      <c r="H51" s="160"/>
      <c r="I51" s="160"/>
      <c r="J51" s="207"/>
      <c r="K51" s="160"/>
      <c r="L51" s="160"/>
      <c r="M51" s="160"/>
      <c r="N51" s="160"/>
      <c r="O51" s="207"/>
    </row>
    <row r="52" spans="1:15" x14ac:dyDescent="0.25">
      <c r="A52" s="188"/>
      <c r="B52" s="167" t="s">
        <v>44</v>
      </c>
      <c r="C52" s="38"/>
      <c r="D52" s="210"/>
      <c r="E52" s="196"/>
      <c r="F52" s="211"/>
      <c r="G52" s="210"/>
      <c r="H52" s="196"/>
      <c r="I52" s="196"/>
      <c r="J52" s="211"/>
      <c r="K52" s="196"/>
      <c r="L52" s="196"/>
      <c r="M52" s="196"/>
      <c r="N52" s="196"/>
      <c r="O52" s="211"/>
    </row>
    <row r="53" spans="1:15" ht="60" x14ac:dyDescent="0.25">
      <c r="A53" s="184"/>
      <c r="B53" s="90" t="s">
        <v>49</v>
      </c>
      <c r="C53" s="60" t="s">
        <v>144</v>
      </c>
      <c r="D53" s="206"/>
      <c r="E53" s="160"/>
      <c r="F53" s="207"/>
      <c r="G53" s="206"/>
      <c r="H53" s="160"/>
      <c r="I53" s="160"/>
      <c r="J53" s="207"/>
      <c r="K53" s="160"/>
      <c r="L53" s="160"/>
      <c r="M53" s="160"/>
      <c r="N53" s="160"/>
      <c r="O53" s="207"/>
    </row>
    <row r="54" spans="1:15" ht="24.75" x14ac:dyDescent="0.25">
      <c r="A54" s="186" t="s">
        <v>169</v>
      </c>
      <c r="B54" s="165" t="s">
        <v>172</v>
      </c>
      <c r="C54" s="61" t="s">
        <v>125</v>
      </c>
      <c r="D54" s="212">
        <v>0.5</v>
      </c>
      <c r="E54" s="160"/>
      <c r="F54" s="207"/>
      <c r="G54" s="206"/>
      <c r="H54" s="160"/>
      <c r="I54" s="160"/>
      <c r="J54" s="207"/>
      <c r="K54" s="160"/>
      <c r="L54" s="160"/>
      <c r="M54" s="160"/>
      <c r="N54" s="160"/>
      <c r="O54" s="207"/>
    </row>
    <row r="55" spans="1:15" ht="24.75" x14ac:dyDescent="0.25">
      <c r="A55" s="186" t="s">
        <v>170</v>
      </c>
      <c r="B55" s="165" t="s">
        <v>174</v>
      </c>
      <c r="C55" s="187" t="s">
        <v>121</v>
      </c>
      <c r="D55" s="208">
        <v>2</v>
      </c>
      <c r="E55" s="195">
        <v>3</v>
      </c>
      <c r="F55" s="219">
        <v>4</v>
      </c>
      <c r="G55" s="208">
        <v>4</v>
      </c>
      <c r="H55" s="195">
        <v>4</v>
      </c>
      <c r="I55" s="195">
        <v>3</v>
      </c>
      <c r="J55" s="207"/>
      <c r="K55" s="160"/>
      <c r="L55" s="160"/>
      <c r="M55" s="160"/>
      <c r="N55" s="160"/>
      <c r="O55" s="207"/>
    </row>
    <row r="56" spans="1:15" x14ac:dyDescent="0.25">
      <c r="A56" s="184" t="s">
        <v>146</v>
      </c>
      <c r="B56" s="166"/>
      <c r="C56" s="187" t="s">
        <v>236</v>
      </c>
      <c r="D56" s="206"/>
      <c r="E56" s="160"/>
      <c r="F56" s="207"/>
      <c r="G56" s="206"/>
      <c r="H56" s="196">
        <v>3</v>
      </c>
      <c r="I56" s="196">
        <v>3</v>
      </c>
      <c r="J56" s="211">
        <v>3</v>
      </c>
      <c r="K56" s="160"/>
      <c r="L56" s="160"/>
      <c r="M56" s="160"/>
      <c r="N56" s="160"/>
      <c r="O56" s="207"/>
    </row>
    <row r="57" spans="1:15" x14ac:dyDescent="0.25">
      <c r="A57" s="184" t="s">
        <v>147</v>
      </c>
      <c r="B57" s="163"/>
      <c r="C57" s="187" t="s">
        <v>237</v>
      </c>
      <c r="D57" s="206"/>
      <c r="E57" s="160"/>
      <c r="F57" s="207"/>
      <c r="G57" s="206"/>
      <c r="H57" s="199">
        <v>3</v>
      </c>
      <c r="I57" s="199">
        <v>4</v>
      </c>
      <c r="J57" s="216">
        <v>4</v>
      </c>
      <c r="K57" s="199">
        <v>4</v>
      </c>
      <c r="L57" s="199">
        <v>4</v>
      </c>
      <c r="M57" s="160"/>
      <c r="N57" s="160"/>
      <c r="O57" s="207"/>
    </row>
    <row r="58" spans="1:15" x14ac:dyDescent="0.25">
      <c r="A58" s="184"/>
      <c r="B58" s="163"/>
      <c r="C58" s="187" t="s">
        <v>122</v>
      </c>
      <c r="D58" s="206"/>
      <c r="E58" s="160"/>
      <c r="F58" s="207"/>
      <c r="G58" s="206"/>
      <c r="H58" s="160"/>
      <c r="I58" s="160"/>
      <c r="J58" s="217">
        <v>4</v>
      </c>
      <c r="K58" s="229">
        <v>4</v>
      </c>
      <c r="L58" s="160"/>
      <c r="M58" s="160"/>
      <c r="N58" s="160"/>
      <c r="O58" s="207"/>
    </row>
    <row r="59" spans="1:15" x14ac:dyDescent="0.25">
      <c r="A59" s="184"/>
      <c r="B59" s="163"/>
      <c r="C59" s="187" t="s">
        <v>238</v>
      </c>
      <c r="D59" s="206"/>
      <c r="E59" s="160"/>
      <c r="F59" s="207"/>
      <c r="G59" s="206"/>
      <c r="H59" s="160"/>
      <c r="I59" s="160"/>
      <c r="J59" s="207"/>
      <c r="K59" s="230">
        <v>3</v>
      </c>
      <c r="L59" s="230">
        <v>4</v>
      </c>
      <c r="M59" s="230">
        <v>4</v>
      </c>
      <c r="N59" s="230">
        <v>3</v>
      </c>
      <c r="O59" s="241">
        <v>1</v>
      </c>
    </row>
    <row r="60" spans="1:15" x14ac:dyDescent="0.25">
      <c r="A60" s="184"/>
      <c r="B60" s="120"/>
      <c r="C60" s="187" t="s">
        <v>239</v>
      </c>
      <c r="D60" s="206"/>
      <c r="E60" s="160"/>
      <c r="F60" s="207"/>
      <c r="G60" s="206"/>
      <c r="H60" s="160"/>
      <c r="I60" s="160"/>
      <c r="J60" s="207"/>
      <c r="K60" s="160"/>
      <c r="L60" s="160"/>
      <c r="M60" s="242">
        <v>4</v>
      </c>
      <c r="N60" s="242">
        <v>4</v>
      </c>
      <c r="O60" s="243">
        <v>4</v>
      </c>
    </row>
    <row r="61" spans="1:15" x14ac:dyDescent="0.25">
      <c r="A61" s="184"/>
      <c r="B61" s="120"/>
      <c r="D61" s="251"/>
      <c r="E61" s="148"/>
      <c r="F61" s="252"/>
      <c r="G61" s="251"/>
      <c r="H61" s="148"/>
      <c r="I61" s="148"/>
      <c r="J61" s="252"/>
    </row>
    <row r="62" spans="1:15" ht="45" x14ac:dyDescent="0.25">
      <c r="A62" s="184"/>
      <c r="B62" s="129" t="s">
        <v>199</v>
      </c>
      <c r="C62" s="60" t="s">
        <v>144</v>
      </c>
      <c r="D62" s="206"/>
      <c r="E62" s="160"/>
      <c r="F62" s="207"/>
      <c r="G62" s="206"/>
      <c r="H62" s="160"/>
      <c r="I62" s="160"/>
      <c r="J62" s="207"/>
      <c r="K62" s="160"/>
      <c r="L62" s="160"/>
      <c r="M62" s="160"/>
      <c r="N62" s="160"/>
      <c r="O62" s="207"/>
    </row>
    <row r="63" spans="1:15" ht="24.75" x14ac:dyDescent="0.25">
      <c r="A63" s="186" t="s">
        <v>169</v>
      </c>
      <c r="B63" s="165" t="s">
        <v>172</v>
      </c>
      <c r="C63" s="61"/>
      <c r="D63" s="206"/>
      <c r="E63" s="160"/>
      <c r="F63" s="207"/>
      <c r="G63" s="206"/>
      <c r="H63" s="160"/>
      <c r="I63" s="160"/>
      <c r="J63" s="207"/>
      <c r="K63" s="160"/>
      <c r="L63" s="160"/>
      <c r="M63" s="160"/>
      <c r="N63" s="160"/>
      <c r="O63" s="207"/>
    </row>
    <row r="64" spans="1:15" ht="24.75" x14ac:dyDescent="0.25">
      <c r="A64" s="186" t="s">
        <v>170</v>
      </c>
      <c r="B64" s="165" t="s">
        <v>200</v>
      </c>
      <c r="C64" s="189" t="s">
        <v>171</v>
      </c>
      <c r="D64" s="250" t="s">
        <v>240</v>
      </c>
      <c r="E64" s="197"/>
      <c r="F64" s="207"/>
      <c r="G64" s="206"/>
      <c r="H64" s="160"/>
      <c r="I64" s="160"/>
      <c r="J64" s="207"/>
      <c r="K64" s="160"/>
      <c r="L64" s="160"/>
      <c r="M64" s="160"/>
      <c r="N64" s="160"/>
      <c r="O64" s="207"/>
    </row>
    <row r="65" spans="1:15" x14ac:dyDescent="0.25">
      <c r="A65" s="184" t="s">
        <v>146</v>
      </c>
      <c r="B65" s="163"/>
      <c r="C65" s="187" t="s">
        <v>123</v>
      </c>
      <c r="D65" s="206"/>
      <c r="E65" s="160"/>
      <c r="F65" s="207"/>
      <c r="G65" s="206"/>
      <c r="H65" s="160"/>
      <c r="I65" s="160"/>
      <c r="J65" s="207"/>
      <c r="K65" s="160"/>
      <c r="L65" s="160"/>
      <c r="M65" s="160"/>
      <c r="N65" s="160"/>
      <c r="O65" s="207"/>
    </row>
    <row r="66" spans="1:15" x14ac:dyDescent="0.25">
      <c r="A66" s="184" t="s">
        <v>147</v>
      </c>
      <c r="B66" s="163"/>
      <c r="C66" s="187" t="s">
        <v>122</v>
      </c>
      <c r="D66" s="206"/>
      <c r="E66" s="160"/>
      <c r="F66" s="207"/>
      <c r="G66" s="206"/>
      <c r="H66" s="160"/>
      <c r="I66" s="160"/>
      <c r="J66" s="207"/>
      <c r="K66" s="160"/>
      <c r="L66" s="160"/>
      <c r="M66" s="160"/>
      <c r="N66" s="160"/>
      <c r="O66" s="207"/>
    </row>
    <row r="67" spans="1:15" x14ac:dyDescent="0.25">
      <c r="A67" s="184"/>
      <c r="B67" s="163"/>
      <c r="C67" s="187" t="s">
        <v>124</v>
      </c>
      <c r="D67" s="206"/>
      <c r="E67" s="160"/>
      <c r="F67" s="207"/>
      <c r="G67" s="206"/>
      <c r="H67" s="160"/>
      <c r="I67" s="160"/>
      <c r="J67" s="207"/>
      <c r="K67" s="160"/>
      <c r="L67" s="160"/>
      <c r="M67" s="160"/>
      <c r="N67" s="160"/>
      <c r="O67" s="207"/>
    </row>
    <row r="68" spans="1:15" x14ac:dyDescent="0.25">
      <c r="A68" s="184"/>
      <c r="B68" s="163"/>
      <c r="C68" s="61"/>
      <c r="D68" s="206"/>
      <c r="E68" s="160"/>
      <c r="F68" s="207"/>
      <c r="G68" s="206"/>
      <c r="H68" s="160"/>
      <c r="I68" s="160"/>
      <c r="J68" s="207"/>
      <c r="K68" s="160"/>
      <c r="L68" s="160"/>
      <c r="M68" s="160"/>
      <c r="N68" s="160"/>
      <c r="O68" s="207"/>
    </row>
    <row r="69" spans="1:15" ht="45" x14ac:dyDescent="0.25">
      <c r="A69" s="184"/>
      <c r="B69" s="90" t="s">
        <v>54</v>
      </c>
      <c r="C69" s="60" t="s">
        <v>144</v>
      </c>
      <c r="D69" s="218"/>
      <c r="E69" s="197"/>
      <c r="F69" s="209"/>
      <c r="G69" s="218"/>
      <c r="H69" s="197"/>
      <c r="I69" s="197"/>
      <c r="J69" s="209"/>
      <c r="K69" s="197"/>
      <c r="L69" s="197"/>
      <c r="M69" s="197"/>
      <c r="N69" s="160"/>
      <c r="O69" s="207"/>
    </row>
    <row r="70" spans="1:15" ht="24.75" x14ac:dyDescent="0.25">
      <c r="A70" s="186" t="s">
        <v>169</v>
      </c>
      <c r="B70" s="165" t="s">
        <v>172</v>
      </c>
      <c r="C70" s="61" t="s">
        <v>125</v>
      </c>
      <c r="D70" s="206"/>
      <c r="E70" s="160"/>
      <c r="F70" s="207"/>
      <c r="G70" s="206"/>
      <c r="H70" s="160"/>
      <c r="I70" s="194">
        <v>2</v>
      </c>
      <c r="J70" s="215">
        <v>2</v>
      </c>
      <c r="K70" s="160"/>
      <c r="L70" s="160"/>
      <c r="M70" s="160"/>
      <c r="N70" s="160"/>
      <c r="O70" s="207"/>
    </row>
    <row r="71" spans="1:15" ht="24.75" x14ac:dyDescent="0.25">
      <c r="A71" s="186" t="s">
        <v>170</v>
      </c>
      <c r="B71" s="165" t="s">
        <v>173</v>
      </c>
      <c r="C71" s="187" t="s">
        <v>121</v>
      </c>
      <c r="D71" s="206"/>
      <c r="E71" s="160"/>
      <c r="F71" s="207"/>
      <c r="G71" s="206"/>
      <c r="H71" s="160"/>
      <c r="I71" s="195">
        <v>2</v>
      </c>
      <c r="J71" s="219">
        <v>2</v>
      </c>
      <c r="K71" s="160"/>
      <c r="L71" s="160"/>
      <c r="M71" s="160"/>
      <c r="N71" s="160"/>
      <c r="O71" s="207"/>
    </row>
    <row r="72" spans="1:15" x14ac:dyDescent="0.25">
      <c r="A72" s="184" t="s">
        <v>146</v>
      </c>
      <c r="B72" s="166"/>
      <c r="D72" s="251"/>
      <c r="E72" s="148"/>
      <c r="F72" s="252"/>
      <c r="G72" s="251"/>
      <c r="H72" s="148"/>
      <c r="I72" s="148"/>
      <c r="J72" s="252"/>
      <c r="K72" s="160"/>
      <c r="L72" s="160"/>
      <c r="M72" s="160"/>
      <c r="N72" s="160"/>
      <c r="O72" s="207"/>
    </row>
    <row r="73" spans="1:15" x14ac:dyDescent="0.25">
      <c r="A73" s="184" t="s">
        <v>147</v>
      </c>
      <c r="B73" s="166"/>
      <c r="C73" s="187"/>
      <c r="D73" s="206"/>
      <c r="E73" s="160"/>
      <c r="F73" s="207"/>
      <c r="G73" s="206"/>
      <c r="H73" s="160"/>
      <c r="I73" s="160"/>
      <c r="J73" s="207"/>
      <c r="K73" s="160"/>
      <c r="L73" s="160"/>
      <c r="M73" s="160"/>
      <c r="N73" s="160"/>
      <c r="O73" s="207"/>
    </row>
    <row r="74" spans="1:15" x14ac:dyDescent="0.25">
      <c r="A74" s="184"/>
      <c r="B74" s="163"/>
      <c r="C74" s="61"/>
      <c r="D74" s="206"/>
      <c r="E74" s="160"/>
      <c r="F74" s="207"/>
      <c r="G74" s="206"/>
      <c r="H74" s="160"/>
      <c r="I74" s="160"/>
      <c r="J74" s="207"/>
      <c r="K74" s="160"/>
      <c r="L74" s="160"/>
      <c r="M74" s="160"/>
      <c r="N74" s="160"/>
      <c r="O74" s="207"/>
    </row>
    <row r="75" spans="1:15" ht="30" x14ac:dyDescent="0.25">
      <c r="A75" s="184"/>
      <c r="B75" s="90" t="s">
        <v>184</v>
      </c>
      <c r="C75" s="60" t="s">
        <v>144</v>
      </c>
      <c r="D75" s="206"/>
      <c r="E75" s="160"/>
      <c r="F75" s="207"/>
      <c r="G75" s="206"/>
      <c r="H75" s="160"/>
      <c r="I75" s="160"/>
      <c r="J75" s="207"/>
      <c r="K75" s="160"/>
      <c r="L75" s="160"/>
      <c r="M75" s="160"/>
      <c r="N75" s="160"/>
      <c r="O75" s="207"/>
    </row>
    <row r="76" spans="1:15" ht="24.75" x14ac:dyDescent="0.25">
      <c r="A76" s="186" t="s">
        <v>169</v>
      </c>
      <c r="B76" s="165" t="s">
        <v>172</v>
      </c>
      <c r="C76" s="61" t="s">
        <v>125</v>
      </c>
      <c r="D76" s="206"/>
      <c r="E76" s="160"/>
      <c r="F76" s="207"/>
      <c r="G76" s="206"/>
      <c r="H76" s="160"/>
      <c r="I76" s="160"/>
      <c r="J76" s="207"/>
      <c r="K76" s="194">
        <v>2</v>
      </c>
      <c r="L76" s="194">
        <v>2</v>
      </c>
      <c r="M76" s="160"/>
      <c r="N76" s="160"/>
      <c r="O76" s="207"/>
    </row>
    <row r="77" spans="1:15" ht="24.75" x14ac:dyDescent="0.25">
      <c r="A77" s="186" t="s">
        <v>170</v>
      </c>
      <c r="B77" s="165" t="s">
        <v>201</v>
      </c>
      <c r="D77" s="251"/>
      <c r="E77" s="148"/>
      <c r="F77" s="252"/>
      <c r="G77" s="251"/>
      <c r="H77" s="148"/>
      <c r="I77" s="148"/>
      <c r="J77" s="252"/>
      <c r="M77" s="160"/>
      <c r="N77" s="160"/>
      <c r="O77" s="207"/>
    </row>
    <row r="78" spans="1:15" ht="15.75" thickBot="1" x14ac:dyDescent="0.3">
      <c r="A78" s="184" t="s">
        <v>146</v>
      </c>
      <c r="B78" s="165" t="s">
        <v>175</v>
      </c>
      <c r="C78" s="61"/>
      <c r="D78" s="220"/>
      <c r="E78" s="221"/>
      <c r="F78" s="222"/>
      <c r="G78" s="220"/>
      <c r="H78" s="221"/>
      <c r="I78" s="221"/>
      <c r="J78" s="222"/>
      <c r="K78" s="221"/>
      <c r="L78" s="221"/>
      <c r="M78" s="221"/>
      <c r="N78" s="221"/>
      <c r="O78" s="222"/>
    </row>
    <row r="79" spans="1:15" x14ac:dyDescent="0.25">
      <c r="A79" s="184" t="s">
        <v>147</v>
      </c>
      <c r="B79" s="166"/>
      <c r="C79" s="187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</row>
    <row r="80" spans="1:15" x14ac:dyDescent="0.25">
      <c r="A80" s="184"/>
      <c r="B80" s="163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</row>
    <row r="81" spans="1:15" x14ac:dyDescent="0.25">
      <c r="A81" s="184"/>
      <c r="B81" s="166"/>
      <c r="C81" s="187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</row>
  </sheetData>
  <hyperlinks>
    <hyperlink ref="B41" r:id="rId1" display="https://jira.megafon.ru/browse/B2CPROD-91" xr:uid="{5EAD9E80-0534-46FD-9A85-4F1F1F7C70C5}"/>
    <hyperlink ref="B42" r:id="rId2" display="https://jira.megafon.ru/browse/B2CPROD-97" xr:uid="{AB50F22F-8633-4DC7-95B1-AA3CD5E857CF}"/>
    <hyperlink ref="B55" r:id="rId3" display="https://jira.megafon.ru/browse/B2CPROD-285" xr:uid="{10C13BB7-8831-4A6F-863E-A5A33713321B}"/>
    <hyperlink ref="B71" r:id="rId4" display="https://jira.megafon.ru/browse/B2CPROD-287" xr:uid="{FF4129C0-E701-48CE-A1B0-A7ECCC80BBD9}"/>
    <hyperlink ref="B78" r:id="rId5" display="https://jira.megafon.ru/browse/CKO-54695" xr:uid="{35B56FE8-A56C-441C-807A-34D1EF8BCA43}"/>
    <hyperlink ref="B54" r:id="rId6" display="https://jira.megafon.ru/browse/B2CPROD-276" xr:uid="{AEDA8985-53EF-4386-A76E-825F6EC991C0}"/>
    <hyperlink ref="B63" r:id="rId7" display="https://jira.megafon.ru/browse/B2CPROD-276" xr:uid="{23882F68-5409-41E2-8B2D-069A33EB72E8}"/>
    <hyperlink ref="B70" r:id="rId8" display="https://jira.megafon.ru/browse/B2CPROD-276" xr:uid="{278B96FC-79A8-4152-8554-02E055993D48}"/>
    <hyperlink ref="B76" r:id="rId9" display="https://jira.megafon.ru/browse/B2CPROD-276" xr:uid="{58DEAE71-F944-41B8-A37F-A963357A3F65}"/>
    <hyperlink ref="B19" r:id="rId10" xr:uid="{C276B822-C9F8-4552-8A3C-4C4B515FD946}"/>
    <hyperlink ref="B47" r:id="rId11" display="https://jira.megafon.ru/browse/B2CPROD-494" xr:uid="{7242C3E3-7066-4203-9918-3FB72740B027}"/>
    <hyperlink ref="B64" r:id="rId12" display="https://jira.megafon.ru/browse/B2CPROD-789" xr:uid="{C380FA12-ED4C-49CB-AB2D-02AF03B45B9F}"/>
    <hyperlink ref="B77" r:id="rId13" display="https://jira.megafon.ru/browse/B2CPROD-301" xr:uid="{F5B43196-6E10-426F-A20E-4D5CD917E98D}"/>
    <hyperlink ref="B18" r:id="rId14" xr:uid="{016FD78B-C9A0-49AE-B176-5A059060D0CC}"/>
    <hyperlink ref="B29" r:id="rId15" xr:uid="{A87C7142-B442-4CD2-98B4-29E20D1CBC29}"/>
    <hyperlink ref="B35" r:id="rId16" xr:uid="{11087A1F-7BFD-458B-8D83-BF5CE632A283}"/>
    <hyperlink ref="B24" r:id="rId17" xr:uid="{7533C1FA-1198-4056-863B-4C57EABED484}"/>
    <hyperlink ref="B30" r:id="rId18" xr:uid="{1D2BFA65-A517-4479-B762-52E14FF7A8DF}"/>
    <hyperlink ref="B36" r:id="rId19" xr:uid="{45AF6F7B-C637-4402-A613-A6E3C2DAACE6}"/>
    <hyperlink ref="B48" r:id="rId20" xr:uid="{D111C55F-E33C-4FCC-9B3C-861F3217A2B8}"/>
    <hyperlink ref="B10" r:id="rId21" display="https://jira.megafon.ru/browse/B2CPROD-111" xr:uid="{95FF01C3-F2D5-4096-9B68-4CEFCE5E295F}"/>
    <hyperlink ref="B11" r:id="rId22" display="https://jira.megafon.ru/browse/B2CPROD-114" xr:uid="{2A5C7095-D79E-47FF-9E51-A7B0729C4214}"/>
    <hyperlink ref="B7" r:id="rId23" xr:uid="{3377ADBC-6977-427C-AAAA-0413C737F61F}"/>
  </hyperlinks>
  <pageMargins left="0.7" right="0.7" top="0.75" bottom="0.75" header="0.3" footer="0.3"/>
  <pageSetup paperSize="9" orientation="portrait" r:id="rId2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DF57-7B5D-4285-B169-B8F7A6DD1A36}">
  <dimension ref="B1:I44"/>
  <sheetViews>
    <sheetView topLeftCell="B1" zoomScaleNormal="100" workbookViewId="0">
      <selection activeCell="G36" sqref="G36"/>
    </sheetView>
  </sheetViews>
  <sheetFormatPr defaultRowHeight="15" x14ac:dyDescent="0.25"/>
  <cols>
    <col min="1" max="1" width="20.5703125" bestFit="1" customWidth="1"/>
    <col min="2" max="2" width="18.85546875" style="61" customWidth="1"/>
    <col min="3" max="3" width="19.42578125" style="61" customWidth="1"/>
    <col min="4" max="4" width="19.7109375" style="61" customWidth="1"/>
    <col min="5" max="5" width="19.28515625" style="61" customWidth="1"/>
    <col min="6" max="6" width="21.7109375" style="61" bestFit="1" customWidth="1"/>
    <col min="7" max="7" width="37.28515625" style="62" customWidth="1"/>
    <col min="8" max="8" width="46" style="62" customWidth="1"/>
    <col min="9" max="9" width="30.7109375" customWidth="1"/>
    <col min="13" max="13" width="21.140625" customWidth="1"/>
    <col min="14" max="14" width="18.7109375" customWidth="1"/>
  </cols>
  <sheetData>
    <row r="1" spans="2:8" ht="21" x14ac:dyDescent="0.25">
      <c r="B1" s="1565" t="s">
        <v>0</v>
      </c>
      <c r="C1" s="1565"/>
      <c r="D1" s="1565"/>
      <c r="E1" s="1565"/>
      <c r="F1" s="1565"/>
      <c r="G1" s="1565"/>
      <c r="H1" s="1565"/>
    </row>
    <row r="3" spans="2:8" ht="31.5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3" t="s">
        <v>7</v>
      </c>
    </row>
    <row r="4" spans="2:8" ht="25.5" x14ac:dyDescent="0.25">
      <c r="B4" s="4"/>
      <c r="C4" s="5" t="s">
        <v>8</v>
      </c>
      <c r="D4" s="5" t="s">
        <v>8</v>
      </c>
      <c r="E4" s="4"/>
      <c r="F4" s="4" t="s">
        <v>9</v>
      </c>
      <c r="G4" s="6" t="s">
        <v>10</v>
      </c>
      <c r="H4" s="7"/>
    </row>
    <row r="5" spans="2:8" x14ac:dyDescent="0.25">
      <c r="B5" s="8" t="s">
        <v>11</v>
      </c>
      <c r="C5" s="8"/>
      <c r="D5" s="8"/>
      <c r="E5" s="8"/>
      <c r="F5" s="8"/>
      <c r="G5" s="9"/>
      <c r="H5" s="10"/>
    </row>
    <row r="6" spans="2:8" ht="76.5" x14ac:dyDescent="0.25">
      <c r="B6" s="11"/>
      <c r="C6" s="12" t="s">
        <v>12</v>
      </c>
      <c r="D6" s="12" t="s">
        <v>13</v>
      </c>
      <c r="E6" s="63" t="s">
        <v>14</v>
      </c>
      <c r="F6" s="63" t="s">
        <v>15</v>
      </c>
      <c r="G6" s="64" t="s">
        <v>101</v>
      </c>
      <c r="H6" s="65" t="s">
        <v>100</v>
      </c>
    </row>
    <row r="7" spans="2:8" ht="76.5" x14ac:dyDescent="0.25">
      <c r="B7" s="16"/>
      <c r="C7" s="17" t="s">
        <v>16</v>
      </c>
      <c r="D7" s="17" t="s">
        <v>16</v>
      </c>
      <c r="E7" s="18"/>
      <c r="F7" s="18" t="s">
        <v>17</v>
      </c>
      <c r="G7" s="66" t="s">
        <v>103</v>
      </c>
      <c r="H7" s="20"/>
    </row>
    <row r="8" spans="2:8" ht="51" x14ac:dyDescent="0.25">
      <c r="B8" s="16"/>
      <c r="C8" s="17" t="s">
        <v>18</v>
      </c>
      <c r="D8" s="17" t="s">
        <v>18</v>
      </c>
      <c r="E8" s="18"/>
      <c r="F8" s="18" t="s">
        <v>19</v>
      </c>
      <c r="G8" s="19" t="s">
        <v>102</v>
      </c>
      <c r="H8" s="20" t="s">
        <v>21</v>
      </c>
    </row>
    <row r="9" spans="2:8" x14ac:dyDescent="0.25">
      <c r="B9" s="16"/>
      <c r="C9" s="4"/>
      <c r="D9" s="4"/>
      <c r="E9" s="4"/>
      <c r="F9" s="4"/>
      <c r="G9" s="6"/>
      <c r="H9" s="21"/>
    </row>
    <row r="10" spans="2:8" ht="76.5" x14ac:dyDescent="0.25">
      <c r="B10" s="11"/>
      <c r="C10" s="12" t="s">
        <v>22</v>
      </c>
      <c r="D10" s="12" t="s">
        <v>23</v>
      </c>
      <c r="E10" s="13" t="s">
        <v>24</v>
      </c>
      <c r="F10" s="13" t="s">
        <v>25</v>
      </c>
      <c r="G10" s="14"/>
      <c r="H10" s="15"/>
    </row>
    <row r="11" spans="2:8" ht="63.75" x14ac:dyDescent="0.25">
      <c r="B11" s="11"/>
      <c r="C11" s="12" t="s">
        <v>26</v>
      </c>
      <c r="D11" s="12" t="s">
        <v>27</v>
      </c>
      <c r="E11" s="13"/>
      <c r="F11" s="13" t="s">
        <v>28</v>
      </c>
      <c r="G11" s="14"/>
      <c r="H11" s="15"/>
    </row>
    <row r="12" spans="2:8" ht="51" x14ac:dyDescent="0.25">
      <c r="B12" s="16"/>
      <c r="C12" s="17" t="s">
        <v>29</v>
      </c>
      <c r="D12" s="17" t="s">
        <v>30</v>
      </c>
      <c r="E12" s="18"/>
      <c r="F12" s="18" t="s">
        <v>31</v>
      </c>
      <c r="G12" s="19" t="s">
        <v>20</v>
      </c>
      <c r="H12" s="20" t="s">
        <v>32</v>
      </c>
    </row>
    <row r="13" spans="2:8" ht="76.5" x14ac:dyDescent="0.25">
      <c r="B13" s="22"/>
      <c r="C13" s="12" t="s">
        <v>33</v>
      </c>
      <c r="D13" s="12" t="s">
        <v>34</v>
      </c>
      <c r="E13" s="13"/>
      <c r="F13" s="13" t="s">
        <v>35</v>
      </c>
      <c r="G13" s="14"/>
      <c r="H13" s="23"/>
    </row>
    <row r="14" spans="2:8" ht="27.6" customHeight="1" x14ac:dyDescent="0.25">
      <c r="B14" s="4"/>
      <c r="C14" s="4"/>
      <c r="D14" s="4"/>
      <c r="E14" s="4"/>
      <c r="F14" s="4"/>
      <c r="G14" s="6"/>
      <c r="H14" s="21"/>
    </row>
    <row r="15" spans="2:8" ht="27" customHeight="1" x14ac:dyDescent="0.25">
      <c r="B15" s="24" t="s">
        <v>36</v>
      </c>
      <c r="C15" s="24"/>
      <c r="D15" s="24"/>
      <c r="E15" s="24"/>
      <c r="F15" s="24"/>
      <c r="G15" s="25"/>
      <c r="H15" s="26"/>
    </row>
    <row r="16" spans="2:8" ht="63.75" x14ac:dyDescent="0.25">
      <c r="B16" s="27"/>
      <c r="C16" s="28" t="s">
        <v>37</v>
      </c>
      <c r="D16" s="12" t="s">
        <v>38</v>
      </c>
      <c r="E16" s="13" t="s">
        <v>24</v>
      </c>
      <c r="F16" s="13" t="s">
        <v>39</v>
      </c>
      <c r="G16" s="29" t="s">
        <v>40</v>
      </c>
      <c r="H16" s="15" t="s">
        <v>41</v>
      </c>
    </row>
    <row r="17" spans="2:9" ht="38.25" x14ac:dyDescent="0.25">
      <c r="B17" s="27"/>
      <c r="C17" s="30"/>
      <c r="D17" s="12" t="s">
        <v>42</v>
      </c>
      <c r="E17" s="13"/>
      <c r="F17" s="13" t="s">
        <v>43</v>
      </c>
      <c r="G17" s="14"/>
      <c r="H17" s="15"/>
    </row>
    <row r="18" spans="2:9" ht="36.6" customHeight="1" x14ac:dyDescent="0.25">
      <c r="B18" s="27"/>
      <c r="C18" s="13"/>
      <c r="D18" s="13"/>
      <c r="E18" s="13"/>
      <c r="F18" s="13"/>
      <c r="G18" s="14"/>
      <c r="H18" s="31"/>
    </row>
    <row r="19" spans="2:9" ht="51" x14ac:dyDescent="0.25">
      <c r="B19" s="27"/>
      <c r="C19" s="32" t="s">
        <v>44</v>
      </c>
      <c r="D19" s="12" t="s">
        <v>45</v>
      </c>
      <c r="E19" s="13" t="s">
        <v>46</v>
      </c>
      <c r="F19" s="13" t="s">
        <v>35</v>
      </c>
      <c r="G19" s="29"/>
      <c r="H19" s="31" t="s">
        <v>47</v>
      </c>
    </row>
    <row r="20" spans="2:9" ht="76.5" x14ac:dyDescent="0.25">
      <c r="B20" s="27"/>
      <c r="C20" s="33"/>
      <c r="D20" s="12" t="s">
        <v>48</v>
      </c>
      <c r="E20" s="13"/>
      <c r="F20" s="13" t="s">
        <v>35</v>
      </c>
      <c r="G20" s="14"/>
      <c r="H20" s="23"/>
    </row>
    <row r="21" spans="2:9" ht="76.5" x14ac:dyDescent="0.25">
      <c r="B21" s="27"/>
      <c r="C21" s="33"/>
      <c r="D21" s="34" t="s">
        <v>49</v>
      </c>
      <c r="E21" s="35"/>
      <c r="F21" s="35" t="s">
        <v>50</v>
      </c>
      <c r="G21" s="36" t="s">
        <v>104</v>
      </c>
      <c r="H21" s="37" t="s">
        <v>51</v>
      </c>
    </row>
    <row r="22" spans="2:9" ht="63.75" x14ac:dyDescent="0.25">
      <c r="B22" s="27"/>
      <c r="C22" s="33"/>
      <c r="D22" s="38" t="s">
        <v>52</v>
      </c>
      <c r="E22" s="35"/>
      <c r="F22" s="35"/>
      <c r="G22" s="39" t="s">
        <v>105</v>
      </c>
      <c r="H22" s="40" t="s">
        <v>53</v>
      </c>
    </row>
    <row r="23" spans="2:9" ht="51" x14ac:dyDescent="0.25">
      <c r="B23" s="27"/>
      <c r="C23" s="33"/>
      <c r="D23" s="34" t="s">
        <v>54</v>
      </c>
      <c r="E23" s="35"/>
      <c r="F23" s="35" t="s">
        <v>55</v>
      </c>
      <c r="G23" s="41" t="s">
        <v>106</v>
      </c>
      <c r="H23" s="42" t="s">
        <v>56</v>
      </c>
    </row>
    <row r="24" spans="2:9" ht="63.75" x14ac:dyDescent="0.25">
      <c r="B24" s="27"/>
      <c r="C24" s="43"/>
      <c r="D24" s="44" t="s">
        <v>57</v>
      </c>
      <c r="E24" s="45"/>
      <c r="F24" s="45" t="s">
        <v>58</v>
      </c>
      <c r="G24" s="46"/>
      <c r="H24" s="47" t="s">
        <v>59</v>
      </c>
    </row>
    <row r="25" spans="2:9" ht="39" x14ac:dyDescent="0.25">
      <c r="B25" s="27"/>
      <c r="C25" s="43"/>
      <c r="D25" s="48" t="s">
        <v>60</v>
      </c>
      <c r="E25" s="49"/>
      <c r="F25" s="50" t="s">
        <v>55</v>
      </c>
      <c r="G25" s="51" t="s">
        <v>107</v>
      </c>
      <c r="H25" s="51" t="s">
        <v>61</v>
      </c>
    </row>
    <row r="26" spans="2:9" ht="63.75" x14ac:dyDescent="0.25">
      <c r="B26" s="27"/>
      <c r="C26" s="52"/>
      <c r="D26" s="12" t="s">
        <v>62</v>
      </c>
      <c r="E26" s="13" t="s">
        <v>24</v>
      </c>
      <c r="F26" s="13" t="s">
        <v>35</v>
      </c>
      <c r="G26" s="14"/>
      <c r="H26" s="23"/>
    </row>
    <row r="27" spans="2:9" ht="76.5" x14ac:dyDescent="0.25">
      <c r="B27" s="27"/>
      <c r="C27" s="28" t="s">
        <v>63</v>
      </c>
      <c r="D27" s="12" t="s">
        <v>64</v>
      </c>
      <c r="E27" s="13" t="s">
        <v>65</v>
      </c>
      <c r="F27" s="13" t="s">
        <v>66</v>
      </c>
      <c r="G27" s="14"/>
      <c r="H27" s="53"/>
    </row>
    <row r="28" spans="2:9" ht="38.25" x14ac:dyDescent="0.25">
      <c r="B28" s="27"/>
      <c r="C28" s="54"/>
      <c r="D28" s="12" t="s">
        <v>67</v>
      </c>
      <c r="E28" s="13"/>
      <c r="F28" s="13" t="s">
        <v>68</v>
      </c>
      <c r="G28" s="14"/>
      <c r="H28" s="53"/>
    </row>
    <row r="29" spans="2:9" ht="51" x14ac:dyDescent="0.25">
      <c r="B29" s="27"/>
      <c r="C29" s="54"/>
      <c r="D29" s="12" t="s">
        <v>69</v>
      </c>
      <c r="E29" s="13"/>
      <c r="F29" s="13" t="s">
        <v>70</v>
      </c>
      <c r="G29" s="14"/>
      <c r="H29" s="53"/>
    </row>
    <row r="30" spans="2:9" ht="38.25" x14ac:dyDescent="0.25">
      <c r="B30" s="27"/>
      <c r="C30" s="30"/>
      <c r="D30" s="12" t="s">
        <v>71</v>
      </c>
      <c r="E30" s="13"/>
      <c r="F30" s="13" t="s">
        <v>43</v>
      </c>
      <c r="G30" s="14"/>
      <c r="H30" s="53"/>
    </row>
    <row r="31" spans="2:9" x14ac:dyDescent="0.25">
      <c r="B31" s="27"/>
      <c r="C31" s="4"/>
      <c r="D31" s="4"/>
      <c r="E31" s="4"/>
      <c r="F31" s="4"/>
      <c r="G31" s="6"/>
      <c r="H31" s="21"/>
    </row>
    <row r="32" spans="2:9" ht="249" customHeight="1" x14ac:dyDescent="0.25">
      <c r="B32" s="27"/>
      <c r="C32" s="32" t="s">
        <v>72</v>
      </c>
      <c r="D32" s="34" t="s">
        <v>73</v>
      </c>
      <c r="E32" s="35" t="s">
        <v>74</v>
      </c>
      <c r="F32" s="35" t="s">
        <v>75</v>
      </c>
      <c r="G32" s="55" t="s">
        <v>108</v>
      </c>
      <c r="H32" s="39" t="s">
        <v>76</v>
      </c>
      <c r="I32" s="56"/>
    </row>
    <row r="33" spans="2:8" ht="63.75" x14ac:dyDescent="0.25">
      <c r="B33" s="27"/>
      <c r="C33" s="33"/>
      <c r="D33" s="34" t="s">
        <v>77</v>
      </c>
      <c r="E33" s="35" t="s">
        <v>78</v>
      </c>
      <c r="F33" s="35" t="s">
        <v>75</v>
      </c>
      <c r="G33" s="55" t="s">
        <v>109</v>
      </c>
      <c r="H33" s="39" t="s">
        <v>79</v>
      </c>
    </row>
    <row r="34" spans="2:8" ht="38.25" x14ac:dyDescent="0.25">
      <c r="B34" s="27"/>
      <c r="C34" s="33"/>
      <c r="D34" s="34" t="s">
        <v>80</v>
      </c>
      <c r="E34" s="35"/>
      <c r="F34" s="35" t="s">
        <v>75</v>
      </c>
      <c r="G34" s="55" t="s">
        <v>81</v>
      </c>
      <c r="H34" s="39" t="s">
        <v>82</v>
      </c>
    </row>
    <row r="35" spans="2:8" ht="51" x14ac:dyDescent="0.25">
      <c r="B35" s="27"/>
      <c r="C35" s="33"/>
      <c r="D35" s="34" t="s">
        <v>83</v>
      </c>
      <c r="E35" s="35" t="s">
        <v>84</v>
      </c>
      <c r="F35" s="35" t="s">
        <v>75</v>
      </c>
      <c r="G35" s="55" t="s">
        <v>110</v>
      </c>
      <c r="H35" s="39" t="s">
        <v>85</v>
      </c>
    </row>
    <row r="36" spans="2:8" ht="51" x14ac:dyDescent="0.25">
      <c r="B36" s="27"/>
      <c r="C36" s="57"/>
      <c r="D36" s="34" t="s">
        <v>86</v>
      </c>
      <c r="E36" s="58"/>
      <c r="F36" s="35" t="s">
        <v>75</v>
      </c>
      <c r="G36" s="55"/>
      <c r="H36" s="39" t="s">
        <v>210</v>
      </c>
    </row>
    <row r="37" spans="2:8" x14ac:dyDescent="0.25">
      <c r="B37" s="27"/>
      <c r="C37" s="4"/>
      <c r="D37" s="4"/>
      <c r="E37" s="4"/>
      <c r="F37" s="4"/>
      <c r="G37" s="6"/>
      <c r="H37" s="21"/>
    </row>
    <row r="38" spans="2:8" ht="51" x14ac:dyDescent="0.25">
      <c r="B38" s="27"/>
      <c r="C38" s="34" t="s">
        <v>87</v>
      </c>
      <c r="D38" s="34" t="s">
        <v>88</v>
      </c>
      <c r="E38" s="35" t="s">
        <v>24</v>
      </c>
      <c r="F38" s="35" t="s">
        <v>89</v>
      </c>
      <c r="G38" s="55" t="s">
        <v>111</v>
      </c>
      <c r="H38" s="39" t="s">
        <v>90</v>
      </c>
    </row>
    <row r="39" spans="2:8" x14ac:dyDescent="0.25">
      <c r="B39" s="4"/>
      <c r="C39" s="4"/>
      <c r="D39" s="4"/>
      <c r="E39" s="4"/>
      <c r="F39" s="4"/>
      <c r="G39" s="6"/>
      <c r="H39" s="21"/>
    </row>
    <row r="40" spans="2:8" x14ac:dyDescent="0.25">
      <c r="B40" s="8" t="s">
        <v>91</v>
      </c>
      <c r="C40" s="8"/>
      <c r="D40" s="8"/>
      <c r="E40" s="8"/>
      <c r="F40" s="8"/>
      <c r="G40" s="9"/>
      <c r="H40" s="10"/>
    </row>
    <row r="41" spans="2:8" ht="25.5" x14ac:dyDescent="0.25">
      <c r="B41" s="59"/>
      <c r="C41" s="12" t="s">
        <v>92</v>
      </c>
      <c r="D41" s="12" t="s">
        <v>93</v>
      </c>
      <c r="E41" s="13" t="s">
        <v>94</v>
      </c>
      <c r="F41" s="13" t="s">
        <v>25</v>
      </c>
      <c r="G41" s="14"/>
      <c r="H41" s="23"/>
    </row>
    <row r="42" spans="2:8" ht="51" x14ac:dyDescent="0.25">
      <c r="B42" s="59"/>
      <c r="C42" s="12" t="s">
        <v>95</v>
      </c>
      <c r="D42" s="12" t="s">
        <v>96</v>
      </c>
      <c r="E42" s="13"/>
      <c r="F42" s="13" t="s">
        <v>25</v>
      </c>
      <c r="G42" s="14"/>
      <c r="H42" s="23"/>
    </row>
    <row r="43" spans="2:8" ht="51" x14ac:dyDescent="0.25">
      <c r="B43" s="59"/>
      <c r="C43" s="12" t="s">
        <v>97</v>
      </c>
      <c r="D43" s="12" t="s">
        <v>98</v>
      </c>
      <c r="E43" s="13"/>
      <c r="F43" s="13" t="s">
        <v>99</v>
      </c>
      <c r="G43" s="14"/>
      <c r="H43" s="23"/>
    </row>
    <row r="44" spans="2:8" x14ac:dyDescent="0.25">
      <c r="B44" s="4"/>
      <c r="C44" s="4"/>
      <c r="D44" s="4"/>
      <c r="E44" s="4"/>
      <c r="F44" s="4"/>
      <c r="G44" s="6"/>
      <c r="H44" s="21"/>
    </row>
  </sheetData>
  <mergeCells count="1">
    <mergeCell ref="B1:H1"/>
  </mergeCells>
  <hyperlinks>
    <hyperlink ref="C6" r:id="rId1" display="https://jira.megafon.ru/browse/B2CPROD-91" xr:uid="{C9624C19-21DA-4B44-A77B-23B335C992FD}"/>
    <hyperlink ref="D6" r:id="rId2" display="https://jira.megafon.ru/browse/B2CPROD-97" xr:uid="{A59B31A6-0F07-465B-B6CB-1CB1DF4DC46B}"/>
    <hyperlink ref="C7" r:id="rId3" display="https://jira.megafon.ru/browse/B2CPROD-111" xr:uid="{E5369F17-4B5B-4A10-B468-711E3D0F71DC}"/>
    <hyperlink ref="D7" r:id="rId4" display="https://jira.megafon.ru/browse/B2CPROD-114" xr:uid="{A48D9943-FE1B-4DE2-A7E3-B666D0F5C5FC}"/>
    <hyperlink ref="C8" r:id="rId5" display="https://jira.megafon.ru/browse/B2CPROD-127" xr:uid="{59E9D21B-2472-448E-987D-22304142B427}"/>
    <hyperlink ref="D8" r:id="rId6" display="https://jira.megafon.ru/browse/B2CPROD-129" xr:uid="{67405EAD-AD51-42AF-98A1-60E0A30EEA59}"/>
    <hyperlink ref="C10" r:id="rId7" display="https://jira.megafon.ru/browse/B2CPROD-185" xr:uid="{A78C039B-20F4-43F7-90F1-BAB5BEDBB1CE}"/>
    <hyperlink ref="D10" r:id="rId8" display="https://jira.megafon.ru/browse/B2CPROD-186" xr:uid="{C14DBF15-BFFE-4744-BC86-E552E812F718}"/>
    <hyperlink ref="C11" r:id="rId9" display="https://jira.megafon.ru/browse/B2CPROD-18" xr:uid="{15B54A6D-6A03-40BB-8975-7B3020F6676E}"/>
    <hyperlink ref="D11" r:id="rId10" display="https://jira.megafon.ru/browse/B2CPROD-182" xr:uid="{02BAEC00-D320-471A-933F-419327155550}"/>
    <hyperlink ref="C12" r:id="rId11" display="https://jira.megafon.ru/browse/B2CPROD-14" xr:uid="{894070D6-A869-4939-A1CD-B26CF2761734}"/>
    <hyperlink ref="D12" r:id="rId12" display="https://jira.megafon.ru/browse/B2CPROD-15" xr:uid="{0CA1B705-3021-486B-AB02-AD2FC340B51A}"/>
    <hyperlink ref="C13" r:id="rId13" display="https://jira.megafon.ru/browse/B2CPROD-188" xr:uid="{4D585CE9-7681-4862-A54E-6895EAA5DDCC}"/>
    <hyperlink ref="D13" r:id="rId14" display="https://jira.megafon.ru/browse/B2CPROD-190" xr:uid="{D459D199-7AF7-4AAE-A352-421431C7A1CD}"/>
    <hyperlink ref="C16" r:id="rId15" display="https://jira.megafon.ru/browse/B2CPROD-166" xr:uid="{F1DE9D93-E73F-4FD3-83EC-6AF77F2F7A0E}"/>
    <hyperlink ref="D16" r:id="rId16" display="https://jira.megafon.ru/browse/B2CPROD-168" xr:uid="{C084C8C9-6888-4B1F-BF73-29E65B624980}"/>
    <hyperlink ref="D17" r:id="rId17" display="https://jira.megafon.ru/browse/B2CPROD-177" xr:uid="{279BA184-6D7D-46AB-80D7-110A42F8DD80}"/>
    <hyperlink ref="C19" r:id="rId18" display="https://jira.megafon.ru/browse/B2CPROD-276" xr:uid="{847964D0-BE70-4671-8001-66D8FE37F6B2}"/>
    <hyperlink ref="D19" r:id="rId19" display="https://jira.megafon.ru/browse/B2CPROD-280" xr:uid="{839D786C-AA83-4F08-A1CA-A76DC19D907E}"/>
    <hyperlink ref="D20" r:id="rId20" display="https://jira.megafon.ru/browse/B2CPROD-282" xr:uid="{77F3C000-1C2F-4561-92F2-19BC5F87E9BF}"/>
    <hyperlink ref="D21" r:id="rId21" display="https://jira.megafon.ru/browse/B2CPROD-285" xr:uid="{F601FEA6-D842-4836-839F-4BA2859C5099}"/>
    <hyperlink ref="D23" r:id="rId22" display="https://jira.megafon.ru/browse/B2CPROD-287" xr:uid="{68A7D4FB-E9F3-4B14-B0E8-3420AB78070D}"/>
    <hyperlink ref="D24" r:id="rId23" display="https://jira.megafon.ru/browse/B2CPROD-301" xr:uid="{471133DF-9623-40F7-B484-4898B27D5359}"/>
    <hyperlink ref="D26" r:id="rId24" display="https://jira.megafon.ru/browse/B2CPROD-370" xr:uid="{552E980A-F2ED-422C-8EBA-3DDA9B2D6584}"/>
    <hyperlink ref="C27" r:id="rId25" display="https://jira.megafon.ru/browse/B2CPROD-87" xr:uid="{58BD9CB8-7E73-4455-8C80-F5167961CAB9}"/>
    <hyperlink ref="D27" r:id="rId26" display="https://jira.megafon.ru/browse/B2CPROD-90" xr:uid="{55119334-C758-42FD-A5FA-1376CAA01C77}"/>
    <hyperlink ref="D28" r:id="rId27" display="https://jira.megafon.ru/browse/B2CPROD-191" xr:uid="{B78151E5-BA4A-4867-A837-ECEDD8931764}"/>
    <hyperlink ref="D29" r:id="rId28" display="https://jira.megafon.ru/browse/B2CPROD-204" xr:uid="{27AFBD20-3046-4B48-8DF0-21D781595DB6}"/>
    <hyperlink ref="D30" r:id="rId29" display="https://jira.megafon.ru/browse/B2CPROD-209" xr:uid="{4D5B5244-D8AD-4304-A41D-4502F715F251}"/>
    <hyperlink ref="C32" r:id="rId30" display="https://jira.megafon.ru/browse/B2CPROD-121" xr:uid="{FBF927C1-CB7B-40D8-9268-5FCFCBED3561}"/>
    <hyperlink ref="D32" r:id="rId31" display="https://jira.megafon.ru/browse/B2CPROD-142" xr:uid="{3CED01C5-0FE6-4F81-8894-994728924950}"/>
    <hyperlink ref="D33" r:id="rId32" display="https://jira.megafon.ru/browse/B2CPROD-144" xr:uid="{91B651B0-8332-4FDD-8EE2-13267EBF1927}"/>
    <hyperlink ref="D34" r:id="rId33" display="https://jira.megafon.ru/browse/B2CPROD-145" xr:uid="{1A7A7A39-D613-4484-8C80-CD85B49D8590}"/>
    <hyperlink ref="D35" r:id="rId34" display="https://jira.megafon.ru/browse/B2CPROD-146" xr:uid="{A4A9F6F2-BCEC-41E6-A8C2-3095B43E14C6}"/>
    <hyperlink ref="D36" r:id="rId35" display="https://jira.megafon.ru/browse/B2CPROD-147" xr:uid="{B8D17D89-367B-4681-930D-5065185056A9}"/>
    <hyperlink ref="C38" r:id="rId36" display="https://jira.megafon.ru/browse/B2CPROD-494" xr:uid="{0045AC0D-2884-44D2-B401-B5848B9F87DA}"/>
    <hyperlink ref="D38" r:id="rId37" display="https://jira.megafon.ru/browse/B2CPROD-498" xr:uid="{105C439F-7EB3-44BF-B2E9-769872A3597A}"/>
    <hyperlink ref="C41" r:id="rId38" display="https://jira.megafon.ru/browse/B2CPROD-61" xr:uid="{3ED1C25E-B5DB-4061-BFEA-01FBD39EB8B9}"/>
    <hyperlink ref="D41" r:id="rId39" display="https://jira.megafon.ru/browse/B2CPROD-62" xr:uid="{40D151F2-ED48-420C-B4B6-5502992682A8}"/>
    <hyperlink ref="C42" r:id="rId40" display="https://jira.megafon.ru/browse/B2CPROD-118" xr:uid="{42406D85-A602-4F89-A10F-2F3B61ABCDD4}"/>
    <hyperlink ref="D42" r:id="rId41" display="https://jira.megafon.ru/browse/B2CPROD-119" xr:uid="{079C390F-603C-42F9-B8B2-1C5967BA51DB}"/>
    <hyperlink ref="C43" r:id="rId42" display="https://jira.megafon.ru/browse/B2CPROD-130" xr:uid="{11752DEA-4C69-4D59-882D-FB41FD78AF0A}"/>
    <hyperlink ref="D43" r:id="rId43" display="https://jira.megafon.ru/browse/B2CPROD-133" xr:uid="{2E22BE11-159E-472F-91F3-EA50078646A2}"/>
    <hyperlink ref="D25" r:id="rId44" display="https://jira.megafon.ru/browse/CKO-54695" xr:uid="{6FA1A1C2-EFD6-4018-BCC3-29D8EB9352BF}"/>
  </hyperlinks>
  <pageMargins left="0.7" right="0.7" top="0.75" bottom="0.75" header="0.3" footer="0.3"/>
  <pageSetup paperSize="9" orientation="portrait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Оценки 2Q26</vt:lpstr>
      <vt:lpstr>Оценки 3Q26</vt:lpstr>
      <vt:lpstr>Емкость 3Q26</vt:lpstr>
      <vt:lpstr>Емкость команды</vt:lpstr>
      <vt:lpstr>График 2026</vt:lpstr>
      <vt:lpstr>Сценарии ДГП</vt:lpstr>
      <vt:lpstr>Роли НЕ Мегафон</vt:lpstr>
      <vt:lpstr>Q3 Q4</vt:lpstr>
      <vt:lpstr>Запросы 2Q26</vt:lpstr>
      <vt:lpstr>План 1Q26</vt:lpstr>
      <vt:lpstr>Для бизнеса</vt:lpstr>
      <vt:lpstr>Инициативы черновик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Занина Евгения (HQ)</dc:creator>
  <cp:lastModifiedBy>Занина Евгения (HQ)</cp:lastModifiedBy>
  <dcterms:created xsi:type="dcterms:W3CDTF">2025-12-02T14:20:26Z</dcterms:created>
  <dcterms:modified xsi:type="dcterms:W3CDTF">2026-08-14T13:40:04Z</dcterms:modified>
</cp:coreProperties>
</file>